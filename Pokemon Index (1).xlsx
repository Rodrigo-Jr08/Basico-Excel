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defaultThemeVersion="124226"/>
  <xr:revisionPtr revIDLastSave="0" documentId="8_{4E07DBEF-1C56-49F5-80B2-EAE63BF8DC6A}" xr6:coauthVersionLast="47" xr6:coauthVersionMax="47" xr10:uidLastSave="{00000000-0000-0000-0000-000000000000}"/>
  <bookViews>
    <workbookView xWindow="480" yWindow="105" windowWidth="22995" windowHeight="10305" xr2:uid="{00000000-000D-0000-FFFF-FFFF00000000}"/>
  </bookViews>
  <sheets>
    <sheet name="Pokemon" sheetId="1" r:id="rId1"/>
    <sheet name="Consulta Pokemon" sheetId="10" r:id="rId2"/>
    <sheet name="Moves" sheetId="2" r:id="rId3"/>
    <sheet name="Evolution" sheetId="3" r:id="rId4"/>
    <sheet name="TypeChart" sheetId="9" r:id="rId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B8" i="10"/>
  <c r="B7" i="10"/>
  <c r="B5" i="10"/>
  <c r="B6" i="10"/>
  <c r="B10" i="10"/>
  <c r="E2" i="1"/>
  <c r="E3" i="1"/>
  <c r="E4" i="1"/>
  <c r="E5" i="1"/>
  <c r="E6" i="1"/>
  <c r="E7" i="1"/>
  <c r="E10" i="1"/>
  <c r="E11" i="1"/>
  <c r="E12" i="1"/>
  <c r="E13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7" i="1"/>
  <c r="E198" i="1"/>
  <c r="E199" i="1"/>
  <c r="E200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5" i="1"/>
  <c r="E336" i="1"/>
  <c r="E337" i="1"/>
  <c r="E338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5" i="1"/>
  <c r="E486" i="1"/>
  <c r="E487" i="1"/>
  <c r="E488" i="1"/>
  <c r="E489" i="1"/>
  <c r="E490" i="1"/>
  <c r="E493" i="1"/>
  <c r="E494" i="1"/>
  <c r="E495" i="1"/>
  <c r="E496" i="1"/>
  <c r="E499" i="1"/>
  <c r="E500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2" i="1"/>
  <c r="E573" i="1"/>
  <c r="E574" i="1"/>
  <c r="E575" i="1"/>
  <c r="E576" i="1"/>
  <c r="E577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4" i="1"/>
  <c r="E715" i="1"/>
  <c r="E716" i="1"/>
  <c r="E717" i="1"/>
  <c r="E718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6" i="1"/>
  <c r="E797" i="1"/>
  <c r="E798" i="1"/>
  <c r="E799" i="1"/>
  <c r="E800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4" i="1"/>
  <c r="E1025" i="1"/>
  <c r="E1028" i="1"/>
  <c r="E1029" i="1"/>
  <c r="E1030" i="1"/>
  <c r="E1031" i="1"/>
  <c r="E1032" i="1"/>
  <c r="E1033" i="1"/>
  <c r="E1036" i="1"/>
  <c r="E1037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95" i="1"/>
  <c r="E196" i="1"/>
  <c r="E201" i="1"/>
  <c r="E202" i="1"/>
  <c r="E224" i="1"/>
  <c r="E225" i="1"/>
  <c r="E239" i="1"/>
  <c r="E240" i="1"/>
  <c r="E241" i="1"/>
  <c r="E242" i="1"/>
  <c r="E285" i="1"/>
  <c r="E286" i="1"/>
  <c r="E333" i="1"/>
  <c r="E334" i="1"/>
  <c r="E339" i="1"/>
  <c r="E340" i="1"/>
  <c r="E366" i="1"/>
  <c r="E367" i="1"/>
  <c r="E394" i="1"/>
  <c r="E395" i="1"/>
  <c r="E410" i="1"/>
  <c r="E411" i="1"/>
  <c r="E450" i="1"/>
  <c r="E8" i="1"/>
  <c r="E9" i="1"/>
  <c r="E483" i="1"/>
  <c r="E484" i="1"/>
  <c r="E491" i="1"/>
  <c r="E492" i="1"/>
  <c r="E497" i="1"/>
  <c r="E498" i="1"/>
  <c r="E501" i="1"/>
  <c r="E502" i="1"/>
  <c r="E570" i="1"/>
  <c r="E571" i="1"/>
  <c r="E578" i="1"/>
  <c r="E579" i="1"/>
  <c r="E619" i="1"/>
  <c r="E620" i="1"/>
  <c r="E621" i="1"/>
  <c r="E712" i="1"/>
  <c r="E713" i="1"/>
  <c r="E719" i="1"/>
  <c r="E720" i="1"/>
  <c r="E740" i="1"/>
  <c r="E741" i="1"/>
  <c r="E772" i="1"/>
  <c r="E773" i="1"/>
  <c r="E774" i="1"/>
  <c r="E775" i="1"/>
  <c r="E776" i="1"/>
  <c r="E777" i="1"/>
  <c r="E778" i="1"/>
  <c r="E779" i="1"/>
  <c r="E780" i="1"/>
  <c r="E781" i="1"/>
  <c r="E794" i="1"/>
  <c r="E795" i="1"/>
  <c r="E801" i="1"/>
  <c r="E802" i="1"/>
  <c r="E893" i="1"/>
  <c r="E894" i="1"/>
  <c r="E14" i="1"/>
  <c r="E15" i="1"/>
  <c r="E16" i="1"/>
  <c r="E17" i="1"/>
  <c r="E1022" i="1"/>
  <c r="E1023" i="1"/>
  <c r="E1026" i="1"/>
  <c r="E1027" i="1"/>
  <c r="E1034" i="1"/>
  <c r="E1035" i="1"/>
  <c r="E1038" i="1"/>
  <c r="E1039" i="1"/>
  <c r="E1040" i="1"/>
  <c r="E1041" i="1"/>
  <c r="E98" i="1"/>
  <c r="E21" i="1"/>
  <c r="E148" i="1"/>
  <c r="E149" i="1"/>
  <c r="E3" i="9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2" i="2"/>
  <c r="E2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O2" i="1"/>
  <c r="O4" i="1"/>
  <c r="O6" i="1"/>
  <c r="O8" i="1"/>
  <c r="O9" i="1"/>
  <c r="O10" i="1"/>
  <c r="O11" i="1"/>
  <c r="O12" i="1"/>
  <c r="O14" i="1"/>
  <c r="O16" i="1"/>
  <c r="O18" i="1"/>
  <c r="O19" i="1"/>
  <c r="O20" i="1"/>
  <c r="O21" i="1"/>
  <c r="O22" i="1"/>
  <c r="O23" i="1"/>
  <c r="O24" i="1"/>
  <c r="O26" i="1"/>
  <c r="O28" i="1"/>
  <c r="O30" i="1"/>
  <c r="O298" i="1"/>
  <c r="O678" i="1"/>
  <c r="O803" i="1"/>
  <c r="O1099" i="1"/>
  <c r="O854" i="1"/>
  <c r="O472" i="1"/>
  <c r="O40" i="1"/>
  <c r="O41" i="1"/>
  <c r="O42" i="1"/>
  <c r="O43" i="1"/>
  <c r="O44" i="1"/>
  <c r="O45" i="1"/>
  <c r="O46" i="1"/>
  <c r="O47" i="1"/>
  <c r="O48" i="1"/>
  <c r="O50" i="1"/>
  <c r="O51" i="1"/>
  <c r="O52" i="1"/>
  <c r="O643" i="1"/>
  <c r="O642" i="1"/>
  <c r="O58" i="1"/>
  <c r="O59" i="1"/>
  <c r="O384" i="1"/>
  <c r="O994" i="1"/>
  <c r="O996" i="1"/>
  <c r="O684" i="1"/>
  <c r="O62" i="1"/>
  <c r="O64" i="1"/>
  <c r="O66" i="1"/>
  <c r="O68" i="1"/>
  <c r="O70" i="1"/>
  <c r="O72" i="1"/>
  <c r="O74" i="1"/>
  <c r="O76" i="1"/>
  <c r="O78" i="1"/>
  <c r="O80" i="1"/>
  <c r="O81" i="1"/>
  <c r="O1063" i="1"/>
  <c r="O85" i="1"/>
  <c r="O86" i="1"/>
  <c r="O87" i="1"/>
  <c r="O88" i="1"/>
  <c r="O89" i="1"/>
  <c r="O90" i="1"/>
  <c r="O91" i="1"/>
  <c r="O92" i="1"/>
  <c r="O93" i="1"/>
  <c r="O95" i="1"/>
  <c r="O96" i="1"/>
  <c r="O97" i="1"/>
  <c r="O98" i="1"/>
  <c r="O99" i="1"/>
  <c r="O100" i="1"/>
  <c r="O101" i="1"/>
  <c r="O102" i="1"/>
  <c r="O104" i="1"/>
  <c r="O106" i="1"/>
  <c r="O108" i="1"/>
  <c r="O110" i="1"/>
  <c r="O112" i="1"/>
  <c r="O114" i="1"/>
  <c r="O116" i="1"/>
  <c r="O118" i="1"/>
  <c r="O119" i="1"/>
  <c r="O120" i="1"/>
  <c r="O122" i="1"/>
  <c r="O124" i="1"/>
  <c r="O126" i="1"/>
  <c r="O564" i="1"/>
  <c r="O173" i="1"/>
  <c r="O134" i="1"/>
  <c r="O135" i="1"/>
  <c r="O137" i="1"/>
  <c r="O138" i="1"/>
  <c r="O139" i="1"/>
  <c r="O140" i="1"/>
  <c r="O142" i="1"/>
  <c r="O144" i="1"/>
  <c r="O146" i="1"/>
  <c r="O148" i="1"/>
  <c r="O150" i="1"/>
  <c r="O152" i="1"/>
  <c r="O153" i="1"/>
  <c r="O154" i="1"/>
  <c r="O155" i="1"/>
  <c r="O156" i="1"/>
  <c r="O157" i="1"/>
  <c r="O158" i="1"/>
  <c r="O160" i="1"/>
  <c r="O162" i="1"/>
  <c r="O163" i="1"/>
  <c r="O164" i="1"/>
  <c r="O165" i="1"/>
  <c r="O703" i="1"/>
  <c r="O167" i="1"/>
  <c r="O168" i="1"/>
  <c r="O169" i="1"/>
  <c r="O171" i="1"/>
  <c r="O921" i="1"/>
  <c r="O177" i="1"/>
  <c r="O55" i="1"/>
  <c r="O179" i="1"/>
  <c r="O180" i="1"/>
  <c r="O181" i="1"/>
  <c r="O182" i="1"/>
  <c r="O183" i="1"/>
  <c r="O184" i="1"/>
  <c r="O186" i="1"/>
  <c r="O188" i="1"/>
  <c r="O190" i="1"/>
  <c r="O192" i="1"/>
  <c r="O193" i="1"/>
  <c r="O194" i="1"/>
  <c r="O195" i="1"/>
  <c r="O54" i="1"/>
  <c r="O198" i="1"/>
  <c r="O199" i="1"/>
  <c r="O201" i="1"/>
  <c r="O203" i="1"/>
  <c r="O273" i="1"/>
  <c r="O209" i="1"/>
  <c r="O210" i="1"/>
  <c r="O211" i="1"/>
  <c r="O214" i="1"/>
  <c r="O216" i="1"/>
  <c r="O218" i="1"/>
  <c r="O220" i="1"/>
  <c r="O222" i="1"/>
  <c r="O224" i="1"/>
  <c r="O935" i="1"/>
  <c r="O228" i="1"/>
  <c r="O230" i="1"/>
  <c r="O232" i="1"/>
  <c r="O234" i="1"/>
  <c r="O235" i="1"/>
  <c r="O236" i="1"/>
  <c r="O238" i="1"/>
  <c r="O239" i="1"/>
  <c r="O241" i="1"/>
  <c r="O243" i="1"/>
  <c r="O244" i="1"/>
  <c r="O245" i="1"/>
  <c r="O246" i="1"/>
  <c r="O247" i="1"/>
  <c r="O248" i="1"/>
  <c r="O249" i="1"/>
  <c r="O250" i="1"/>
  <c r="O251" i="1"/>
  <c r="O252" i="1"/>
  <c r="O477" i="1"/>
  <c r="O1065" i="1"/>
  <c r="O205" i="1"/>
  <c r="O132" i="1"/>
  <c r="O258" i="1"/>
  <c r="O260" i="1"/>
  <c r="O262" i="1"/>
  <c r="O264" i="1"/>
  <c r="O266" i="1"/>
  <c r="O268" i="1"/>
  <c r="O270" i="1"/>
  <c r="O272" i="1"/>
  <c r="O129" i="1"/>
  <c r="O322" i="1"/>
  <c r="O207" i="1"/>
  <c r="O278" i="1"/>
  <c r="O280" i="1"/>
  <c r="O282" i="1"/>
  <c r="O283" i="1"/>
  <c r="O284" i="1"/>
  <c r="O285" i="1"/>
  <c r="O287" i="1"/>
  <c r="O288" i="1"/>
  <c r="O469" i="1"/>
  <c r="O289" i="1"/>
  <c r="O128" i="1"/>
  <c r="O290" i="1"/>
  <c r="O291" i="1"/>
  <c r="O292" i="1"/>
  <c r="O294" i="1"/>
  <c r="O296" i="1"/>
  <c r="O39" i="1"/>
  <c r="O300" i="1"/>
  <c r="O301" i="1"/>
  <c r="O302" i="1"/>
  <c r="O304" i="1"/>
  <c r="O306" i="1"/>
  <c r="O308" i="1"/>
  <c r="O309" i="1"/>
  <c r="O310" i="1"/>
  <c r="O312" i="1"/>
  <c r="O314" i="1"/>
  <c r="O315" i="1"/>
  <c r="O316" i="1"/>
  <c r="O1077" i="1"/>
  <c r="O318" i="1"/>
  <c r="O319" i="1"/>
  <c r="O323" i="1"/>
  <c r="O325" i="1"/>
  <c r="O1066" i="1"/>
  <c r="O1079" i="1"/>
  <c r="O329" i="1"/>
  <c r="O331" i="1"/>
  <c r="O333" i="1"/>
  <c r="O335" i="1"/>
  <c r="O337" i="1"/>
  <c r="O339" i="1"/>
  <c r="O341" i="1"/>
  <c r="O1080" i="1"/>
  <c r="O1086" i="1"/>
  <c r="O345" i="1"/>
  <c r="O346" i="1"/>
  <c r="O348" i="1"/>
  <c r="O350" i="1"/>
  <c r="O352" i="1"/>
  <c r="O354" i="1"/>
  <c r="O355" i="1"/>
  <c r="O356" i="1"/>
  <c r="O358" i="1"/>
  <c r="O360" i="1"/>
  <c r="O362" i="1"/>
  <c r="O364" i="1"/>
  <c r="O366" i="1"/>
  <c r="O368" i="1"/>
  <c r="O370" i="1"/>
  <c r="O371" i="1"/>
  <c r="O254" i="1"/>
  <c r="O317" i="1"/>
  <c r="O689" i="1"/>
  <c r="O377" i="1"/>
  <c r="O378" i="1"/>
  <c r="O379" i="1"/>
  <c r="O381" i="1"/>
  <c r="O382" i="1"/>
  <c r="O328" i="1"/>
  <c r="O702" i="1"/>
  <c r="O385" i="1"/>
  <c r="O386" i="1"/>
  <c r="O387" i="1"/>
  <c r="O388" i="1"/>
  <c r="O390" i="1"/>
  <c r="O392" i="1"/>
  <c r="O394" i="1"/>
  <c r="O396" i="1"/>
  <c r="O398" i="1"/>
  <c r="O400" i="1"/>
  <c r="O402" i="1"/>
  <c r="O403" i="1"/>
  <c r="O404" i="1"/>
  <c r="O405" i="1"/>
  <c r="O406" i="1"/>
  <c r="O408" i="1"/>
  <c r="O410" i="1"/>
  <c r="O412" i="1"/>
  <c r="O413" i="1"/>
  <c r="O415" i="1"/>
  <c r="O417" i="1"/>
  <c r="O418" i="1"/>
  <c r="O423" i="1"/>
  <c r="O424" i="1"/>
  <c r="O425" i="1"/>
  <c r="O427" i="1"/>
  <c r="O428" i="1"/>
  <c r="O430" i="1"/>
  <c r="O432" i="1"/>
  <c r="O434" i="1"/>
  <c r="O436" i="1"/>
  <c r="O437" i="1"/>
  <c r="O439" i="1"/>
  <c r="O821" i="1"/>
  <c r="O443" i="1"/>
  <c r="O445" i="1"/>
  <c r="O447" i="1"/>
  <c r="O255" i="1"/>
  <c r="O448" i="1"/>
  <c r="O275" i="1"/>
  <c r="O449" i="1"/>
  <c r="O60" i="1"/>
  <c r="O450" i="1"/>
  <c r="O178" i="1"/>
  <c r="O451" i="1"/>
  <c r="O453" i="1"/>
  <c r="O455" i="1"/>
  <c r="O456" i="1"/>
  <c r="O566" i="1"/>
  <c r="O746" i="1"/>
  <c r="O461" i="1"/>
  <c r="O463" i="1"/>
  <c r="O465" i="1"/>
  <c r="O166" i="1"/>
  <c r="O820" i="1"/>
  <c r="O422" i="1"/>
  <c r="O470" i="1"/>
  <c r="O471" i="1"/>
  <c r="O685" i="1"/>
  <c r="O468" i="1"/>
  <c r="O474" i="1"/>
  <c r="O480" i="1"/>
  <c r="O478" i="1"/>
  <c r="O481" i="1"/>
  <c r="O483" i="1"/>
  <c r="O485" i="1"/>
  <c r="O487" i="1"/>
  <c r="O489" i="1"/>
  <c r="O491" i="1"/>
  <c r="O493" i="1"/>
  <c r="O495" i="1"/>
  <c r="O497" i="1"/>
  <c r="O499" i="1"/>
  <c r="O500" i="1"/>
  <c r="O501" i="1"/>
  <c r="O503" i="1"/>
  <c r="O504" i="1"/>
  <c r="O505" i="1"/>
  <c r="O506" i="1"/>
  <c r="O507" i="1"/>
  <c r="O509" i="1"/>
  <c r="O510" i="1"/>
  <c r="O511" i="1"/>
  <c r="O513" i="1"/>
  <c r="O515" i="1"/>
  <c r="O516" i="1"/>
  <c r="O517" i="1"/>
  <c r="O519" i="1"/>
  <c r="O521" i="1"/>
  <c r="O522" i="1"/>
  <c r="O523" i="1"/>
  <c r="O1046" i="1"/>
  <c r="O525" i="1"/>
  <c r="O526" i="1"/>
  <c r="O528" i="1"/>
  <c r="O530" i="1"/>
  <c r="O531" i="1"/>
  <c r="O1047" i="1"/>
  <c r="O535" i="1"/>
  <c r="O82" i="1"/>
  <c r="O538" i="1"/>
  <c r="O539" i="1"/>
  <c r="O541" i="1"/>
  <c r="O543" i="1"/>
  <c r="O545" i="1"/>
  <c r="O547" i="1"/>
  <c r="O548" i="1"/>
  <c r="O550" i="1"/>
  <c r="O552" i="1"/>
  <c r="O554" i="1"/>
  <c r="O556" i="1"/>
  <c r="O558" i="1"/>
  <c r="O560" i="1"/>
  <c r="O562" i="1"/>
  <c r="O563" i="1"/>
  <c r="O383" i="1"/>
  <c r="O920" i="1"/>
  <c r="O568" i="1"/>
  <c r="O569" i="1"/>
  <c r="O570" i="1"/>
  <c r="O572" i="1"/>
  <c r="O573" i="1"/>
  <c r="O574" i="1"/>
  <c r="O576" i="1"/>
  <c r="O577" i="1"/>
  <c r="O578" i="1"/>
  <c r="O580" i="1"/>
  <c r="O581" i="1"/>
  <c r="O582" i="1"/>
  <c r="O583" i="1"/>
  <c r="O585" i="1"/>
  <c r="O587" i="1"/>
  <c r="O589" i="1"/>
  <c r="O590" i="1"/>
  <c r="O591" i="1"/>
  <c r="O592" i="1"/>
  <c r="O594" i="1"/>
  <c r="O595" i="1"/>
  <c r="O596" i="1"/>
  <c r="O597" i="1"/>
  <c r="O599" i="1"/>
  <c r="O601" i="1"/>
  <c r="O603" i="1"/>
  <c r="O605" i="1"/>
  <c r="O606" i="1"/>
  <c r="O607" i="1"/>
  <c r="O608" i="1"/>
  <c r="O610" i="1"/>
  <c r="O612" i="1"/>
  <c r="O613" i="1"/>
  <c r="O614" i="1"/>
  <c r="O616" i="1"/>
  <c r="O618" i="1"/>
  <c r="O619" i="1"/>
  <c r="O620" i="1"/>
  <c r="O621" i="1"/>
  <c r="O622" i="1"/>
  <c r="O623" i="1"/>
  <c r="O624" i="1"/>
  <c r="O626" i="1"/>
  <c r="O627" i="1"/>
  <c r="O629" i="1"/>
  <c r="O631" i="1"/>
  <c r="O632" i="1"/>
  <c r="O633" i="1"/>
  <c r="O714" i="1"/>
  <c r="O256" i="1"/>
  <c r="O818" i="1"/>
  <c r="O83" i="1"/>
  <c r="O644" i="1"/>
  <c r="O645" i="1"/>
  <c r="O646" i="1"/>
  <c r="O647" i="1"/>
  <c r="O648" i="1"/>
  <c r="O649" i="1"/>
  <c r="O651" i="1"/>
  <c r="O653" i="1"/>
  <c r="O654" i="1"/>
  <c r="O655" i="1"/>
  <c r="O657" i="1"/>
  <c r="O659" i="1"/>
  <c r="O660" i="1"/>
  <c r="O661" i="1"/>
  <c r="O662" i="1"/>
  <c r="O663" i="1"/>
  <c r="O665" i="1"/>
  <c r="O667" i="1"/>
  <c r="O669" i="1"/>
  <c r="O670" i="1"/>
  <c r="O671" i="1"/>
  <c r="O672" i="1"/>
  <c r="O673" i="1"/>
  <c r="O674" i="1"/>
  <c r="O675" i="1"/>
  <c r="O680" i="1"/>
  <c r="O682" i="1"/>
  <c r="O34" i="1"/>
  <c r="O33" i="1"/>
  <c r="O686" i="1"/>
  <c r="O687" i="1"/>
  <c r="O32" i="1"/>
  <c r="O839" i="1"/>
  <c r="O691" i="1"/>
  <c r="O692" i="1"/>
  <c r="O694" i="1"/>
  <c r="O696" i="1"/>
  <c r="O698" i="1"/>
  <c r="O700" i="1"/>
  <c r="O701" i="1"/>
  <c r="O213" i="1"/>
  <c r="O372" i="1"/>
  <c r="O761" i="1"/>
  <c r="O704" i="1"/>
  <c r="O706" i="1"/>
  <c r="O708" i="1"/>
  <c r="O710" i="1"/>
  <c r="O712" i="1"/>
  <c r="O690" i="1"/>
  <c r="O716" i="1"/>
  <c r="O717" i="1"/>
  <c r="O719" i="1"/>
  <c r="O721" i="1"/>
  <c r="O722" i="1"/>
  <c r="O723" i="1"/>
  <c r="O725" i="1"/>
  <c r="O727" i="1"/>
  <c r="O729" i="1"/>
  <c r="O731" i="1"/>
  <c r="O732" i="1"/>
  <c r="O733" i="1"/>
  <c r="O734" i="1"/>
  <c r="O736" i="1"/>
  <c r="O738" i="1"/>
  <c r="O740" i="1"/>
  <c r="O742" i="1"/>
  <c r="O744" i="1"/>
  <c r="O37" i="1"/>
  <c r="O747" i="1"/>
  <c r="O749" i="1"/>
  <c r="O750" i="1"/>
  <c r="O751" i="1"/>
  <c r="O35" i="1"/>
  <c r="O753" i="1"/>
  <c r="O755" i="1"/>
  <c r="O756" i="1"/>
  <c r="O757" i="1"/>
  <c r="O759" i="1"/>
  <c r="O791" i="1"/>
  <c r="O763" i="1"/>
  <c r="O765" i="1"/>
  <c r="O767" i="1"/>
  <c r="O768" i="1"/>
  <c r="O770" i="1"/>
  <c r="O772" i="1"/>
  <c r="O774" i="1"/>
  <c r="O776" i="1"/>
  <c r="O778" i="1"/>
  <c r="O780" i="1"/>
  <c r="O782" i="1"/>
  <c r="O783" i="1"/>
  <c r="O784" i="1"/>
  <c r="O785" i="1"/>
  <c r="O787" i="1"/>
  <c r="O789" i="1"/>
  <c r="O995" i="1"/>
  <c r="O792" i="1"/>
  <c r="O794" i="1"/>
  <c r="O796" i="1"/>
  <c r="O797" i="1"/>
  <c r="O798" i="1"/>
  <c r="O799" i="1"/>
  <c r="O800" i="1"/>
  <c r="O801" i="1"/>
  <c r="O936" i="1"/>
  <c r="O805" i="1"/>
  <c r="O807" i="1"/>
  <c r="O808" i="1"/>
  <c r="O809" i="1"/>
  <c r="O810" i="1"/>
  <c r="O811" i="1"/>
  <c r="O813" i="1"/>
  <c r="O815" i="1"/>
  <c r="O816" i="1"/>
  <c r="O817" i="1"/>
  <c r="O253" i="1"/>
  <c r="O476" i="1"/>
  <c r="O460" i="1"/>
  <c r="O458" i="1"/>
  <c r="O1102" i="1"/>
  <c r="O827" i="1"/>
  <c r="O828" i="1"/>
  <c r="O829" i="1"/>
  <c r="O830" i="1"/>
  <c r="O831" i="1"/>
  <c r="O832" i="1"/>
  <c r="O833" i="1"/>
  <c r="O834" i="1"/>
  <c r="O835" i="1"/>
  <c r="O836" i="1"/>
  <c r="O375" i="1"/>
  <c r="O226" i="1"/>
  <c r="O842" i="1"/>
  <c r="O843" i="1"/>
  <c r="O844" i="1"/>
  <c r="O845" i="1"/>
  <c r="O846" i="1"/>
  <c r="O847" i="1"/>
  <c r="O849" i="1"/>
  <c r="O851" i="1"/>
  <c r="O852" i="1"/>
  <c r="O327" i="1"/>
  <c r="O857" i="1"/>
  <c r="O858" i="1"/>
  <c r="O859" i="1"/>
  <c r="O860" i="1"/>
  <c r="O861" i="1"/>
  <c r="O863" i="1"/>
  <c r="O865" i="1"/>
  <c r="O866" i="1"/>
  <c r="O867" i="1"/>
  <c r="O869" i="1"/>
  <c r="O871" i="1"/>
  <c r="O873" i="1"/>
  <c r="O875" i="1"/>
  <c r="O877" i="1"/>
  <c r="O879" i="1"/>
  <c r="O880" i="1"/>
  <c r="O881" i="1"/>
  <c r="O882" i="1"/>
  <c r="O883" i="1"/>
  <c r="O884" i="1"/>
  <c r="O886" i="1"/>
  <c r="O888" i="1"/>
  <c r="O890" i="1"/>
  <c r="O891" i="1"/>
  <c r="O893" i="1"/>
  <c r="O895" i="1"/>
  <c r="O896" i="1"/>
  <c r="O898" i="1"/>
  <c r="O900" i="1"/>
  <c r="O902" i="1"/>
  <c r="O904" i="1"/>
  <c r="O906" i="1"/>
  <c r="O907" i="1"/>
  <c r="O908" i="1"/>
  <c r="O910" i="1"/>
  <c r="O912" i="1"/>
  <c r="O914" i="1"/>
  <c r="O916" i="1"/>
  <c r="O917" i="1"/>
  <c r="O918" i="1"/>
  <c r="O919" i="1"/>
  <c r="O38" i="1"/>
  <c r="O524" i="1"/>
  <c r="O922" i="1"/>
  <c r="O923" i="1"/>
  <c r="O924" i="1"/>
  <c r="O925" i="1"/>
  <c r="O926" i="1"/>
  <c r="O927" i="1"/>
  <c r="O928" i="1"/>
  <c r="O930" i="1"/>
  <c r="O932" i="1"/>
  <c r="O933" i="1"/>
  <c r="O934" i="1"/>
  <c r="O1097" i="1"/>
  <c r="O373" i="1"/>
  <c r="O937" i="1"/>
  <c r="O939" i="1"/>
  <c r="O940" i="1"/>
  <c r="O942" i="1"/>
  <c r="O944" i="1"/>
  <c r="O946" i="1"/>
  <c r="O948" i="1"/>
  <c r="O950" i="1"/>
  <c r="O951" i="1"/>
  <c r="O953" i="1"/>
  <c r="O955" i="1"/>
  <c r="O957" i="1"/>
  <c r="O959" i="1"/>
  <c r="O960" i="1"/>
  <c r="O961" i="1"/>
  <c r="O962" i="1"/>
  <c r="O963" i="1"/>
  <c r="O964" i="1"/>
  <c r="O965" i="1"/>
  <c r="O966" i="1"/>
  <c r="O967" i="1"/>
  <c r="O969" i="1"/>
  <c r="O971" i="1"/>
  <c r="O973" i="1"/>
  <c r="O974" i="1"/>
  <c r="O975" i="1"/>
  <c r="O976" i="1"/>
  <c r="O977" i="1"/>
  <c r="O978" i="1"/>
  <c r="O979" i="1"/>
  <c r="O980" i="1"/>
  <c r="O981" i="1"/>
  <c r="O983" i="1"/>
  <c r="O984" i="1"/>
  <c r="O985" i="1"/>
  <c r="O986" i="1"/>
  <c r="O988" i="1"/>
  <c r="O990" i="1"/>
  <c r="O992" i="1"/>
  <c r="O641" i="1"/>
  <c r="O639" i="1"/>
  <c r="O637" i="1"/>
  <c r="O997" i="1"/>
  <c r="O999" i="1"/>
  <c r="O1001" i="1"/>
  <c r="O1002" i="1"/>
  <c r="O1004" i="1"/>
  <c r="O1006" i="1"/>
  <c r="O1008" i="1"/>
  <c r="O1010" i="1"/>
  <c r="O1012" i="1"/>
  <c r="O1014" i="1"/>
  <c r="O1016" i="1"/>
  <c r="O1018" i="1"/>
  <c r="O1020" i="1"/>
  <c r="O1022" i="1"/>
  <c r="O1024" i="1"/>
  <c r="O1026" i="1"/>
  <c r="O1028" i="1"/>
  <c r="O1030" i="1"/>
  <c r="O1032" i="1"/>
  <c r="O1034" i="1"/>
  <c r="O1036" i="1"/>
  <c r="O1038" i="1"/>
  <c r="O1040" i="1"/>
  <c r="O1042" i="1"/>
  <c r="O1044" i="1"/>
  <c r="O825" i="1"/>
  <c r="O533" i="1"/>
  <c r="O1049" i="1"/>
  <c r="O1051" i="1"/>
  <c r="O1052" i="1"/>
  <c r="O1053" i="1"/>
  <c r="O1055" i="1"/>
  <c r="O1056" i="1"/>
  <c r="O1057" i="1"/>
  <c r="O1059" i="1"/>
  <c r="O1060" i="1"/>
  <c r="O1061" i="1"/>
  <c r="O442" i="1"/>
  <c r="O1100" i="1"/>
  <c r="O1127" i="1"/>
  <c r="O1067" i="1"/>
  <c r="O1069" i="1"/>
  <c r="O1071" i="1"/>
  <c r="O1072" i="1"/>
  <c r="O1073" i="1"/>
  <c r="O1075" i="1"/>
  <c r="O441" i="1"/>
  <c r="O1076" i="1"/>
  <c r="O197" i="1"/>
  <c r="O343" i="1"/>
  <c r="O752" i="1"/>
  <c r="O276" i="1"/>
  <c r="O1081" i="1"/>
  <c r="O1082" i="1"/>
  <c r="O1083" i="1"/>
  <c r="O1084" i="1"/>
  <c r="O277" i="1"/>
  <c r="O1087" i="1"/>
  <c r="O1088" i="1"/>
  <c r="O1089" i="1"/>
  <c r="O1091" i="1"/>
  <c r="O1093" i="1"/>
  <c r="O1095" i="1"/>
  <c r="O840" i="1"/>
  <c r="O841" i="1"/>
  <c r="O344" i="1"/>
  <c r="O459" i="1"/>
  <c r="O1103" i="1"/>
  <c r="O1105" i="1"/>
  <c r="O1107" i="1"/>
  <c r="O1109" i="1"/>
  <c r="O1111" i="1"/>
  <c r="O1113" i="1"/>
  <c r="O1115" i="1"/>
  <c r="O1116" i="1"/>
  <c r="O1117" i="1"/>
  <c r="O819" i="1"/>
  <c r="O1118" i="1"/>
  <c r="O467" i="1"/>
  <c r="O1119" i="1"/>
  <c r="O1121" i="1"/>
  <c r="O1123" i="1"/>
  <c r="O1125" i="1"/>
  <c r="O61" i="1"/>
  <c r="O1129" i="1"/>
  <c r="O1131" i="1"/>
  <c r="O1133" i="1"/>
  <c r="O1164" i="1"/>
  <c r="O1134" i="1"/>
  <c r="O1135" i="1"/>
  <c r="O1136" i="1"/>
  <c r="O1137" i="1"/>
  <c r="O537" i="1"/>
  <c r="O1138" i="1"/>
  <c r="O1140" i="1"/>
  <c r="O1142" i="1"/>
  <c r="O1144" i="1"/>
  <c r="O1146" i="1"/>
  <c r="O1148" i="1"/>
  <c r="O1150" i="1"/>
  <c r="O1152" i="1"/>
  <c r="O1154" i="1"/>
  <c r="O1156" i="1"/>
  <c r="O1158" i="1"/>
  <c r="O1159" i="1"/>
  <c r="O1160" i="1"/>
  <c r="O1162" i="1"/>
  <c r="O421" i="1"/>
  <c r="O1165" i="1"/>
  <c r="O1167" i="1"/>
  <c r="F2" i="1"/>
  <c r="F4" i="1"/>
  <c r="F6" i="1"/>
  <c r="F8" i="1"/>
  <c r="F10" i="1"/>
  <c r="F11" i="1"/>
  <c r="F12" i="1"/>
  <c r="F14" i="1"/>
  <c r="F16" i="1"/>
  <c r="F18" i="1"/>
  <c r="F19" i="1"/>
  <c r="F20" i="1"/>
  <c r="F21" i="1"/>
  <c r="F22" i="1"/>
  <c r="F23" i="1"/>
  <c r="F24" i="1"/>
  <c r="F26" i="1"/>
  <c r="F28" i="1"/>
  <c r="F30" i="1"/>
  <c r="F298" i="1"/>
  <c r="F678" i="1"/>
  <c r="F803" i="1"/>
  <c r="F1099" i="1"/>
  <c r="F854" i="1"/>
  <c r="F472" i="1"/>
  <c r="F40" i="1"/>
  <c r="F41" i="1"/>
  <c r="F42" i="1"/>
  <c r="F43" i="1"/>
  <c r="F44" i="1"/>
  <c r="F45" i="1"/>
  <c r="F46" i="1"/>
  <c r="F47" i="1"/>
  <c r="F48" i="1"/>
  <c r="F50" i="1"/>
  <c r="F51" i="1"/>
  <c r="F52" i="1"/>
  <c r="F643" i="1"/>
  <c r="F642" i="1"/>
  <c r="F58" i="1"/>
  <c r="F59" i="1"/>
  <c r="F384" i="1"/>
  <c r="F994" i="1"/>
  <c r="F996" i="1"/>
  <c r="F684" i="1"/>
  <c r="F62" i="1"/>
  <c r="F64" i="1"/>
  <c r="F66" i="1"/>
  <c r="F68" i="1"/>
  <c r="F70" i="1"/>
  <c r="F72" i="1"/>
  <c r="F74" i="1"/>
  <c r="F76" i="1"/>
  <c r="F78" i="1"/>
  <c r="F80" i="1"/>
  <c r="F81" i="1"/>
  <c r="F1063" i="1"/>
  <c r="F85" i="1"/>
  <c r="F86" i="1"/>
  <c r="F87" i="1"/>
  <c r="F88" i="1"/>
  <c r="F89" i="1"/>
  <c r="F90" i="1"/>
  <c r="F91" i="1"/>
  <c r="F92" i="1"/>
  <c r="F93" i="1"/>
  <c r="F95" i="1"/>
  <c r="F96" i="1"/>
  <c r="F97" i="1"/>
  <c r="F98" i="1"/>
  <c r="F99" i="1"/>
  <c r="F100" i="1"/>
  <c r="F101" i="1"/>
  <c r="F102" i="1"/>
  <c r="F104" i="1"/>
  <c r="F106" i="1"/>
  <c r="F108" i="1"/>
  <c r="F110" i="1"/>
  <c r="F112" i="1"/>
  <c r="F114" i="1"/>
  <c r="F116" i="1"/>
  <c r="F118" i="1"/>
  <c r="F119" i="1"/>
  <c r="F120" i="1"/>
  <c r="F122" i="1"/>
  <c r="F124" i="1"/>
  <c r="F126" i="1"/>
  <c r="F564" i="1"/>
  <c r="F173" i="1"/>
  <c r="F134" i="1"/>
  <c r="F135" i="1"/>
  <c r="F137" i="1"/>
  <c r="F138" i="1"/>
  <c r="F139" i="1"/>
  <c r="F140" i="1"/>
  <c r="F142" i="1"/>
  <c r="F144" i="1"/>
  <c r="F146" i="1"/>
  <c r="F148" i="1"/>
  <c r="F150" i="1"/>
  <c r="F152" i="1"/>
  <c r="F153" i="1"/>
  <c r="F154" i="1"/>
  <c r="F155" i="1"/>
  <c r="F156" i="1"/>
  <c r="F157" i="1"/>
  <c r="F158" i="1"/>
  <c r="F160" i="1"/>
  <c r="F162" i="1"/>
  <c r="F163" i="1"/>
  <c r="F164" i="1"/>
  <c r="F165" i="1"/>
  <c r="F703" i="1"/>
  <c r="F167" i="1"/>
  <c r="F168" i="1"/>
  <c r="F169" i="1"/>
  <c r="F171" i="1"/>
  <c r="F921" i="1"/>
  <c r="F177" i="1"/>
  <c r="F55" i="1"/>
  <c r="F179" i="1"/>
  <c r="F180" i="1"/>
  <c r="F181" i="1"/>
  <c r="F182" i="1"/>
  <c r="F183" i="1"/>
  <c r="F184" i="1"/>
  <c r="F186" i="1"/>
  <c r="F188" i="1"/>
  <c r="F190" i="1"/>
  <c r="F192" i="1"/>
  <c r="F193" i="1"/>
  <c r="F194" i="1"/>
  <c r="F195" i="1"/>
  <c r="F54" i="1"/>
  <c r="F198" i="1"/>
  <c r="F199" i="1"/>
  <c r="F201" i="1"/>
  <c r="F203" i="1"/>
  <c r="F273" i="1"/>
  <c r="F209" i="1"/>
  <c r="F210" i="1"/>
  <c r="F211" i="1"/>
  <c r="F214" i="1"/>
  <c r="F216" i="1"/>
  <c r="F218" i="1"/>
  <c r="F220" i="1"/>
  <c r="F222" i="1"/>
  <c r="F224" i="1"/>
  <c r="F935" i="1"/>
  <c r="F228" i="1"/>
  <c r="F230" i="1"/>
  <c r="F232" i="1"/>
  <c r="F234" i="1"/>
  <c r="F235" i="1"/>
  <c r="F236" i="1"/>
  <c r="F238" i="1"/>
  <c r="F239" i="1"/>
  <c r="F241" i="1"/>
  <c r="F243" i="1"/>
  <c r="F244" i="1"/>
  <c r="F245" i="1"/>
  <c r="F246" i="1"/>
  <c r="F247" i="1"/>
  <c r="F248" i="1"/>
  <c r="F249" i="1"/>
  <c r="F250" i="1"/>
  <c r="F251" i="1"/>
  <c r="F252" i="1"/>
  <c r="F477" i="1"/>
  <c r="F1065" i="1"/>
  <c r="F205" i="1"/>
  <c r="F132" i="1"/>
  <c r="F258" i="1"/>
  <c r="F260" i="1"/>
  <c r="F262" i="1"/>
  <c r="F264" i="1"/>
  <c r="F266" i="1"/>
  <c r="F268" i="1"/>
  <c r="F270" i="1"/>
  <c r="F272" i="1"/>
  <c r="F129" i="1"/>
  <c r="F322" i="1"/>
  <c r="F207" i="1"/>
  <c r="F278" i="1"/>
  <c r="F280" i="1"/>
  <c r="F282" i="1"/>
  <c r="F283" i="1"/>
  <c r="F284" i="1"/>
  <c r="F285" i="1"/>
  <c r="F287" i="1"/>
  <c r="F288" i="1"/>
  <c r="F469" i="1"/>
  <c r="F289" i="1"/>
  <c r="F128" i="1"/>
  <c r="F290" i="1"/>
  <c r="F291" i="1"/>
  <c r="F292" i="1"/>
  <c r="F294" i="1"/>
  <c r="F296" i="1"/>
  <c r="F39" i="1"/>
  <c r="F300" i="1"/>
  <c r="F301" i="1"/>
  <c r="F302" i="1"/>
  <c r="F304" i="1"/>
  <c r="F306" i="1"/>
  <c r="F308" i="1"/>
  <c r="F309" i="1"/>
  <c r="F310" i="1"/>
  <c r="F312" i="1"/>
  <c r="F314" i="1"/>
  <c r="F315" i="1"/>
  <c r="F316" i="1"/>
  <c r="F1077" i="1"/>
  <c r="F318" i="1"/>
  <c r="F319" i="1"/>
  <c r="F323" i="1"/>
  <c r="F325" i="1"/>
  <c r="F1066" i="1"/>
  <c r="F1079" i="1"/>
  <c r="F329" i="1"/>
  <c r="F331" i="1"/>
  <c r="F333" i="1"/>
  <c r="F335" i="1"/>
  <c r="F337" i="1"/>
  <c r="F339" i="1"/>
  <c r="F341" i="1"/>
  <c r="F1080" i="1"/>
  <c r="F1086" i="1"/>
  <c r="F345" i="1"/>
  <c r="F346" i="1"/>
  <c r="F348" i="1"/>
  <c r="F350" i="1"/>
  <c r="F352" i="1"/>
  <c r="F354" i="1"/>
  <c r="F355" i="1"/>
  <c r="F356" i="1"/>
  <c r="F358" i="1"/>
  <c r="F360" i="1"/>
  <c r="F362" i="1"/>
  <c r="F364" i="1"/>
  <c r="F366" i="1"/>
  <c r="F368" i="1"/>
  <c r="F370" i="1"/>
  <c r="F371" i="1"/>
  <c r="F254" i="1"/>
  <c r="F317" i="1"/>
  <c r="F689" i="1"/>
  <c r="F377" i="1"/>
  <c r="F378" i="1"/>
  <c r="F379" i="1"/>
  <c r="F381" i="1"/>
  <c r="F382" i="1"/>
  <c r="F328" i="1"/>
  <c r="F702" i="1"/>
  <c r="F385" i="1"/>
  <c r="F386" i="1"/>
  <c r="F387" i="1"/>
  <c r="F388" i="1"/>
  <c r="F390" i="1"/>
  <c r="F392" i="1"/>
  <c r="F394" i="1"/>
  <c r="F396" i="1"/>
  <c r="F398" i="1"/>
  <c r="F400" i="1"/>
  <c r="F402" i="1"/>
  <c r="F403" i="1"/>
  <c r="F404" i="1"/>
  <c r="F405" i="1"/>
  <c r="F406" i="1"/>
  <c r="F408" i="1"/>
  <c r="F410" i="1"/>
  <c r="F412" i="1"/>
  <c r="F413" i="1"/>
  <c r="F415" i="1"/>
  <c r="F417" i="1"/>
  <c r="F418" i="1"/>
  <c r="F423" i="1"/>
  <c r="F424" i="1"/>
  <c r="F425" i="1"/>
  <c r="F427" i="1"/>
  <c r="F428" i="1"/>
  <c r="F430" i="1"/>
  <c r="F432" i="1"/>
  <c r="F434" i="1"/>
  <c r="F436" i="1"/>
  <c r="F437" i="1"/>
  <c r="F439" i="1"/>
  <c r="F821" i="1"/>
  <c r="F443" i="1"/>
  <c r="F445" i="1"/>
  <c r="F447" i="1"/>
  <c r="F255" i="1"/>
  <c r="F448" i="1"/>
  <c r="F275" i="1"/>
  <c r="F449" i="1"/>
  <c r="F60" i="1"/>
  <c r="F450" i="1"/>
  <c r="F178" i="1"/>
  <c r="F451" i="1"/>
  <c r="F453" i="1"/>
  <c r="F455" i="1"/>
  <c r="F456" i="1"/>
  <c r="F566" i="1"/>
  <c r="F746" i="1"/>
  <c r="F461" i="1"/>
  <c r="F463" i="1"/>
  <c r="F465" i="1"/>
  <c r="F166" i="1"/>
  <c r="F820" i="1"/>
  <c r="F422" i="1"/>
  <c r="F470" i="1"/>
  <c r="F471" i="1"/>
  <c r="F685" i="1"/>
  <c r="F468" i="1"/>
  <c r="F474" i="1"/>
  <c r="F480" i="1"/>
  <c r="F478" i="1"/>
  <c r="F481" i="1"/>
  <c r="F483" i="1"/>
  <c r="F485" i="1"/>
  <c r="F487" i="1"/>
  <c r="F489" i="1"/>
  <c r="F491" i="1"/>
  <c r="F493" i="1"/>
  <c r="F495" i="1"/>
  <c r="F497" i="1"/>
  <c r="F499" i="1"/>
  <c r="F500" i="1"/>
  <c r="F501" i="1"/>
  <c r="F503" i="1"/>
  <c r="F504" i="1"/>
  <c r="F505" i="1"/>
  <c r="F506" i="1"/>
  <c r="F507" i="1"/>
  <c r="F509" i="1"/>
  <c r="F510" i="1"/>
  <c r="F511" i="1"/>
  <c r="F513" i="1"/>
  <c r="F515" i="1"/>
  <c r="F516" i="1"/>
  <c r="F517" i="1"/>
  <c r="F519" i="1"/>
  <c r="F521" i="1"/>
  <c r="F522" i="1"/>
  <c r="F523" i="1"/>
  <c r="F1046" i="1"/>
  <c r="F525" i="1"/>
  <c r="F526" i="1"/>
  <c r="F528" i="1"/>
  <c r="F530" i="1"/>
  <c r="F531" i="1"/>
  <c r="F1047" i="1"/>
  <c r="F535" i="1"/>
  <c r="F82" i="1"/>
  <c r="F538" i="1"/>
  <c r="F539" i="1"/>
  <c r="F541" i="1"/>
  <c r="F543" i="1"/>
  <c r="F545" i="1"/>
  <c r="F547" i="1"/>
  <c r="F548" i="1"/>
  <c r="F550" i="1"/>
  <c r="F552" i="1"/>
  <c r="F554" i="1"/>
  <c r="F556" i="1"/>
  <c r="F558" i="1"/>
  <c r="F560" i="1"/>
  <c r="F562" i="1"/>
  <c r="F563" i="1"/>
  <c r="F383" i="1"/>
  <c r="F920" i="1"/>
  <c r="F568" i="1"/>
  <c r="F569" i="1"/>
  <c r="F570" i="1"/>
  <c r="F572" i="1"/>
  <c r="F573" i="1"/>
  <c r="F574" i="1"/>
  <c r="F576" i="1"/>
  <c r="F577" i="1"/>
  <c r="F578" i="1"/>
  <c r="F580" i="1"/>
  <c r="F581" i="1"/>
  <c r="F582" i="1"/>
  <c r="F583" i="1"/>
  <c r="F585" i="1"/>
  <c r="F587" i="1"/>
  <c r="F589" i="1"/>
  <c r="F590" i="1"/>
  <c r="F591" i="1"/>
  <c r="F592" i="1"/>
  <c r="F594" i="1"/>
  <c r="F595" i="1"/>
  <c r="F596" i="1"/>
  <c r="F597" i="1"/>
  <c r="F599" i="1"/>
  <c r="F601" i="1"/>
  <c r="F603" i="1"/>
  <c r="F605" i="1"/>
  <c r="F606" i="1"/>
  <c r="F607" i="1"/>
  <c r="F608" i="1"/>
  <c r="F610" i="1"/>
  <c r="F612" i="1"/>
  <c r="F613" i="1"/>
  <c r="F614" i="1"/>
  <c r="F616" i="1"/>
  <c r="F618" i="1"/>
  <c r="F619" i="1"/>
  <c r="F620" i="1"/>
  <c r="F621" i="1"/>
  <c r="F622" i="1"/>
  <c r="F623" i="1"/>
  <c r="F624" i="1"/>
  <c r="F626" i="1"/>
  <c r="F627" i="1"/>
  <c r="F629" i="1"/>
  <c r="F631" i="1"/>
  <c r="F632" i="1"/>
  <c r="F633" i="1"/>
  <c r="F714" i="1"/>
  <c r="F256" i="1"/>
  <c r="F818" i="1"/>
  <c r="F83" i="1"/>
  <c r="F644" i="1"/>
  <c r="F645" i="1"/>
  <c r="F646" i="1"/>
  <c r="F647" i="1"/>
  <c r="F648" i="1"/>
  <c r="F649" i="1"/>
  <c r="F651" i="1"/>
  <c r="F653" i="1"/>
  <c r="F654" i="1"/>
  <c r="F655" i="1"/>
  <c r="F657" i="1"/>
  <c r="F659" i="1"/>
  <c r="F660" i="1"/>
  <c r="F661" i="1"/>
  <c r="F662" i="1"/>
  <c r="F663" i="1"/>
  <c r="F665" i="1"/>
  <c r="F667" i="1"/>
  <c r="F669" i="1"/>
  <c r="F670" i="1"/>
  <c r="F671" i="1"/>
  <c r="F672" i="1"/>
  <c r="F673" i="1"/>
  <c r="F674" i="1"/>
  <c r="F675" i="1"/>
  <c r="F680" i="1"/>
  <c r="F682" i="1"/>
  <c r="F34" i="1"/>
  <c r="F33" i="1"/>
  <c r="F686" i="1"/>
  <c r="F687" i="1"/>
  <c r="F32" i="1"/>
  <c r="F839" i="1"/>
  <c r="F691" i="1"/>
  <c r="F692" i="1"/>
  <c r="F694" i="1"/>
  <c r="F696" i="1"/>
  <c r="F698" i="1"/>
  <c r="F700" i="1"/>
  <c r="F701" i="1"/>
  <c r="F213" i="1"/>
  <c r="F372" i="1"/>
  <c r="F761" i="1"/>
  <c r="F704" i="1"/>
  <c r="F706" i="1"/>
  <c r="F708" i="1"/>
  <c r="F710" i="1"/>
  <c r="F712" i="1"/>
  <c r="F690" i="1"/>
  <c r="F716" i="1"/>
  <c r="F717" i="1"/>
  <c r="F719" i="1"/>
  <c r="F721" i="1"/>
  <c r="F722" i="1"/>
  <c r="F723" i="1"/>
  <c r="F725" i="1"/>
  <c r="F727" i="1"/>
  <c r="F729" i="1"/>
  <c r="F731" i="1"/>
  <c r="F732" i="1"/>
  <c r="F733" i="1"/>
  <c r="F734" i="1"/>
  <c r="F736" i="1"/>
  <c r="F738" i="1"/>
  <c r="F740" i="1"/>
  <c r="F742" i="1"/>
  <c r="F744" i="1"/>
  <c r="F37" i="1"/>
  <c r="F747" i="1"/>
  <c r="F749" i="1"/>
  <c r="F750" i="1"/>
  <c r="F751" i="1"/>
  <c r="F35" i="1"/>
  <c r="F753" i="1"/>
  <c r="F755" i="1"/>
  <c r="F756" i="1"/>
  <c r="F757" i="1"/>
  <c r="F759" i="1"/>
  <c r="F791" i="1"/>
  <c r="F763" i="1"/>
  <c r="F765" i="1"/>
  <c r="F767" i="1"/>
  <c r="F768" i="1"/>
  <c r="F770" i="1"/>
  <c r="F772" i="1"/>
  <c r="F774" i="1"/>
  <c r="F776" i="1"/>
  <c r="F778" i="1"/>
  <c r="F780" i="1"/>
  <c r="F782" i="1"/>
  <c r="F783" i="1"/>
  <c r="F784" i="1"/>
  <c r="F785" i="1"/>
  <c r="F787" i="1"/>
  <c r="F789" i="1"/>
  <c r="F995" i="1"/>
  <c r="F792" i="1"/>
  <c r="F794" i="1"/>
  <c r="F796" i="1"/>
  <c r="F797" i="1"/>
  <c r="F798" i="1"/>
  <c r="F799" i="1"/>
  <c r="F800" i="1"/>
  <c r="F801" i="1"/>
  <c r="F936" i="1"/>
  <c r="F805" i="1"/>
  <c r="F807" i="1"/>
  <c r="F808" i="1"/>
  <c r="F809" i="1"/>
  <c r="F810" i="1"/>
  <c r="F811" i="1"/>
  <c r="F813" i="1"/>
  <c r="F815" i="1"/>
  <c r="F816" i="1"/>
  <c r="F817" i="1"/>
  <c r="F253" i="1"/>
  <c r="F476" i="1"/>
  <c r="F460" i="1"/>
  <c r="F458" i="1"/>
  <c r="F1102" i="1"/>
  <c r="F827" i="1"/>
  <c r="F828" i="1"/>
  <c r="F829" i="1"/>
  <c r="F830" i="1"/>
  <c r="F831" i="1"/>
  <c r="F832" i="1"/>
  <c r="F833" i="1"/>
  <c r="F834" i="1"/>
  <c r="F835" i="1"/>
  <c r="F836" i="1"/>
  <c r="F375" i="1"/>
  <c r="F226" i="1"/>
  <c r="F842" i="1"/>
  <c r="F843" i="1"/>
  <c r="F844" i="1"/>
  <c r="F845" i="1"/>
  <c r="F846" i="1"/>
  <c r="F847" i="1"/>
  <c r="F849" i="1"/>
  <c r="F851" i="1"/>
  <c r="F852" i="1"/>
  <c r="F327" i="1"/>
  <c r="F857" i="1"/>
  <c r="F858" i="1"/>
  <c r="F859" i="1"/>
  <c r="F860" i="1"/>
  <c r="F861" i="1"/>
  <c r="F863" i="1"/>
  <c r="F865" i="1"/>
  <c r="F866" i="1"/>
  <c r="F867" i="1"/>
  <c r="F869" i="1"/>
  <c r="F871" i="1"/>
  <c r="F873" i="1"/>
  <c r="F875" i="1"/>
  <c r="F877" i="1"/>
  <c r="F879" i="1"/>
  <c r="F880" i="1"/>
  <c r="F881" i="1"/>
  <c r="F882" i="1"/>
  <c r="F883" i="1"/>
  <c r="F884" i="1"/>
  <c r="F886" i="1"/>
  <c r="F888" i="1"/>
  <c r="F890" i="1"/>
  <c r="F891" i="1"/>
  <c r="F893" i="1"/>
  <c r="F895" i="1"/>
  <c r="F896" i="1"/>
  <c r="F898" i="1"/>
  <c r="F900" i="1"/>
  <c r="F902" i="1"/>
  <c r="F904" i="1"/>
  <c r="F906" i="1"/>
  <c r="F907" i="1"/>
  <c r="F908" i="1"/>
  <c r="F910" i="1"/>
  <c r="F912" i="1"/>
  <c r="F914" i="1"/>
  <c r="F916" i="1"/>
  <c r="F917" i="1"/>
  <c r="F918" i="1"/>
  <c r="F919" i="1"/>
  <c r="F38" i="1"/>
  <c r="F524" i="1"/>
  <c r="F922" i="1"/>
  <c r="F923" i="1"/>
  <c r="F924" i="1"/>
  <c r="F925" i="1"/>
  <c r="F926" i="1"/>
  <c r="F927" i="1"/>
  <c r="F928" i="1"/>
  <c r="F930" i="1"/>
  <c r="F932" i="1"/>
  <c r="F933" i="1"/>
  <c r="F934" i="1"/>
  <c r="F1097" i="1"/>
  <c r="F373" i="1"/>
  <c r="F937" i="1"/>
  <c r="F939" i="1"/>
  <c r="F940" i="1"/>
  <c r="F942" i="1"/>
  <c r="F944" i="1"/>
  <c r="F946" i="1"/>
  <c r="F948" i="1"/>
  <c r="F950" i="1"/>
  <c r="F951" i="1"/>
  <c r="F953" i="1"/>
  <c r="F955" i="1"/>
  <c r="F957" i="1"/>
  <c r="F959" i="1"/>
  <c r="F960" i="1"/>
  <c r="F961" i="1"/>
  <c r="F962" i="1"/>
  <c r="F963" i="1"/>
  <c r="F964" i="1"/>
  <c r="F965" i="1"/>
  <c r="F966" i="1"/>
  <c r="F967" i="1"/>
  <c r="F969" i="1"/>
  <c r="F971" i="1"/>
  <c r="F973" i="1"/>
  <c r="F974" i="1"/>
  <c r="F975" i="1"/>
  <c r="F976" i="1"/>
  <c r="F977" i="1"/>
  <c r="F978" i="1"/>
  <c r="F979" i="1"/>
  <c r="F980" i="1"/>
  <c r="F981" i="1"/>
  <c r="F983" i="1"/>
  <c r="F984" i="1"/>
  <c r="F985" i="1"/>
  <c r="F986" i="1"/>
  <c r="F988" i="1"/>
  <c r="F990" i="1"/>
  <c r="F992" i="1"/>
  <c r="F641" i="1"/>
  <c r="F639" i="1"/>
  <c r="F637" i="1"/>
  <c r="F997" i="1"/>
  <c r="F999" i="1"/>
  <c r="F1001" i="1"/>
  <c r="F1002" i="1"/>
  <c r="F1004" i="1"/>
  <c r="F1006" i="1"/>
  <c r="F1008" i="1"/>
  <c r="F1010" i="1"/>
  <c r="F1012" i="1"/>
  <c r="F1014" i="1"/>
  <c r="F1016" i="1"/>
  <c r="F1018" i="1"/>
  <c r="F1020" i="1"/>
  <c r="F1022" i="1"/>
  <c r="F1024" i="1"/>
  <c r="F1026" i="1"/>
  <c r="F1028" i="1"/>
  <c r="F1030" i="1"/>
  <c r="F1032" i="1"/>
  <c r="F1034" i="1"/>
  <c r="F1036" i="1"/>
  <c r="F1038" i="1"/>
  <c r="F1040" i="1"/>
  <c r="F1042" i="1"/>
  <c r="F1044" i="1"/>
  <c r="F825" i="1"/>
  <c r="F533" i="1"/>
  <c r="F1049" i="1"/>
  <c r="F1051" i="1"/>
  <c r="F1052" i="1"/>
  <c r="F1053" i="1"/>
  <c r="F1055" i="1"/>
  <c r="F1056" i="1"/>
  <c r="F1057" i="1"/>
  <c r="F1059" i="1"/>
  <c r="F1060" i="1"/>
  <c r="F1061" i="1"/>
  <c r="F442" i="1"/>
  <c r="F1100" i="1"/>
  <c r="F1127" i="1"/>
  <c r="F1067" i="1"/>
  <c r="F1069" i="1"/>
  <c r="F1071" i="1"/>
  <c r="F1072" i="1"/>
  <c r="F1073" i="1"/>
  <c r="F1075" i="1"/>
  <c r="F441" i="1"/>
  <c r="F1076" i="1"/>
  <c r="F197" i="1"/>
  <c r="F343" i="1"/>
  <c r="F752" i="1"/>
  <c r="F276" i="1"/>
  <c r="F1081" i="1"/>
  <c r="F1082" i="1"/>
  <c r="F1083" i="1"/>
  <c r="F1084" i="1"/>
  <c r="F277" i="1"/>
  <c r="F1087" i="1"/>
  <c r="F1088" i="1"/>
  <c r="F1089" i="1"/>
  <c r="F1091" i="1"/>
  <c r="F1093" i="1"/>
  <c r="F1095" i="1"/>
  <c r="F840" i="1"/>
  <c r="F841" i="1"/>
  <c r="F344" i="1"/>
  <c r="F459" i="1"/>
  <c r="F1103" i="1"/>
  <c r="F1105" i="1"/>
  <c r="F1107" i="1"/>
  <c r="F1109" i="1"/>
  <c r="F1111" i="1"/>
  <c r="F1113" i="1"/>
  <c r="F1115" i="1"/>
  <c r="F1116" i="1"/>
  <c r="F1117" i="1"/>
  <c r="F819" i="1"/>
  <c r="F1118" i="1"/>
  <c r="F467" i="1"/>
  <c r="F1119" i="1"/>
  <c r="F1121" i="1"/>
  <c r="F1123" i="1"/>
  <c r="F1125" i="1"/>
  <c r="F61" i="1"/>
  <c r="F1129" i="1"/>
  <c r="F1131" i="1"/>
  <c r="F1133" i="1"/>
  <c r="F1164" i="1"/>
  <c r="F1134" i="1"/>
  <c r="F1135" i="1"/>
  <c r="F1136" i="1"/>
  <c r="F1137" i="1"/>
  <c r="F537" i="1"/>
  <c r="F1138" i="1"/>
  <c r="F1140" i="1"/>
  <c r="F1142" i="1"/>
  <c r="F1144" i="1"/>
  <c r="F1146" i="1"/>
  <c r="F1148" i="1"/>
  <c r="F1150" i="1"/>
  <c r="F1152" i="1"/>
  <c r="F1154" i="1"/>
  <c r="F1156" i="1"/>
  <c r="F1158" i="1"/>
  <c r="F1159" i="1"/>
  <c r="F1160" i="1"/>
  <c r="F1162" i="1"/>
  <c r="F421" i="1"/>
  <c r="F1165" i="1"/>
  <c r="F1167" i="1"/>
  <c r="M1168" i="1"/>
  <c r="L1168" i="1"/>
  <c r="K1168" i="1"/>
  <c r="J1168" i="1"/>
  <c r="I1168" i="1"/>
  <c r="H1168" i="1"/>
  <c r="G1168" i="1"/>
  <c r="F1168" i="1" s="1"/>
  <c r="B1168" i="1"/>
  <c r="O1168" i="1"/>
  <c r="M1166" i="1"/>
  <c r="L1166" i="1"/>
  <c r="K1166" i="1"/>
  <c r="J1166" i="1"/>
  <c r="I1166" i="1"/>
  <c r="H1166" i="1"/>
  <c r="G1166" i="1"/>
  <c r="F1166" i="1" s="1"/>
  <c r="B1166" i="1"/>
  <c r="O1166" i="1"/>
  <c r="M1163" i="1"/>
  <c r="L1163" i="1"/>
  <c r="K1163" i="1"/>
  <c r="J1163" i="1"/>
  <c r="I1163" i="1"/>
  <c r="H1163" i="1"/>
  <c r="G1163" i="1"/>
  <c r="F1163" i="1" s="1"/>
  <c r="B1163" i="1"/>
  <c r="O1163" i="1"/>
  <c r="M1161" i="1"/>
  <c r="L1161" i="1"/>
  <c r="K1161" i="1"/>
  <c r="J1161" i="1"/>
  <c r="I1161" i="1"/>
  <c r="H1161" i="1"/>
  <c r="G1161" i="1"/>
  <c r="F1161" i="1" s="1"/>
  <c r="B1161" i="1"/>
  <c r="O1161" i="1"/>
  <c r="M1157" i="1"/>
  <c r="L1157" i="1"/>
  <c r="K1157" i="1"/>
  <c r="J1157" i="1"/>
  <c r="I1157" i="1"/>
  <c r="H1157" i="1"/>
  <c r="G1157" i="1"/>
  <c r="F1157" i="1" s="1"/>
  <c r="O1157" i="1"/>
  <c r="M1155" i="1"/>
  <c r="L1155" i="1"/>
  <c r="K1155" i="1"/>
  <c r="J1155" i="1"/>
  <c r="I1155" i="1"/>
  <c r="H1155" i="1"/>
  <c r="G1155" i="1"/>
  <c r="F1155" i="1" s="1"/>
  <c r="O1155" i="1"/>
  <c r="M1153" i="1"/>
  <c r="L1153" i="1"/>
  <c r="K1153" i="1"/>
  <c r="J1153" i="1"/>
  <c r="I1153" i="1"/>
  <c r="H1153" i="1"/>
  <c r="G1153" i="1"/>
  <c r="F1153" i="1" s="1"/>
  <c r="O1153" i="1"/>
  <c r="M1151" i="1"/>
  <c r="L1151" i="1"/>
  <c r="K1151" i="1"/>
  <c r="J1151" i="1"/>
  <c r="I1151" i="1"/>
  <c r="H1151" i="1"/>
  <c r="G1151" i="1"/>
  <c r="F1151" i="1" s="1"/>
  <c r="O1151" i="1"/>
  <c r="M1149" i="1"/>
  <c r="L1149" i="1"/>
  <c r="K1149" i="1"/>
  <c r="J1149" i="1"/>
  <c r="I1149" i="1"/>
  <c r="H1149" i="1"/>
  <c r="G1149" i="1"/>
  <c r="F1149" i="1" s="1"/>
  <c r="O1149" i="1"/>
  <c r="M1147" i="1"/>
  <c r="L1147" i="1"/>
  <c r="K1147" i="1"/>
  <c r="J1147" i="1"/>
  <c r="I1147" i="1"/>
  <c r="H1147" i="1"/>
  <c r="G1147" i="1"/>
  <c r="F1147" i="1" s="1"/>
  <c r="O1147" i="1"/>
  <c r="M1145" i="1"/>
  <c r="L1145" i="1"/>
  <c r="K1145" i="1"/>
  <c r="J1145" i="1"/>
  <c r="I1145" i="1"/>
  <c r="H1145" i="1"/>
  <c r="G1145" i="1"/>
  <c r="F1145" i="1" s="1"/>
  <c r="O1145" i="1"/>
  <c r="M1143" i="1"/>
  <c r="L1143" i="1"/>
  <c r="K1143" i="1"/>
  <c r="J1143" i="1"/>
  <c r="I1143" i="1"/>
  <c r="H1143" i="1"/>
  <c r="G1143" i="1"/>
  <c r="F1143" i="1" s="1"/>
  <c r="O1143" i="1"/>
  <c r="M1141" i="1"/>
  <c r="L1141" i="1"/>
  <c r="K1141" i="1"/>
  <c r="J1141" i="1"/>
  <c r="I1141" i="1"/>
  <c r="H1141" i="1"/>
  <c r="G1141" i="1"/>
  <c r="F1141" i="1" s="1"/>
  <c r="B1141" i="1"/>
  <c r="O1141" i="1" s="1"/>
  <c r="M1139" i="1"/>
  <c r="L1139" i="1"/>
  <c r="K1139" i="1"/>
  <c r="J1139" i="1"/>
  <c r="I1139" i="1"/>
  <c r="H1139" i="1"/>
  <c r="G1139" i="1"/>
  <c r="F1139" i="1" s="1"/>
  <c r="B1139" i="1"/>
  <c r="O1139" i="1" s="1"/>
  <c r="M1130" i="1"/>
  <c r="L1130" i="1"/>
  <c r="K1130" i="1"/>
  <c r="J1130" i="1"/>
  <c r="I1130" i="1"/>
  <c r="H1130" i="1"/>
  <c r="G1130" i="1"/>
  <c r="F1130" i="1" s="1"/>
  <c r="B1130" i="1"/>
  <c r="O1130" i="1" s="1"/>
  <c r="M1126" i="1"/>
  <c r="L1126" i="1"/>
  <c r="K1126" i="1"/>
  <c r="J1126" i="1"/>
  <c r="I1126" i="1"/>
  <c r="H1126" i="1"/>
  <c r="G1126" i="1"/>
  <c r="F1126" i="1" s="1"/>
  <c r="B1126" i="1"/>
  <c r="O1126" i="1" s="1"/>
  <c r="M1124" i="1"/>
  <c r="L1124" i="1"/>
  <c r="K1124" i="1"/>
  <c r="J1124" i="1"/>
  <c r="I1124" i="1"/>
  <c r="H1124" i="1"/>
  <c r="G1124" i="1"/>
  <c r="F1124" i="1" s="1"/>
  <c r="B1124" i="1"/>
  <c r="O1124" i="1" s="1"/>
  <c r="M1122" i="1"/>
  <c r="L1122" i="1"/>
  <c r="K1122" i="1"/>
  <c r="J1122" i="1"/>
  <c r="I1122" i="1"/>
  <c r="H1122" i="1"/>
  <c r="G1122" i="1"/>
  <c r="F1122" i="1" s="1"/>
  <c r="B1122" i="1"/>
  <c r="O1122" i="1" s="1"/>
  <c r="M1120" i="1"/>
  <c r="L1120" i="1"/>
  <c r="K1120" i="1"/>
  <c r="J1120" i="1"/>
  <c r="I1120" i="1"/>
  <c r="H1120" i="1"/>
  <c r="G1120" i="1"/>
  <c r="F1120" i="1" s="1"/>
  <c r="B1120" i="1"/>
  <c r="O1120" i="1" s="1"/>
  <c r="M567" i="1"/>
  <c r="L567" i="1"/>
  <c r="K567" i="1"/>
  <c r="J567" i="1"/>
  <c r="I567" i="1"/>
  <c r="H567" i="1"/>
  <c r="G567" i="1"/>
  <c r="F567" i="1" s="1"/>
  <c r="B567" i="1"/>
  <c r="O567" i="1" s="1"/>
  <c r="M1064" i="1"/>
  <c r="L1064" i="1"/>
  <c r="K1064" i="1"/>
  <c r="J1064" i="1"/>
  <c r="I1064" i="1"/>
  <c r="H1064" i="1"/>
  <c r="G1064" i="1"/>
  <c r="F1064" i="1" s="1"/>
  <c r="B1064" i="1"/>
  <c r="O1064" i="1" s="1"/>
  <c r="M1114" i="1"/>
  <c r="L1114" i="1"/>
  <c r="K1114" i="1"/>
  <c r="J1114" i="1"/>
  <c r="I1114" i="1"/>
  <c r="H1114" i="1"/>
  <c r="G1114" i="1"/>
  <c r="F1114" i="1" s="1"/>
  <c r="B1114" i="1"/>
  <c r="O1114" i="1" s="1"/>
  <c r="M1112" i="1"/>
  <c r="L1112" i="1"/>
  <c r="K1112" i="1"/>
  <c r="J1112" i="1"/>
  <c r="I1112" i="1"/>
  <c r="H1112" i="1"/>
  <c r="G1112" i="1"/>
  <c r="F1112" i="1" s="1"/>
  <c r="B1112" i="1"/>
  <c r="O1112" i="1" s="1"/>
  <c r="M1110" i="1"/>
  <c r="L1110" i="1"/>
  <c r="K1110" i="1"/>
  <c r="J1110" i="1"/>
  <c r="I1110" i="1"/>
  <c r="H1110" i="1"/>
  <c r="G1110" i="1"/>
  <c r="F1110" i="1" s="1"/>
  <c r="B1110" i="1"/>
  <c r="O1110" i="1" s="1"/>
  <c r="M1108" i="1"/>
  <c r="L1108" i="1"/>
  <c r="K1108" i="1"/>
  <c r="J1108" i="1"/>
  <c r="I1108" i="1"/>
  <c r="H1108" i="1"/>
  <c r="G1108" i="1"/>
  <c r="F1108" i="1" s="1"/>
  <c r="B1108" i="1"/>
  <c r="O1108" i="1" s="1"/>
  <c r="M1106" i="1"/>
  <c r="L1106" i="1"/>
  <c r="K1106" i="1"/>
  <c r="J1106" i="1"/>
  <c r="I1106" i="1"/>
  <c r="H1106" i="1"/>
  <c r="G1106" i="1"/>
  <c r="F1106" i="1" s="1"/>
  <c r="B1106" i="1"/>
  <c r="O1106" i="1" s="1"/>
  <c r="M1104" i="1"/>
  <c r="L1104" i="1"/>
  <c r="K1104" i="1"/>
  <c r="J1104" i="1"/>
  <c r="I1104" i="1"/>
  <c r="H1104" i="1"/>
  <c r="G1104" i="1"/>
  <c r="F1104" i="1" s="1"/>
  <c r="B1104" i="1"/>
  <c r="O1104" i="1" s="1"/>
  <c r="M1096" i="1"/>
  <c r="L1096" i="1"/>
  <c r="K1096" i="1"/>
  <c r="J1096" i="1"/>
  <c r="I1096" i="1"/>
  <c r="H1096" i="1"/>
  <c r="G1096" i="1"/>
  <c r="F1096" i="1" s="1"/>
  <c r="O1096" i="1"/>
  <c r="M1094" i="1"/>
  <c r="L1094" i="1"/>
  <c r="K1094" i="1"/>
  <c r="J1094" i="1"/>
  <c r="I1094" i="1"/>
  <c r="H1094" i="1"/>
  <c r="G1094" i="1"/>
  <c r="F1094" i="1" s="1"/>
  <c r="O1094" i="1"/>
  <c r="M1092" i="1"/>
  <c r="L1092" i="1"/>
  <c r="K1092" i="1"/>
  <c r="J1092" i="1"/>
  <c r="I1092" i="1"/>
  <c r="H1092" i="1"/>
  <c r="G1092" i="1"/>
  <c r="F1092" i="1" s="1"/>
  <c r="B1092" i="1"/>
  <c r="O1092" i="1" s="1"/>
  <c r="M1090" i="1"/>
  <c r="L1090" i="1"/>
  <c r="K1090" i="1"/>
  <c r="J1090" i="1"/>
  <c r="I1090" i="1"/>
  <c r="H1090" i="1"/>
  <c r="G1090" i="1"/>
  <c r="F1090" i="1" s="1"/>
  <c r="B1090" i="1"/>
  <c r="O1090" i="1" s="1"/>
  <c r="M1085" i="1"/>
  <c r="L1085" i="1"/>
  <c r="K1085" i="1"/>
  <c r="J1085" i="1"/>
  <c r="I1085" i="1"/>
  <c r="H1085" i="1"/>
  <c r="G1085" i="1"/>
  <c r="F1085" i="1" s="1"/>
  <c r="B1085" i="1"/>
  <c r="O1085" i="1" s="1"/>
  <c r="M212" i="1"/>
  <c r="L212" i="1"/>
  <c r="K212" i="1"/>
  <c r="J212" i="1"/>
  <c r="I212" i="1"/>
  <c r="H212" i="1"/>
  <c r="G212" i="1"/>
  <c r="F212" i="1" s="1"/>
  <c r="B212" i="1"/>
  <c r="O212" i="1" s="1"/>
  <c r="M837" i="1"/>
  <c r="L837" i="1"/>
  <c r="K837" i="1"/>
  <c r="J837" i="1"/>
  <c r="I837" i="1"/>
  <c r="H837" i="1"/>
  <c r="G837" i="1"/>
  <c r="F837" i="1" s="1"/>
  <c r="B837" i="1"/>
  <c r="O837" i="1" s="1"/>
  <c r="M1074" i="1"/>
  <c r="L1074" i="1"/>
  <c r="K1074" i="1"/>
  <c r="J1074" i="1"/>
  <c r="I1074" i="1"/>
  <c r="H1074" i="1"/>
  <c r="G1074" i="1"/>
  <c r="F1074" i="1" s="1"/>
  <c r="B1074" i="1"/>
  <c r="O1074" i="1" s="1"/>
  <c r="M1070" i="1"/>
  <c r="L1070" i="1"/>
  <c r="K1070" i="1"/>
  <c r="J1070" i="1"/>
  <c r="I1070" i="1"/>
  <c r="H1070" i="1"/>
  <c r="G1070" i="1"/>
  <c r="F1070" i="1" s="1"/>
  <c r="B1070" i="1"/>
  <c r="O1070" i="1" s="1"/>
  <c r="M1068" i="1"/>
  <c r="L1068" i="1"/>
  <c r="K1068" i="1"/>
  <c r="J1068" i="1"/>
  <c r="I1068" i="1"/>
  <c r="H1068" i="1"/>
  <c r="G1068" i="1"/>
  <c r="F1068" i="1" s="1"/>
  <c r="B1068" i="1"/>
  <c r="O1068" i="1" s="1"/>
  <c r="M1128" i="1"/>
  <c r="L1128" i="1"/>
  <c r="K1128" i="1"/>
  <c r="J1128" i="1"/>
  <c r="I1128" i="1"/>
  <c r="H1128" i="1"/>
  <c r="G1128" i="1"/>
  <c r="F1128" i="1" s="1"/>
  <c r="B1128" i="1"/>
  <c r="O1128" i="1" s="1"/>
  <c r="M1101" i="1"/>
  <c r="L1101" i="1"/>
  <c r="K1101" i="1"/>
  <c r="J1101" i="1"/>
  <c r="I1101" i="1"/>
  <c r="H1101" i="1"/>
  <c r="G1101" i="1"/>
  <c r="F1101" i="1" s="1"/>
  <c r="B1101" i="1"/>
  <c r="O1101" i="1" s="1"/>
  <c r="M1062" i="1"/>
  <c r="L1062" i="1"/>
  <c r="K1062" i="1"/>
  <c r="J1062" i="1"/>
  <c r="I1062" i="1"/>
  <c r="H1062" i="1"/>
  <c r="G1062" i="1"/>
  <c r="F1062" i="1" s="1"/>
  <c r="B1062" i="1"/>
  <c r="O1062" i="1" s="1"/>
  <c r="M1058" i="1"/>
  <c r="L1058" i="1"/>
  <c r="K1058" i="1"/>
  <c r="J1058" i="1"/>
  <c r="I1058" i="1"/>
  <c r="H1058" i="1"/>
  <c r="G1058" i="1"/>
  <c r="F1058" i="1" s="1"/>
  <c r="B1058" i="1"/>
  <c r="O1058" i="1" s="1"/>
  <c r="M1054" i="1"/>
  <c r="L1054" i="1"/>
  <c r="K1054" i="1"/>
  <c r="J1054" i="1"/>
  <c r="I1054" i="1"/>
  <c r="H1054" i="1"/>
  <c r="G1054" i="1"/>
  <c r="F1054" i="1" s="1"/>
  <c r="B1054" i="1"/>
  <c r="O1054" i="1" s="1"/>
  <c r="M1050" i="1"/>
  <c r="L1050" i="1"/>
  <c r="K1050" i="1"/>
  <c r="J1050" i="1"/>
  <c r="I1050" i="1"/>
  <c r="H1050" i="1"/>
  <c r="G1050" i="1"/>
  <c r="F1050" i="1" s="1"/>
  <c r="B1050" i="1"/>
  <c r="O1050" i="1" s="1"/>
  <c r="M534" i="1"/>
  <c r="L534" i="1"/>
  <c r="K534" i="1"/>
  <c r="J534" i="1"/>
  <c r="I534" i="1"/>
  <c r="H534" i="1"/>
  <c r="G534" i="1"/>
  <c r="F534" i="1" s="1"/>
  <c r="O534" i="1"/>
  <c r="M826" i="1"/>
  <c r="L826" i="1"/>
  <c r="K826" i="1"/>
  <c r="J826" i="1"/>
  <c r="I826" i="1"/>
  <c r="H826" i="1"/>
  <c r="G826" i="1"/>
  <c r="F826" i="1" s="1"/>
  <c r="O826" i="1"/>
  <c r="M1045" i="1"/>
  <c r="L1045" i="1"/>
  <c r="K1045" i="1"/>
  <c r="J1045" i="1"/>
  <c r="I1045" i="1"/>
  <c r="H1045" i="1"/>
  <c r="G1045" i="1"/>
  <c r="F1045" i="1" s="1"/>
  <c r="O1045" i="1"/>
  <c r="M1043" i="1"/>
  <c r="L1043" i="1"/>
  <c r="K1043" i="1"/>
  <c r="J1043" i="1"/>
  <c r="I1043" i="1"/>
  <c r="H1043" i="1"/>
  <c r="G1043" i="1"/>
  <c r="F1043" i="1" s="1"/>
  <c r="O1043" i="1"/>
  <c r="M1041" i="1"/>
  <c r="L1041" i="1"/>
  <c r="K1041" i="1"/>
  <c r="J1041" i="1"/>
  <c r="I1041" i="1"/>
  <c r="H1041" i="1"/>
  <c r="G1041" i="1"/>
  <c r="F1041" i="1" s="1"/>
  <c r="O1041" i="1"/>
  <c r="M1039" i="1"/>
  <c r="L1039" i="1"/>
  <c r="K1039" i="1"/>
  <c r="J1039" i="1"/>
  <c r="I1039" i="1"/>
  <c r="H1039" i="1"/>
  <c r="G1039" i="1"/>
  <c r="F1039" i="1" s="1"/>
  <c r="O1039" i="1"/>
  <c r="M1037" i="1"/>
  <c r="L1037" i="1"/>
  <c r="K1037" i="1"/>
  <c r="J1037" i="1"/>
  <c r="I1037" i="1"/>
  <c r="H1037" i="1"/>
  <c r="G1037" i="1"/>
  <c r="F1037" i="1" s="1"/>
  <c r="O1037" i="1"/>
  <c r="M1035" i="1"/>
  <c r="L1035" i="1"/>
  <c r="K1035" i="1"/>
  <c r="J1035" i="1"/>
  <c r="I1035" i="1"/>
  <c r="H1035" i="1"/>
  <c r="G1035" i="1"/>
  <c r="F1035" i="1" s="1"/>
  <c r="O1035" i="1"/>
  <c r="M1033" i="1"/>
  <c r="L1033" i="1"/>
  <c r="K1033" i="1"/>
  <c r="J1033" i="1"/>
  <c r="I1033" i="1"/>
  <c r="H1033" i="1"/>
  <c r="G1033" i="1"/>
  <c r="F1033" i="1" s="1"/>
  <c r="O1033" i="1"/>
  <c r="M1031" i="1"/>
  <c r="L1031" i="1"/>
  <c r="K1031" i="1"/>
  <c r="J1031" i="1"/>
  <c r="I1031" i="1"/>
  <c r="H1031" i="1"/>
  <c r="G1031" i="1"/>
  <c r="F1031" i="1" s="1"/>
  <c r="B1031" i="1"/>
  <c r="O1031" i="1" s="1"/>
  <c r="M1029" i="1"/>
  <c r="L1029" i="1"/>
  <c r="K1029" i="1"/>
  <c r="J1029" i="1"/>
  <c r="I1029" i="1"/>
  <c r="H1029" i="1"/>
  <c r="G1029" i="1"/>
  <c r="F1029" i="1" s="1"/>
  <c r="B1029" i="1"/>
  <c r="O1029" i="1" s="1"/>
  <c r="M1027" i="1"/>
  <c r="L1027" i="1"/>
  <c r="K1027" i="1"/>
  <c r="J1027" i="1"/>
  <c r="I1027" i="1"/>
  <c r="H1027" i="1"/>
  <c r="G1027" i="1"/>
  <c r="F1027" i="1" s="1"/>
  <c r="O1027" i="1"/>
  <c r="M1025" i="1"/>
  <c r="L1025" i="1"/>
  <c r="K1025" i="1"/>
  <c r="J1025" i="1"/>
  <c r="I1025" i="1"/>
  <c r="H1025" i="1"/>
  <c r="G1025" i="1"/>
  <c r="F1025" i="1" s="1"/>
  <c r="O1025" i="1"/>
  <c r="M1023" i="1"/>
  <c r="L1023" i="1"/>
  <c r="K1023" i="1"/>
  <c r="J1023" i="1"/>
  <c r="I1023" i="1"/>
  <c r="H1023" i="1"/>
  <c r="G1023" i="1"/>
  <c r="F1023" i="1" s="1"/>
  <c r="C1023" i="1"/>
  <c r="O1023" i="1"/>
  <c r="M1021" i="1"/>
  <c r="L1021" i="1"/>
  <c r="K1021" i="1"/>
  <c r="J1021" i="1"/>
  <c r="I1021" i="1"/>
  <c r="H1021" i="1"/>
  <c r="G1021" i="1"/>
  <c r="F1021" i="1" s="1"/>
  <c r="C1021" i="1"/>
  <c r="O1021" i="1"/>
  <c r="M1019" i="1"/>
  <c r="L1019" i="1"/>
  <c r="K1019" i="1"/>
  <c r="J1019" i="1"/>
  <c r="I1019" i="1"/>
  <c r="H1019" i="1"/>
  <c r="G1019" i="1"/>
  <c r="F1019" i="1" s="1"/>
  <c r="B1019" i="1"/>
  <c r="O1019" i="1"/>
  <c r="M1017" i="1"/>
  <c r="L1017" i="1"/>
  <c r="K1017" i="1"/>
  <c r="J1017" i="1"/>
  <c r="I1017" i="1"/>
  <c r="H1017" i="1"/>
  <c r="G1017" i="1"/>
  <c r="F1017" i="1" s="1"/>
  <c r="B1017" i="1"/>
  <c r="O1017" i="1"/>
  <c r="M1015" i="1"/>
  <c r="L1015" i="1"/>
  <c r="K1015" i="1"/>
  <c r="J1015" i="1"/>
  <c r="I1015" i="1"/>
  <c r="H1015" i="1"/>
  <c r="G1015" i="1"/>
  <c r="F1015" i="1" s="1"/>
  <c r="B1015" i="1"/>
  <c r="O1015" i="1"/>
  <c r="M1013" i="1"/>
  <c r="L1013" i="1"/>
  <c r="K1013" i="1"/>
  <c r="J1013" i="1"/>
  <c r="I1013" i="1"/>
  <c r="H1013" i="1"/>
  <c r="G1013" i="1"/>
  <c r="F1013" i="1" s="1"/>
  <c r="B1013" i="1"/>
  <c r="O1013" i="1"/>
  <c r="M1011" i="1"/>
  <c r="L1011" i="1"/>
  <c r="K1011" i="1"/>
  <c r="J1011" i="1"/>
  <c r="I1011" i="1"/>
  <c r="H1011" i="1"/>
  <c r="G1011" i="1"/>
  <c r="F1011" i="1" s="1"/>
  <c r="B1011" i="1"/>
  <c r="O1011" i="1"/>
  <c r="M1009" i="1"/>
  <c r="L1009" i="1"/>
  <c r="K1009" i="1"/>
  <c r="J1009" i="1"/>
  <c r="I1009" i="1"/>
  <c r="H1009" i="1"/>
  <c r="G1009" i="1"/>
  <c r="F1009" i="1" s="1"/>
  <c r="B1009" i="1"/>
  <c r="O1009" i="1"/>
  <c r="M1007" i="1"/>
  <c r="L1007" i="1"/>
  <c r="K1007" i="1"/>
  <c r="J1007" i="1"/>
  <c r="I1007" i="1"/>
  <c r="H1007" i="1"/>
  <c r="G1007" i="1"/>
  <c r="F1007" i="1" s="1"/>
  <c r="B1007" i="1"/>
  <c r="O1007" i="1"/>
  <c r="M1005" i="1"/>
  <c r="L1005" i="1"/>
  <c r="K1005" i="1"/>
  <c r="J1005" i="1"/>
  <c r="I1005" i="1"/>
  <c r="H1005" i="1"/>
  <c r="G1005" i="1"/>
  <c r="F1005" i="1" s="1"/>
  <c r="B1005" i="1"/>
  <c r="O1005" i="1"/>
  <c r="M1003" i="1"/>
  <c r="L1003" i="1"/>
  <c r="K1003" i="1"/>
  <c r="J1003" i="1"/>
  <c r="I1003" i="1"/>
  <c r="H1003" i="1"/>
  <c r="G1003" i="1"/>
  <c r="F1003" i="1" s="1"/>
  <c r="B1003" i="1"/>
  <c r="O1003" i="1"/>
  <c r="M1000" i="1"/>
  <c r="L1000" i="1"/>
  <c r="K1000" i="1"/>
  <c r="J1000" i="1"/>
  <c r="I1000" i="1"/>
  <c r="H1000" i="1"/>
  <c r="G1000" i="1"/>
  <c r="F1000" i="1" s="1"/>
  <c r="B1000" i="1"/>
  <c r="O1000" i="1"/>
  <c r="M998" i="1"/>
  <c r="L998" i="1"/>
  <c r="K998" i="1"/>
  <c r="J998" i="1"/>
  <c r="I998" i="1"/>
  <c r="H998" i="1"/>
  <c r="G998" i="1"/>
  <c r="F998" i="1" s="1"/>
  <c r="B998" i="1"/>
  <c r="O998" i="1"/>
  <c r="M638" i="1"/>
  <c r="L638" i="1"/>
  <c r="K638" i="1"/>
  <c r="J638" i="1"/>
  <c r="I638" i="1"/>
  <c r="H638" i="1"/>
  <c r="G638" i="1"/>
  <c r="F638" i="1" s="1"/>
  <c r="B638" i="1"/>
  <c r="O638" i="1"/>
  <c r="M640" i="1"/>
  <c r="L640" i="1"/>
  <c r="K640" i="1"/>
  <c r="J640" i="1"/>
  <c r="I640" i="1"/>
  <c r="H640" i="1"/>
  <c r="G640" i="1"/>
  <c r="F640" i="1" s="1"/>
  <c r="B640" i="1"/>
  <c r="O640" i="1"/>
  <c r="M993" i="1"/>
  <c r="L993" i="1"/>
  <c r="K993" i="1"/>
  <c r="J993" i="1"/>
  <c r="I993" i="1"/>
  <c r="H993" i="1"/>
  <c r="G993" i="1"/>
  <c r="F993" i="1" s="1"/>
  <c r="B993" i="1"/>
  <c r="O993" i="1"/>
  <c r="M991" i="1"/>
  <c r="L991" i="1"/>
  <c r="K991" i="1"/>
  <c r="J991" i="1"/>
  <c r="I991" i="1"/>
  <c r="H991" i="1"/>
  <c r="G991" i="1"/>
  <c r="F991" i="1" s="1"/>
  <c r="B991" i="1"/>
  <c r="O991" i="1"/>
  <c r="M989" i="1"/>
  <c r="L989" i="1"/>
  <c r="K989" i="1"/>
  <c r="J989" i="1"/>
  <c r="I989" i="1"/>
  <c r="H989" i="1"/>
  <c r="G989" i="1"/>
  <c r="F989" i="1" s="1"/>
  <c r="B989" i="1"/>
  <c r="O989" i="1"/>
  <c r="M987" i="1"/>
  <c r="L987" i="1"/>
  <c r="K987" i="1"/>
  <c r="J987" i="1"/>
  <c r="I987" i="1"/>
  <c r="H987" i="1"/>
  <c r="G987" i="1"/>
  <c r="F987" i="1" s="1"/>
  <c r="B987" i="1"/>
  <c r="O987" i="1"/>
  <c r="M982" i="1"/>
  <c r="L982" i="1"/>
  <c r="K982" i="1"/>
  <c r="J982" i="1"/>
  <c r="I982" i="1"/>
  <c r="H982" i="1"/>
  <c r="G982" i="1"/>
  <c r="F982" i="1" s="1"/>
  <c r="B982" i="1"/>
  <c r="O982" i="1"/>
  <c r="M972" i="1"/>
  <c r="L972" i="1"/>
  <c r="K972" i="1"/>
  <c r="J972" i="1"/>
  <c r="I972" i="1"/>
  <c r="H972" i="1"/>
  <c r="G972" i="1"/>
  <c r="F972" i="1" s="1"/>
  <c r="B972" i="1"/>
  <c r="O972" i="1"/>
  <c r="M970" i="1"/>
  <c r="L970" i="1"/>
  <c r="K970" i="1"/>
  <c r="J970" i="1"/>
  <c r="I970" i="1"/>
  <c r="H970" i="1"/>
  <c r="G970" i="1"/>
  <c r="F970" i="1" s="1"/>
  <c r="B970" i="1"/>
  <c r="O970" i="1"/>
  <c r="M968" i="1"/>
  <c r="L968" i="1"/>
  <c r="K968" i="1"/>
  <c r="J968" i="1"/>
  <c r="I968" i="1"/>
  <c r="H968" i="1"/>
  <c r="G968" i="1"/>
  <c r="F968" i="1" s="1"/>
  <c r="B968" i="1"/>
  <c r="O968" i="1"/>
  <c r="M958" i="1"/>
  <c r="L958" i="1"/>
  <c r="K958" i="1"/>
  <c r="J958" i="1"/>
  <c r="I958" i="1"/>
  <c r="H958" i="1"/>
  <c r="G958" i="1"/>
  <c r="F958" i="1" s="1"/>
  <c r="B958" i="1"/>
  <c r="O958" i="1"/>
  <c r="M956" i="1"/>
  <c r="L956" i="1"/>
  <c r="K956" i="1"/>
  <c r="J956" i="1"/>
  <c r="I956" i="1"/>
  <c r="H956" i="1"/>
  <c r="G956" i="1"/>
  <c r="F956" i="1" s="1"/>
  <c r="B956" i="1"/>
  <c r="O956" i="1"/>
  <c r="M954" i="1"/>
  <c r="L954" i="1"/>
  <c r="K954" i="1"/>
  <c r="J954" i="1"/>
  <c r="I954" i="1"/>
  <c r="H954" i="1"/>
  <c r="G954" i="1"/>
  <c r="F954" i="1" s="1"/>
  <c r="B954" i="1"/>
  <c r="O954" i="1"/>
  <c r="M952" i="1"/>
  <c r="L952" i="1"/>
  <c r="K952" i="1"/>
  <c r="J952" i="1"/>
  <c r="I952" i="1"/>
  <c r="H952" i="1"/>
  <c r="G952" i="1"/>
  <c r="F952" i="1" s="1"/>
  <c r="B952" i="1"/>
  <c r="O952" i="1"/>
  <c r="M949" i="1"/>
  <c r="L949" i="1"/>
  <c r="K949" i="1"/>
  <c r="J949" i="1"/>
  <c r="I949" i="1"/>
  <c r="H949" i="1"/>
  <c r="G949" i="1"/>
  <c r="F949" i="1" s="1"/>
  <c r="B949" i="1"/>
  <c r="O949" i="1"/>
  <c r="M947" i="1"/>
  <c r="L947" i="1"/>
  <c r="K947" i="1"/>
  <c r="J947" i="1"/>
  <c r="I947" i="1"/>
  <c r="H947" i="1"/>
  <c r="G947" i="1"/>
  <c r="F947" i="1" s="1"/>
  <c r="B947" i="1"/>
  <c r="O947" i="1"/>
  <c r="M945" i="1"/>
  <c r="L945" i="1"/>
  <c r="K945" i="1"/>
  <c r="J945" i="1"/>
  <c r="I945" i="1"/>
  <c r="H945" i="1"/>
  <c r="G945" i="1"/>
  <c r="F945" i="1" s="1"/>
  <c r="B945" i="1"/>
  <c r="O945" i="1"/>
  <c r="M943" i="1"/>
  <c r="L943" i="1"/>
  <c r="K943" i="1"/>
  <c r="J943" i="1"/>
  <c r="I943" i="1"/>
  <c r="H943" i="1"/>
  <c r="G943" i="1"/>
  <c r="F943" i="1" s="1"/>
  <c r="B943" i="1"/>
  <c r="O943" i="1"/>
  <c r="M941" i="1"/>
  <c r="L941" i="1"/>
  <c r="K941" i="1"/>
  <c r="J941" i="1"/>
  <c r="I941" i="1"/>
  <c r="H941" i="1"/>
  <c r="G941" i="1"/>
  <c r="F941" i="1" s="1"/>
  <c r="B941" i="1"/>
  <c r="O941" i="1"/>
  <c r="M938" i="1"/>
  <c r="L938" i="1"/>
  <c r="K938" i="1"/>
  <c r="J938" i="1"/>
  <c r="I938" i="1"/>
  <c r="H938" i="1"/>
  <c r="G938" i="1"/>
  <c r="F938" i="1" s="1"/>
  <c r="B938" i="1"/>
  <c r="O938" i="1"/>
  <c r="M374" i="1"/>
  <c r="L374" i="1"/>
  <c r="K374" i="1"/>
  <c r="J374" i="1"/>
  <c r="I374" i="1"/>
  <c r="H374" i="1"/>
  <c r="G374" i="1"/>
  <c r="F374" i="1" s="1"/>
  <c r="B374" i="1"/>
  <c r="O374" i="1"/>
  <c r="M1098" i="1"/>
  <c r="L1098" i="1"/>
  <c r="K1098" i="1"/>
  <c r="J1098" i="1"/>
  <c r="I1098" i="1"/>
  <c r="H1098" i="1"/>
  <c r="G1098" i="1"/>
  <c r="F1098" i="1" s="1"/>
  <c r="B1098" i="1"/>
  <c r="O1098" i="1"/>
  <c r="M931" i="1"/>
  <c r="L931" i="1"/>
  <c r="K931" i="1"/>
  <c r="J931" i="1"/>
  <c r="I931" i="1"/>
  <c r="H931" i="1"/>
  <c r="G931" i="1"/>
  <c r="F931" i="1" s="1"/>
  <c r="B931" i="1"/>
  <c r="O931" i="1"/>
  <c r="M929" i="1"/>
  <c r="L929" i="1"/>
  <c r="K929" i="1"/>
  <c r="J929" i="1"/>
  <c r="I929" i="1"/>
  <c r="H929" i="1"/>
  <c r="G929" i="1"/>
  <c r="F929" i="1" s="1"/>
  <c r="B929" i="1"/>
  <c r="O929" i="1"/>
  <c r="M915" i="1"/>
  <c r="L915" i="1"/>
  <c r="K915" i="1"/>
  <c r="J915" i="1"/>
  <c r="I915" i="1"/>
  <c r="H915" i="1"/>
  <c r="G915" i="1"/>
  <c r="F915" i="1" s="1"/>
  <c r="B915" i="1"/>
  <c r="O915" i="1"/>
  <c r="M913" i="1"/>
  <c r="L913" i="1"/>
  <c r="K913" i="1"/>
  <c r="J913" i="1"/>
  <c r="I913" i="1"/>
  <c r="H913" i="1"/>
  <c r="G913" i="1"/>
  <c r="F913" i="1" s="1"/>
  <c r="B913" i="1"/>
  <c r="O913" i="1"/>
  <c r="M911" i="1"/>
  <c r="L911" i="1"/>
  <c r="K911" i="1"/>
  <c r="J911" i="1"/>
  <c r="I911" i="1"/>
  <c r="H911" i="1"/>
  <c r="G911" i="1"/>
  <c r="F911" i="1" s="1"/>
  <c r="B911" i="1"/>
  <c r="O911" i="1"/>
  <c r="M909" i="1"/>
  <c r="L909" i="1"/>
  <c r="K909" i="1"/>
  <c r="J909" i="1"/>
  <c r="I909" i="1"/>
  <c r="H909" i="1"/>
  <c r="G909" i="1"/>
  <c r="F909" i="1" s="1"/>
  <c r="B909" i="1"/>
  <c r="O909" i="1"/>
  <c r="M905" i="1"/>
  <c r="L905" i="1"/>
  <c r="K905" i="1"/>
  <c r="J905" i="1"/>
  <c r="I905" i="1"/>
  <c r="H905" i="1"/>
  <c r="G905" i="1"/>
  <c r="F905" i="1" s="1"/>
  <c r="B905" i="1"/>
  <c r="O905" i="1"/>
  <c r="M903" i="1"/>
  <c r="L903" i="1"/>
  <c r="K903" i="1"/>
  <c r="J903" i="1"/>
  <c r="I903" i="1"/>
  <c r="H903" i="1"/>
  <c r="G903" i="1"/>
  <c r="F903" i="1" s="1"/>
  <c r="B903" i="1"/>
  <c r="O903" i="1"/>
  <c r="M901" i="1"/>
  <c r="L901" i="1"/>
  <c r="K901" i="1"/>
  <c r="J901" i="1"/>
  <c r="I901" i="1"/>
  <c r="H901" i="1"/>
  <c r="G901" i="1"/>
  <c r="F901" i="1" s="1"/>
  <c r="B901" i="1"/>
  <c r="O901" i="1"/>
  <c r="M899" i="1"/>
  <c r="L899" i="1"/>
  <c r="K899" i="1"/>
  <c r="J899" i="1"/>
  <c r="I899" i="1"/>
  <c r="H899" i="1"/>
  <c r="G899" i="1"/>
  <c r="F899" i="1" s="1"/>
  <c r="B899" i="1"/>
  <c r="O899" i="1"/>
  <c r="M897" i="1"/>
  <c r="L897" i="1"/>
  <c r="K897" i="1"/>
  <c r="J897" i="1"/>
  <c r="I897" i="1"/>
  <c r="H897" i="1"/>
  <c r="G897" i="1"/>
  <c r="F897" i="1" s="1"/>
  <c r="B897" i="1"/>
  <c r="O897" i="1"/>
  <c r="M894" i="1"/>
  <c r="L894" i="1"/>
  <c r="K894" i="1"/>
  <c r="J894" i="1"/>
  <c r="I894" i="1"/>
  <c r="H894" i="1"/>
  <c r="G894" i="1"/>
  <c r="F894" i="1" s="1"/>
  <c r="O894" i="1"/>
  <c r="M892" i="1"/>
  <c r="L892" i="1"/>
  <c r="K892" i="1"/>
  <c r="J892" i="1"/>
  <c r="I892" i="1"/>
  <c r="H892" i="1"/>
  <c r="G892" i="1"/>
  <c r="F892" i="1" s="1"/>
  <c r="C892" i="1"/>
  <c r="O892" i="1"/>
  <c r="M889" i="1"/>
  <c r="L889" i="1"/>
  <c r="K889" i="1"/>
  <c r="J889" i="1"/>
  <c r="I889" i="1"/>
  <c r="H889" i="1"/>
  <c r="G889" i="1"/>
  <c r="F889" i="1" s="1"/>
  <c r="B889" i="1"/>
  <c r="O889" i="1" s="1"/>
  <c r="M887" i="1"/>
  <c r="L887" i="1"/>
  <c r="K887" i="1"/>
  <c r="J887" i="1"/>
  <c r="I887" i="1"/>
  <c r="H887" i="1"/>
  <c r="G887" i="1"/>
  <c r="F887" i="1" s="1"/>
  <c r="B887" i="1"/>
  <c r="O887" i="1" s="1"/>
  <c r="M885" i="1"/>
  <c r="L885" i="1"/>
  <c r="K885" i="1"/>
  <c r="J885" i="1"/>
  <c r="I885" i="1"/>
  <c r="H885" i="1"/>
  <c r="G885" i="1"/>
  <c r="F885" i="1" s="1"/>
  <c r="B885" i="1"/>
  <c r="O885" i="1" s="1"/>
  <c r="M878" i="1"/>
  <c r="L878" i="1"/>
  <c r="K878" i="1"/>
  <c r="J878" i="1"/>
  <c r="I878" i="1"/>
  <c r="H878" i="1"/>
  <c r="G878" i="1"/>
  <c r="F878" i="1" s="1"/>
  <c r="B878" i="1"/>
  <c r="O878" i="1" s="1"/>
  <c r="M876" i="1"/>
  <c r="L876" i="1"/>
  <c r="K876" i="1"/>
  <c r="J876" i="1"/>
  <c r="I876" i="1"/>
  <c r="H876" i="1"/>
  <c r="G876" i="1"/>
  <c r="F876" i="1" s="1"/>
  <c r="B876" i="1"/>
  <c r="O876" i="1" s="1"/>
  <c r="M874" i="1"/>
  <c r="L874" i="1"/>
  <c r="K874" i="1"/>
  <c r="J874" i="1"/>
  <c r="I874" i="1"/>
  <c r="H874" i="1"/>
  <c r="G874" i="1"/>
  <c r="F874" i="1" s="1"/>
  <c r="B874" i="1"/>
  <c r="O874" i="1" s="1"/>
  <c r="M872" i="1"/>
  <c r="L872" i="1"/>
  <c r="K872" i="1"/>
  <c r="J872" i="1"/>
  <c r="I872" i="1"/>
  <c r="H872" i="1"/>
  <c r="G872" i="1"/>
  <c r="F872" i="1" s="1"/>
  <c r="B872" i="1"/>
  <c r="O872" i="1" s="1"/>
  <c r="M870" i="1"/>
  <c r="L870" i="1"/>
  <c r="K870" i="1"/>
  <c r="J870" i="1"/>
  <c r="I870" i="1"/>
  <c r="H870" i="1"/>
  <c r="G870" i="1"/>
  <c r="F870" i="1" s="1"/>
  <c r="B870" i="1"/>
  <c r="O870" i="1" s="1"/>
  <c r="M868" i="1"/>
  <c r="L868" i="1"/>
  <c r="K868" i="1"/>
  <c r="J868" i="1"/>
  <c r="I868" i="1"/>
  <c r="H868" i="1"/>
  <c r="G868" i="1"/>
  <c r="F868" i="1" s="1"/>
  <c r="B868" i="1"/>
  <c r="O868" i="1" s="1"/>
  <c r="M864" i="1"/>
  <c r="L864" i="1"/>
  <c r="K864" i="1"/>
  <c r="J864" i="1"/>
  <c r="I864" i="1"/>
  <c r="H864" i="1"/>
  <c r="G864" i="1"/>
  <c r="F864" i="1" s="1"/>
  <c r="B864" i="1"/>
  <c r="O864" i="1" s="1"/>
  <c r="M862" i="1"/>
  <c r="L862" i="1"/>
  <c r="K862" i="1"/>
  <c r="J862" i="1"/>
  <c r="I862" i="1"/>
  <c r="H862" i="1"/>
  <c r="G862" i="1"/>
  <c r="F862" i="1" s="1"/>
  <c r="B862" i="1"/>
  <c r="O862" i="1" s="1"/>
  <c r="M853" i="1"/>
  <c r="L853" i="1"/>
  <c r="K853" i="1"/>
  <c r="J853" i="1"/>
  <c r="I853" i="1"/>
  <c r="H853" i="1"/>
  <c r="G853" i="1"/>
  <c r="F853" i="1" s="1"/>
  <c r="B853" i="1"/>
  <c r="O853" i="1" s="1"/>
  <c r="M850" i="1"/>
  <c r="L850" i="1"/>
  <c r="K850" i="1"/>
  <c r="J850" i="1"/>
  <c r="I850" i="1"/>
  <c r="H850" i="1"/>
  <c r="G850" i="1"/>
  <c r="F850" i="1" s="1"/>
  <c r="B850" i="1"/>
  <c r="O850" i="1" s="1"/>
  <c r="M848" i="1"/>
  <c r="L848" i="1"/>
  <c r="K848" i="1"/>
  <c r="J848" i="1"/>
  <c r="I848" i="1"/>
  <c r="H848" i="1"/>
  <c r="G848" i="1"/>
  <c r="F848" i="1" s="1"/>
  <c r="B848" i="1"/>
  <c r="O848" i="1" s="1"/>
  <c r="M227" i="1"/>
  <c r="L227" i="1"/>
  <c r="K227" i="1"/>
  <c r="J227" i="1"/>
  <c r="I227" i="1"/>
  <c r="H227" i="1"/>
  <c r="G227" i="1"/>
  <c r="F227" i="1" s="1"/>
  <c r="B227" i="1"/>
  <c r="O227" i="1" s="1"/>
  <c r="M376" i="1"/>
  <c r="L376" i="1"/>
  <c r="K376" i="1"/>
  <c r="J376" i="1"/>
  <c r="I376" i="1"/>
  <c r="H376" i="1"/>
  <c r="G376" i="1"/>
  <c r="F376" i="1" s="1"/>
  <c r="B376" i="1"/>
  <c r="O376" i="1" s="1"/>
  <c r="M838" i="1"/>
  <c r="L838" i="1"/>
  <c r="K838" i="1"/>
  <c r="J838" i="1"/>
  <c r="I838" i="1"/>
  <c r="H838" i="1"/>
  <c r="G838" i="1"/>
  <c r="F838" i="1" s="1"/>
  <c r="M814" i="1"/>
  <c r="L814" i="1"/>
  <c r="K814" i="1"/>
  <c r="J814" i="1"/>
  <c r="I814" i="1"/>
  <c r="H814" i="1"/>
  <c r="G814" i="1"/>
  <c r="F814" i="1" s="1"/>
  <c r="B814" i="1"/>
  <c r="O814" i="1" s="1"/>
  <c r="M812" i="1"/>
  <c r="L812" i="1"/>
  <c r="K812" i="1"/>
  <c r="J812" i="1"/>
  <c r="I812" i="1"/>
  <c r="H812" i="1"/>
  <c r="G812" i="1"/>
  <c r="F812" i="1" s="1"/>
  <c r="B812" i="1"/>
  <c r="O812" i="1" s="1"/>
  <c r="M806" i="1"/>
  <c r="L806" i="1"/>
  <c r="K806" i="1"/>
  <c r="J806" i="1"/>
  <c r="I806" i="1"/>
  <c r="H806" i="1"/>
  <c r="G806" i="1"/>
  <c r="F806" i="1" s="1"/>
  <c r="B806" i="1"/>
  <c r="O806" i="1" s="1"/>
  <c r="O802" i="1"/>
  <c r="M795" i="1"/>
  <c r="L795" i="1"/>
  <c r="K795" i="1"/>
  <c r="J795" i="1"/>
  <c r="I795" i="1"/>
  <c r="H795" i="1"/>
  <c r="G795" i="1"/>
  <c r="F795" i="1" s="1"/>
  <c r="O795" i="1"/>
  <c r="M793" i="1"/>
  <c r="L793" i="1"/>
  <c r="K793" i="1"/>
  <c r="J793" i="1"/>
  <c r="I793" i="1"/>
  <c r="H793" i="1"/>
  <c r="G793" i="1"/>
  <c r="F793" i="1" s="1"/>
  <c r="O793" i="1"/>
  <c r="M790" i="1"/>
  <c r="L790" i="1"/>
  <c r="K790" i="1"/>
  <c r="J790" i="1"/>
  <c r="I790" i="1"/>
  <c r="H790" i="1"/>
  <c r="G790" i="1"/>
  <c r="F790" i="1" s="1"/>
  <c r="B790" i="1"/>
  <c r="O790" i="1" s="1"/>
  <c r="M788" i="1"/>
  <c r="L788" i="1"/>
  <c r="K788" i="1"/>
  <c r="J788" i="1"/>
  <c r="I788" i="1"/>
  <c r="H788" i="1"/>
  <c r="G788" i="1"/>
  <c r="F788" i="1" s="1"/>
  <c r="B788" i="1"/>
  <c r="O788" i="1" s="1"/>
  <c r="M786" i="1"/>
  <c r="L786" i="1"/>
  <c r="K786" i="1"/>
  <c r="J786" i="1"/>
  <c r="I786" i="1"/>
  <c r="H786" i="1"/>
  <c r="G786" i="1"/>
  <c r="F786" i="1" s="1"/>
  <c r="B786" i="1"/>
  <c r="O786" i="1" s="1"/>
  <c r="M781" i="1"/>
  <c r="L781" i="1"/>
  <c r="K781" i="1"/>
  <c r="J781" i="1"/>
  <c r="I781" i="1"/>
  <c r="H781" i="1"/>
  <c r="G781" i="1"/>
  <c r="F781" i="1" s="1"/>
  <c r="O781" i="1"/>
  <c r="M779" i="1"/>
  <c r="L779" i="1"/>
  <c r="K779" i="1"/>
  <c r="J779" i="1"/>
  <c r="I779" i="1"/>
  <c r="H779" i="1"/>
  <c r="G779" i="1"/>
  <c r="F779" i="1" s="1"/>
  <c r="O779" i="1"/>
  <c r="M777" i="1"/>
  <c r="L777" i="1"/>
  <c r="K777" i="1"/>
  <c r="J777" i="1"/>
  <c r="I777" i="1"/>
  <c r="H777" i="1"/>
  <c r="G777" i="1"/>
  <c r="F777" i="1" s="1"/>
  <c r="O777" i="1"/>
  <c r="M775" i="1"/>
  <c r="L775" i="1"/>
  <c r="K775" i="1"/>
  <c r="J775" i="1"/>
  <c r="I775" i="1"/>
  <c r="H775" i="1"/>
  <c r="G775" i="1"/>
  <c r="F775" i="1" s="1"/>
  <c r="O775" i="1"/>
  <c r="M773" i="1"/>
  <c r="L773" i="1"/>
  <c r="K773" i="1"/>
  <c r="J773" i="1"/>
  <c r="I773" i="1"/>
  <c r="H773" i="1"/>
  <c r="G773" i="1"/>
  <c r="F773" i="1" s="1"/>
  <c r="O773" i="1"/>
  <c r="M771" i="1"/>
  <c r="L771" i="1"/>
  <c r="K771" i="1"/>
  <c r="J771" i="1"/>
  <c r="I771" i="1"/>
  <c r="H771" i="1"/>
  <c r="G771" i="1"/>
  <c r="F771" i="1" s="1"/>
  <c r="B771" i="1"/>
  <c r="O771" i="1"/>
  <c r="M769" i="1"/>
  <c r="L769" i="1"/>
  <c r="K769" i="1"/>
  <c r="J769" i="1"/>
  <c r="I769" i="1"/>
  <c r="H769" i="1"/>
  <c r="G769" i="1"/>
  <c r="F769" i="1" s="1"/>
  <c r="B769" i="1"/>
  <c r="O769" i="1"/>
  <c r="M766" i="1"/>
  <c r="L766" i="1"/>
  <c r="K766" i="1"/>
  <c r="J766" i="1"/>
  <c r="I766" i="1"/>
  <c r="H766" i="1"/>
  <c r="G766" i="1"/>
  <c r="F766" i="1" s="1"/>
  <c r="B766" i="1"/>
  <c r="O766" i="1"/>
  <c r="M764" i="1"/>
  <c r="L764" i="1"/>
  <c r="K764" i="1"/>
  <c r="J764" i="1"/>
  <c r="I764" i="1"/>
  <c r="H764" i="1"/>
  <c r="G764" i="1"/>
  <c r="F764" i="1" s="1"/>
  <c r="B764" i="1"/>
  <c r="O764" i="1"/>
  <c r="M760" i="1"/>
  <c r="L760" i="1"/>
  <c r="K760" i="1"/>
  <c r="J760" i="1"/>
  <c r="I760" i="1"/>
  <c r="H760" i="1"/>
  <c r="G760" i="1"/>
  <c r="F760" i="1" s="1"/>
  <c r="B760" i="1"/>
  <c r="O760" i="1"/>
  <c r="M758" i="1"/>
  <c r="L758" i="1"/>
  <c r="K758" i="1"/>
  <c r="J758" i="1"/>
  <c r="I758" i="1"/>
  <c r="H758" i="1"/>
  <c r="G758" i="1"/>
  <c r="F758" i="1" s="1"/>
  <c r="B758" i="1"/>
  <c r="O758" i="1"/>
  <c r="M754" i="1"/>
  <c r="L754" i="1"/>
  <c r="K754" i="1"/>
  <c r="J754" i="1"/>
  <c r="I754" i="1"/>
  <c r="H754" i="1"/>
  <c r="G754" i="1"/>
  <c r="F754" i="1" s="1"/>
  <c r="B754" i="1"/>
  <c r="O754" i="1"/>
  <c r="M36" i="1"/>
  <c r="L36" i="1"/>
  <c r="K36" i="1"/>
  <c r="J36" i="1"/>
  <c r="I36" i="1"/>
  <c r="H36" i="1"/>
  <c r="G36" i="1"/>
  <c r="F36" i="1" s="1"/>
  <c r="B36" i="1"/>
  <c r="O36" i="1"/>
  <c r="M748" i="1"/>
  <c r="L748" i="1"/>
  <c r="K748" i="1"/>
  <c r="J748" i="1"/>
  <c r="I748" i="1"/>
  <c r="H748" i="1"/>
  <c r="G748" i="1"/>
  <c r="F748" i="1" s="1"/>
  <c r="B748" i="1"/>
  <c r="O748" i="1"/>
  <c r="M745" i="1"/>
  <c r="L745" i="1"/>
  <c r="K745" i="1"/>
  <c r="J745" i="1"/>
  <c r="I745" i="1"/>
  <c r="H745" i="1"/>
  <c r="G745" i="1"/>
  <c r="F745" i="1" s="1"/>
  <c r="B745" i="1"/>
  <c r="O745" i="1"/>
  <c r="M743" i="1"/>
  <c r="L743" i="1"/>
  <c r="K743" i="1"/>
  <c r="J743" i="1"/>
  <c r="I743" i="1"/>
  <c r="H743" i="1"/>
  <c r="G743" i="1"/>
  <c r="F743" i="1" s="1"/>
  <c r="B743" i="1"/>
  <c r="O743" i="1"/>
  <c r="M741" i="1"/>
  <c r="L741" i="1"/>
  <c r="K741" i="1"/>
  <c r="J741" i="1"/>
  <c r="I741" i="1"/>
  <c r="H741" i="1"/>
  <c r="G741" i="1"/>
  <c r="F741" i="1" s="1"/>
  <c r="O741" i="1"/>
  <c r="M739" i="1"/>
  <c r="L739" i="1"/>
  <c r="K739" i="1"/>
  <c r="J739" i="1"/>
  <c r="I739" i="1"/>
  <c r="H739" i="1"/>
  <c r="G739" i="1"/>
  <c r="F739" i="1" s="1"/>
  <c r="B739" i="1"/>
  <c r="O739" i="1" s="1"/>
  <c r="M737" i="1"/>
  <c r="L737" i="1"/>
  <c r="K737" i="1"/>
  <c r="J737" i="1"/>
  <c r="I737" i="1"/>
  <c r="H737" i="1"/>
  <c r="G737" i="1"/>
  <c r="F737" i="1" s="1"/>
  <c r="B737" i="1"/>
  <c r="O737" i="1" s="1"/>
  <c r="M735" i="1"/>
  <c r="L735" i="1"/>
  <c r="K735" i="1"/>
  <c r="J735" i="1"/>
  <c r="I735" i="1"/>
  <c r="H735" i="1"/>
  <c r="G735" i="1"/>
  <c r="F735" i="1" s="1"/>
  <c r="B735" i="1"/>
  <c r="O735" i="1" s="1"/>
  <c r="M730" i="1"/>
  <c r="L730" i="1"/>
  <c r="K730" i="1"/>
  <c r="J730" i="1"/>
  <c r="I730" i="1"/>
  <c r="H730" i="1"/>
  <c r="G730" i="1"/>
  <c r="F730" i="1" s="1"/>
  <c r="B730" i="1"/>
  <c r="O730" i="1" s="1"/>
  <c r="M728" i="1"/>
  <c r="L728" i="1"/>
  <c r="K728" i="1"/>
  <c r="J728" i="1"/>
  <c r="I728" i="1"/>
  <c r="H728" i="1"/>
  <c r="G728" i="1"/>
  <c r="F728" i="1" s="1"/>
  <c r="B728" i="1"/>
  <c r="O728" i="1" s="1"/>
  <c r="M726" i="1"/>
  <c r="L726" i="1"/>
  <c r="K726" i="1"/>
  <c r="J726" i="1"/>
  <c r="I726" i="1"/>
  <c r="H726" i="1"/>
  <c r="G726" i="1"/>
  <c r="F726" i="1" s="1"/>
  <c r="B726" i="1"/>
  <c r="O726" i="1" s="1"/>
  <c r="M724" i="1"/>
  <c r="L724" i="1"/>
  <c r="K724" i="1"/>
  <c r="J724" i="1"/>
  <c r="I724" i="1"/>
  <c r="H724" i="1"/>
  <c r="G724" i="1"/>
  <c r="F724" i="1" s="1"/>
  <c r="B724" i="1"/>
  <c r="O724" i="1" s="1"/>
  <c r="M720" i="1"/>
  <c r="L720" i="1"/>
  <c r="K720" i="1"/>
  <c r="J720" i="1"/>
  <c r="I720" i="1"/>
  <c r="H720" i="1"/>
  <c r="G720" i="1"/>
  <c r="F720" i="1" s="1"/>
  <c r="O720" i="1"/>
  <c r="M718" i="1"/>
  <c r="L718" i="1"/>
  <c r="K718" i="1"/>
  <c r="J718" i="1"/>
  <c r="I718" i="1"/>
  <c r="H718" i="1"/>
  <c r="G718" i="1"/>
  <c r="F718" i="1" s="1"/>
  <c r="B718" i="1"/>
  <c r="O718" i="1" s="1"/>
  <c r="M713" i="1"/>
  <c r="L713" i="1"/>
  <c r="K713" i="1"/>
  <c r="J713" i="1"/>
  <c r="I713" i="1"/>
  <c r="H713" i="1"/>
  <c r="G713" i="1"/>
  <c r="F713" i="1" s="1"/>
  <c r="O713" i="1"/>
  <c r="M711" i="1"/>
  <c r="L711" i="1"/>
  <c r="K711" i="1"/>
  <c r="J711" i="1"/>
  <c r="I711" i="1"/>
  <c r="H711" i="1"/>
  <c r="G711" i="1"/>
  <c r="F711" i="1" s="1"/>
  <c r="B711" i="1"/>
  <c r="O711" i="1" s="1"/>
  <c r="M709" i="1"/>
  <c r="L709" i="1"/>
  <c r="K709" i="1"/>
  <c r="J709" i="1"/>
  <c r="I709" i="1"/>
  <c r="H709" i="1"/>
  <c r="G709" i="1"/>
  <c r="F709" i="1" s="1"/>
  <c r="B709" i="1"/>
  <c r="O709" i="1" s="1"/>
  <c r="M707" i="1"/>
  <c r="L707" i="1"/>
  <c r="K707" i="1"/>
  <c r="J707" i="1"/>
  <c r="I707" i="1"/>
  <c r="H707" i="1"/>
  <c r="G707" i="1"/>
  <c r="F707" i="1" s="1"/>
  <c r="B707" i="1"/>
  <c r="O707" i="1" s="1"/>
  <c r="M705" i="1"/>
  <c r="L705" i="1"/>
  <c r="K705" i="1"/>
  <c r="J705" i="1"/>
  <c r="I705" i="1"/>
  <c r="H705" i="1"/>
  <c r="G705" i="1"/>
  <c r="F705" i="1" s="1"/>
  <c r="B705" i="1"/>
  <c r="O705" i="1" s="1"/>
  <c r="M762" i="1"/>
  <c r="L762" i="1"/>
  <c r="K762" i="1"/>
  <c r="J762" i="1"/>
  <c r="I762" i="1"/>
  <c r="H762" i="1"/>
  <c r="G762" i="1"/>
  <c r="F762" i="1" s="1"/>
  <c r="B762" i="1"/>
  <c r="O762" i="1" s="1"/>
  <c r="M699" i="1"/>
  <c r="L699" i="1"/>
  <c r="K699" i="1"/>
  <c r="J699" i="1"/>
  <c r="I699" i="1"/>
  <c r="H699" i="1"/>
  <c r="G699" i="1"/>
  <c r="F699" i="1" s="1"/>
  <c r="B699" i="1"/>
  <c r="O699" i="1" s="1"/>
  <c r="M697" i="1"/>
  <c r="L697" i="1"/>
  <c r="K697" i="1"/>
  <c r="J697" i="1"/>
  <c r="I697" i="1"/>
  <c r="H697" i="1"/>
  <c r="G697" i="1"/>
  <c r="F697" i="1" s="1"/>
  <c r="B697" i="1"/>
  <c r="O697" i="1" s="1"/>
  <c r="M695" i="1"/>
  <c r="L695" i="1"/>
  <c r="K695" i="1"/>
  <c r="J695" i="1"/>
  <c r="I695" i="1"/>
  <c r="H695" i="1"/>
  <c r="G695" i="1"/>
  <c r="F695" i="1" s="1"/>
  <c r="B695" i="1"/>
  <c r="O695" i="1" s="1"/>
  <c r="M693" i="1"/>
  <c r="L693" i="1"/>
  <c r="K693" i="1"/>
  <c r="J693" i="1"/>
  <c r="I693" i="1"/>
  <c r="H693" i="1"/>
  <c r="G693" i="1"/>
  <c r="F693" i="1" s="1"/>
  <c r="B693" i="1"/>
  <c r="O693" i="1" s="1"/>
  <c r="M688" i="1"/>
  <c r="L688" i="1"/>
  <c r="K688" i="1"/>
  <c r="J688" i="1"/>
  <c r="I688" i="1"/>
  <c r="H688" i="1"/>
  <c r="G688" i="1"/>
  <c r="F688" i="1" s="1"/>
  <c r="B688" i="1"/>
  <c r="O688" i="1" s="1"/>
  <c r="M683" i="1"/>
  <c r="L683" i="1"/>
  <c r="K683" i="1"/>
  <c r="J683" i="1"/>
  <c r="I683" i="1"/>
  <c r="H683" i="1"/>
  <c r="G683" i="1"/>
  <c r="F683" i="1" s="1"/>
  <c r="B683" i="1"/>
  <c r="O683" i="1" s="1"/>
  <c r="M681" i="1"/>
  <c r="L681" i="1"/>
  <c r="K681" i="1"/>
  <c r="J681" i="1"/>
  <c r="I681" i="1"/>
  <c r="H681" i="1"/>
  <c r="G681" i="1"/>
  <c r="F681" i="1" s="1"/>
  <c r="B681" i="1"/>
  <c r="O681" i="1" s="1"/>
  <c r="M676" i="1"/>
  <c r="L676" i="1"/>
  <c r="K676" i="1"/>
  <c r="J676" i="1"/>
  <c r="I676" i="1"/>
  <c r="H676" i="1"/>
  <c r="G676" i="1"/>
  <c r="F676" i="1" s="1"/>
  <c r="B676" i="1"/>
  <c r="O676" i="1" s="1"/>
  <c r="M668" i="1"/>
  <c r="L668" i="1"/>
  <c r="K668" i="1"/>
  <c r="J668" i="1"/>
  <c r="I668" i="1"/>
  <c r="H668" i="1"/>
  <c r="G668" i="1"/>
  <c r="F668" i="1" s="1"/>
  <c r="B668" i="1"/>
  <c r="O668" i="1" s="1"/>
  <c r="M666" i="1"/>
  <c r="L666" i="1"/>
  <c r="K666" i="1"/>
  <c r="J666" i="1"/>
  <c r="I666" i="1"/>
  <c r="H666" i="1"/>
  <c r="G666" i="1"/>
  <c r="F666" i="1" s="1"/>
  <c r="B666" i="1"/>
  <c r="O666" i="1" s="1"/>
  <c r="M664" i="1"/>
  <c r="L664" i="1"/>
  <c r="K664" i="1"/>
  <c r="J664" i="1"/>
  <c r="I664" i="1"/>
  <c r="H664" i="1"/>
  <c r="G664" i="1"/>
  <c r="F664" i="1" s="1"/>
  <c r="B664" i="1"/>
  <c r="O664" i="1" s="1"/>
  <c r="M658" i="1"/>
  <c r="L658" i="1"/>
  <c r="K658" i="1"/>
  <c r="J658" i="1"/>
  <c r="I658" i="1"/>
  <c r="H658" i="1"/>
  <c r="G658" i="1"/>
  <c r="F658" i="1" s="1"/>
  <c r="B658" i="1"/>
  <c r="O658" i="1" s="1"/>
  <c r="M656" i="1"/>
  <c r="L656" i="1"/>
  <c r="K656" i="1"/>
  <c r="J656" i="1"/>
  <c r="I656" i="1"/>
  <c r="H656" i="1"/>
  <c r="G656" i="1"/>
  <c r="F656" i="1" s="1"/>
  <c r="B656" i="1"/>
  <c r="O656" i="1" s="1"/>
  <c r="M652" i="1"/>
  <c r="L652" i="1"/>
  <c r="K652" i="1"/>
  <c r="J652" i="1"/>
  <c r="I652" i="1"/>
  <c r="H652" i="1"/>
  <c r="G652" i="1"/>
  <c r="F652" i="1" s="1"/>
  <c r="B652" i="1"/>
  <c r="O652" i="1" s="1"/>
  <c r="M650" i="1"/>
  <c r="L650" i="1"/>
  <c r="K650" i="1"/>
  <c r="J650" i="1"/>
  <c r="I650" i="1"/>
  <c r="H650" i="1"/>
  <c r="G650" i="1"/>
  <c r="F650" i="1" s="1"/>
  <c r="B650" i="1"/>
  <c r="O650" i="1" s="1"/>
  <c r="M84" i="1"/>
  <c r="L84" i="1"/>
  <c r="K84" i="1"/>
  <c r="J84" i="1"/>
  <c r="I84" i="1"/>
  <c r="H84" i="1"/>
  <c r="G84" i="1"/>
  <c r="F84" i="1" s="1"/>
  <c r="B84" i="1"/>
  <c r="O84" i="1" s="1"/>
  <c r="M257" i="1"/>
  <c r="L257" i="1"/>
  <c r="K257" i="1"/>
  <c r="J257" i="1"/>
  <c r="I257" i="1"/>
  <c r="H257" i="1"/>
  <c r="G257" i="1"/>
  <c r="F257" i="1" s="1"/>
  <c r="B257" i="1"/>
  <c r="O257" i="1" s="1"/>
  <c r="M715" i="1"/>
  <c r="L715" i="1"/>
  <c r="K715" i="1"/>
  <c r="J715" i="1"/>
  <c r="I715" i="1"/>
  <c r="H715" i="1"/>
  <c r="G715" i="1"/>
  <c r="F715" i="1" s="1"/>
  <c r="B715" i="1"/>
  <c r="O715" i="1" s="1"/>
  <c r="M634" i="1"/>
  <c r="L634" i="1"/>
  <c r="K634" i="1"/>
  <c r="J634" i="1"/>
  <c r="I634" i="1"/>
  <c r="H634" i="1"/>
  <c r="G634" i="1"/>
  <c r="F634" i="1" s="1"/>
  <c r="B634" i="1"/>
  <c r="O634" i="1" s="1"/>
  <c r="M630" i="1"/>
  <c r="L630" i="1"/>
  <c r="K630" i="1"/>
  <c r="J630" i="1"/>
  <c r="I630" i="1"/>
  <c r="H630" i="1"/>
  <c r="G630" i="1"/>
  <c r="F630" i="1" s="1"/>
  <c r="B630" i="1"/>
  <c r="O630" i="1" s="1"/>
  <c r="M628" i="1"/>
  <c r="L628" i="1"/>
  <c r="K628" i="1"/>
  <c r="J628" i="1"/>
  <c r="I628" i="1"/>
  <c r="H628" i="1"/>
  <c r="G628" i="1"/>
  <c r="F628" i="1" s="1"/>
  <c r="B628" i="1"/>
  <c r="O628" i="1" s="1"/>
  <c r="M625" i="1"/>
  <c r="L625" i="1"/>
  <c r="K625" i="1"/>
  <c r="J625" i="1"/>
  <c r="I625" i="1"/>
  <c r="H625" i="1"/>
  <c r="G625" i="1"/>
  <c r="F625" i="1" s="1"/>
  <c r="B625" i="1"/>
  <c r="O625" i="1" s="1"/>
  <c r="M617" i="1"/>
  <c r="L617" i="1"/>
  <c r="K617" i="1"/>
  <c r="J617" i="1"/>
  <c r="I617" i="1"/>
  <c r="H617" i="1"/>
  <c r="G617" i="1"/>
  <c r="F617" i="1" s="1"/>
  <c r="B617" i="1"/>
  <c r="O617" i="1" s="1"/>
  <c r="M615" i="1"/>
  <c r="L615" i="1"/>
  <c r="K615" i="1"/>
  <c r="J615" i="1"/>
  <c r="I615" i="1"/>
  <c r="H615" i="1"/>
  <c r="G615" i="1"/>
  <c r="F615" i="1" s="1"/>
  <c r="B615" i="1"/>
  <c r="O615" i="1" s="1"/>
  <c r="M611" i="1"/>
  <c r="L611" i="1"/>
  <c r="K611" i="1"/>
  <c r="J611" i="1"/>
  <c r="I611" i="1"/>
  <c r="H611" i="1"/>
  <c r="G611" i="1"/>
  <c r="F611" i="1" s="1"/>
  <c r="B611" i="1"/>
  <c r="O611" i="1" s="1"/>
  <c r="M609" i="1"/>
  <c r="L609" i="1"/>
  <c r="K609" i="1"/>
  <c r="J609" i="1"/>
  <c r="I609" i="1"/>
  <c r="H609" i="1"/>
  <c r="G609" i="1"/>
  <c r="F609" i="1" s="1"/>
  <c r="B609" i="1"/>
  <c r="O609" i="1" s="1"/>
  <c r="M604" i="1"/>
  <c r="L604" i="1"/>
  <c r="K604" i="1"/>
  <c r="J604" i="1"/>
  <c r="I604" i="1"/>
  <c r="H604" i="1"/>
  <c r="G604" i="1"/>
  <c r="F604" i="1" s="1"/>
  <c r="B604" i="1"/>
  <c r="O604" i="1" s="1"/>
  <c r="M602" i="1"/>
  <c r="L602" i="1"/>
  <c r="K602" i="1"/>
  <c r="J602" i="1"/>
  <c r="I602" i="1"/>
  <c r="H602" i="1"/>
  <c r="G602" i="1"/>
  <c r="F602" i="1" s="1"/>
  <c r="B602" i="1"/>
  <c r="O602" i="1" s="1"/>
  <c r="M600" i="1"/>
  <c r="L600" i="1"/>
  <c r="K600" i="1"/>
  <c r="J600" i="1"/>
  <c r="I600" i="1"/>
  <c r="H600" i="1"/>
  <c r="G600" i="1"/>
  <c r="F600" i="1" s="1"/>
  <c r="B600" i="1"/>
  <c r="O600" i="1" s="1"/>
  <c r="M598" i="1"/>
  <c r="L598" i="1"/>
  <c r="K598" i="1"/>
  <c r="J598" i="1"/>
  <c r="I598" i="1"/>
  <c r="H598" i="1"/>
  <c r="G598" i="1"/>
  <c r="F598" i="1" s="1"/>
  <c r="B598" i="1"/>
  <c r="O598" i="1" s="1"/>
  <c r="M593" i="1"/>
  <c r="L593" i="1"/>
  <c r="K593" i="1"/>
  <c r="J593" i="1"/>
  <c r="I593" i="1"/>
  <c r="H593" i="1"/>
  <c r="G593" i="1"/>
  <c r="F593" i="1" s="1"/>
  <c r="B593" i="1"/>
  <c r="O593" i="1" s="1"/>
  <c r="M588" i="1"/>
  <c r="L588" i="1"/>
  <c r="K588" i="1"/>
  <c r="J588" i="1"/>
  <c r="I588" i="1"/>
  <c r="H588" i="1"/>
  <c r="G588" i="1"/>
  <c r="F588" i="1" s="1"/>
  <c r="B588" i="1"/>
  <c r="O588" i="1" s="1"/>
  <c r="M586" i="1"/>
  <c r="L586" i="1"/>
  <c r="K586" i="1"/>
  <c r="J586" i="1"/>
  <c r="I586" i="1"/>
  <c r="H586" i="1"/>
  <c r="G586" i="1"/>
  <c r="F586" i="1" s="1"/>
  <c r="B586" i="1"/>
  <c r="O586" i="1" s="1"/>
  <c r="M584" i="1"/>
  <c r="L584" i="1"/>
  <c r="K584" i="1"/>
  <c r="J584" i="1"/>
  <c r="I584" i="1"/>
  <c r="H584" i="1"/>
  <c r="G584" i="1"/>
  <c r="F584" i="1" s="1"/>
  <c r="B584" i="1"/>
  <c r="O584" i="1" s="1"/>
  <c r="M579" i="1"/>
  <c r="L579" i="1"/>
  <c r="K579" i="1"/>
  <c r="J579" i="1"/>
  <c r="I579" i="1"/>
  <c r="H579" i="1"/>
  <c r="G579" i="1"/>
  <c r="F579" i="1" s="1"/>
  <c r="C579" i="1"/>
  <c r="O579" i="1"/>
  <c r="M575" i="1"/>
  <c r="L575" i="1"/>
  <c r="K575" i="1"/>
  <c r="J575" i="1"/>
  <c r="I575" i="1"/>
  <c r="H575" i="1"/>
  <c r="G575" i="1"/>
  <c r="F575" i="1" s="1"/>
  <c r="B575" i="1"/>
  <c r="O575" i="1" s="1"/>
  <c r="M571" i="1"/>
  <c r="L571" i="1"/>
  <c r="K571" i="1"/>
  <c r="J571" i="1"/>
  <c r="I571" i="1"/>
  <c r="H571" i="1"/>
  <c r="G571" i="1"/>
  <c r="F571" i="1" s="1"/>
  <c r="C571" i="1"/>
  <c r="O571" i="1"/>
  <c r="M561" i="1"/>
  <c r="L561" i="1"/>
  <c r="K561" i="1"/>
  <c r="J561" i="1"/>
  <c r="I561" i="1"/>
  <c r="H561" i="1"/>
  <c r="G561" i="1"/>
  <c r="F561" i="1" s="1"/>
  <c r="B561" i="1"/>
  <c r="O561" i="1" s="1"/>
  <c r="M559" i="1"/>
  <c r="L559" i="1"/>
  <c r="K559" i="1"/>
  <c r="J559" i="1"/>
  <c r="I559" i="1"/>
  <c r="H559" i="1"/>
  <c r="G559" i="1"/>
  <c r="F559" i="1" s="1"/>
  <c r="B559" i="1"/>
  <c r="O559" i="1" s="1"/>
  <c r="M557" i="1"/>
  <c r="L557" i="1"/>
  <c r="K557" i="1"/>
  <c r="J557" i="1"/>
  <c r="I557" i="1"/>
  <c r="H557" i="1"/>
  <c r="G557" i="1"/>
  <c r="F557" i="1" s="1"/>
  <c r="B557" i="1"/>
  <c r="O557" i="1" s="1"/>
  <c r="M555" i="1"/>
  <c r="L555" i="1"/>
  <c r="K555" i="1"/>
  <c r="J555" i="1"/>
  <c r="I555" i="1"/>
  <c r="H555" i="1"/>
  <c r="G555" i="1"/>
  <c r="F555" i="1" s="1"/>
  <c r="B555" i="1"/>
  <c r="O555" i="1" s="1"/>
  <c r="M553" i="1"/>
  <c r="L553" i="1"/>
  <c r="K553" i="1"/>
  <c r="J553" i="1"/>
  <c r="I553" i="1"/>
  <c r="H553" i="1"/>
  <c r="G553" i="1"/>
  <c r="F553" i="1" s="1"/>
  <c r="B553" i="1"/>
  <c r="O553" i="1" s="1"/>
  <c r="M551" i="1"/>
  <c r="L551" i="1"/>
  <c r="K551" i="1"/>
  <c r="J551" i="1"/>
  <c r="I551" i="1"/>
  <c r="H551" i="1"/>
  <c r="G551" i="1"/>
  <c r="F551" i="1" s="1"/>
  <c r="B551" i="1"/>
  <c r="O551" i="1" s="1"/>
  <c r="M549" i="1"/>
  <c r="L549" i="1"/>
  <c r="K549" i="1"/>
  <c r="J549" i="1"/>
  <c r="I549" i="1"/>
  <c r="H549" i="1"/>
  <c r="G549" i="1"/>
  <c r="F549" i="1" s="1"/>
  <c r="B549" i="1"/>
  <c r="O549" i="1" s="1"/>
  <c r="M546" i="1"/>
  <c r="L546" i="1"/>
  <c r="K546" i="1"/>
  <c r="J546" i="1"/>
  <c r="I546" i="1"/>
  <c r="H546" i="1"/>
  <c r="G546" i="1"/>
  <c r="F546" i="1" s="1"/>
  <c r="B546" i="1"/>
  <c r="O546" i="1" s="1"/>
  <c r="M544" i="1"/>
  <c r="L544" i="1"/>
  <c r="K544" i="1"/>
  <c r="J544" i="1"/>
  <c r="I544" i="1"/>
  <c r="H544" i="1"/>
  <c r="G544" i="1"/>
  <c r="F544" i="1" s="1"/>
  <c r="B544" i="1"/>
  <c r="O544" i="1" s="1"/>
  <c r="M542" i="1"/>
  <c r="L542" i="1"/>
  <c r="K542" i="1"/>
  <c r="J542" i="1"/>
  <c r="I542" i="1"/>
  <c r="H542" i="1"/>
  <c r="G542" i="1"/>
  <c r="F542" i="1" s="1"/>
  <c r="B542" i="1"/>
  <c r="O542" i="1" s="1"/>
  <c r="M540" i="1"/>
  <c r="L540" i="1"/>
  <c r="K540" i="1"/>
  <c r="J540" i="1"/>
  <c r="I540" i="1"/>
  <c r="H540" i="1"/>
  <c r="G540" i="1"/>
  <c r="F540" i="1" s="1"/>
  <c r="B540" i="1"/>
  <c r="O540" i="1" s="1"/>
  <c r="M536" i="1"/>
  <c r="L536" i="1"/>
  <c r="K536" i="1"/>
  <c r="J536" i="1"/>
  <c r="I536" i="1"/>
  <c r="H536" i="1"/>
  <c r="G536" i="1"/>
  <c r="F536" i="1" s="1"/>
  <c r="B536" i="1"/>
  <c r="O536" i="1" s="1"/>
  <c r="M1048" i="1"/>
  <c r="L1048" i="1"/>
  <c r="K1048" i="1"/>
  <c r="J1048" i="1"/>
  <c r="I1048" i="1"/>
  <c r="H1048" i="1"/>
  <c r="G1048" i="1"/>
  <c r="F1048" i="1" s="1"/>
  <c r="B1048" i="1"/>
  <c r="O1048" i="1" s="1"/>
  <c r="M532" i="1"/>
  <c r="L532" i="1"/>
  <c r="K532" i="1"/>
  <c r="J532" i="1"/>
  <c r="I532" i="1"/>
  <c r="H532" i="1"/>
  <c r="G532" i="1"/>
  <c r="F532" i="1" s="1"/>
  <c r="B532" i="1"/>
  <c r="O532" i="1" s="1"/>
  <c r="M529" i="1"/>
  <c r="L529" i="1"/>
  <c r="K529" i="1"/>
  <c r="J529" i="1"/>
  <c r="I529" i="1"/>
  <c r="H529" i="1"/>
  <c r="G529" i="1"/>
  <c r="F529" i="1" s="1"/>
  <c r="B529" i="1"/>
  <c r="O529" i="1" s="1"/>
  <c r="M527" i="1"/>
  <c r="L527" i="1"/>
  <c r="K527" i="1"/>
  <c r="J527" i="1"/>
  <c r="I527" i="1"/>
  <c r="H527" i="1"/>
  <c r="G527" i="1"/>
  <c r="F527" i="1" s="1"/>
  <c r="B527" i="1"/>
  <c r="O527" i="1" s="1"/>
  <c r="M520" i="1"/>
  <c r="L520" i="1"/>
  <c r="K520" i="1"/>
  <c r="J520" i="1"/>
  <c r="I520" i="1"/>
  <c r="H520" i="1"/>
  <c r="G520" i="1"/>
  <c r="F520" i="1" s="1"/>
  <c r="B520" i="1"/>
  <c r="O520" i="1" s="1"/>
  <c r="M518" i="1"/>
  <c r="L518" i="1"/>
  <c r="K518" i="1"/>
  <c r="J518" i="1"/>
  <c r="I518" i="1"/>
  <c r="H518" i="1"/>
  <c r="G518" i="1"/>
  <c r="F518" i="1" s="1"/>
  <c r="B518" i="1"/>
  <c r="O518" i="1" s="1"/>
  <c r="M514" i="1"/>
  <c r="L514" i="1"/>
  <c r="K514" i="1"/>
  <c r="J514" i="1"/>
  <c r="I514" i="1"/>
  <c r="H514" i="1"/>
  <c r="G514" i="1"/>
  <c r="F514" i="1" s="1"/>
  <c r="B514" i="1"/>
  <c r="O514" i="1" s="1"/>
  <c r="M512" i="1"/>
  <c r="L512" i="1"/>
  <c r="K512" i="1"/>
  <c r="J512" i="1"/>
  <c r="I512" i="1"/>
  <c r="H512" i="1"/>
  <c r="G512" i="1"/>
  <c r="F512" i="1" s="1"/>
  <c r="B512" i="1"/>
  <c r="O512" i="1" s="1"/>
  <c r="M508" i="1"/>
  <c r="L508" i="1"/>
  <c r="K508" i="1"/>
  <c r="J508" i="1"/>
  <c r="I508" i="1"/>
  <c r="H508" i="1"/>
  <c r="G508" i="1"/>
  <c r="F508" i="1" s="1"/>
  <c r="B508" i="1"/>
  <c r="O508" i="1" s="1"/>
  <c r="M502" i="1"/>
  <c r="L502" i="1"/>
  <c r="K502" i="1"/>
  <c r="J502" i="1"/>
  <c r="I502" i="1"/>
  <c r="H502" i="1"/>
  <c r="G502" i="1"/>
  <c r="F502" i="1" s="1"/>
  <c r="C502" i="1"/>
  <c r="O502" i="1"/>
  <c r="M498" i="1"/>
  <c r="L498" i="1"/>
  <c r="K498" i="1"/>
  <c r="J498" i="1"/>
  <c r="I498" i="1"/>
  <c r="H498" i="1"/>
  <c r="G498" i="1"/>
  <c r="F498" i="1" s="1"/>
  <c r="O498" i="1"/>
  <c r="M496" i="1"/>
  <c r="L496" i="1"/>
  <c r="K496" i="1"/>
  <c r="J496" i="1"/>
  <c r="I496" i="1"/>
  <c r="H496" i="1"/>
  <c r="G496" i="1"/>
  <c r="F496" i="1" s="1"/>
  <c r="B496" i="1"/>
  <c r="O496" i="1" s="1"/>
  <c r="M494" i="1"/>
  <c r="L494" i="1"/>
  <c r="K494" i="1"/>
  <c r="J494" i="1"/>
  <c r="I494" i="1"/>
  <c r="H494" i="1"/>
  <c r="G494" i="1"/>
  <c r="F494" i="1" s="1"/>
  <c r="B494" i="1"/>
  <c r="O494" i="1" s="1"/>
  <c r="M492" i="1"/>
  <c r="L492" i="1"/>
  <c r="K492" i="1"/>
  <c r="J492" i="1"/>
  <c r="I492" i="1"/>
  <c r="H492" i="1"/>
  <c r="G492" i="1"/>
  <c r="F492" i="1" s="1"/>
  <c r="C492" i="1"/>
  <c r="O492" i="1"/>
  <c r="M490" i="1"/>
  <c r="L490" i="1"/>
  <c r="K490" i="1"/>
  <c r="J490" i="1"/>
  <c r="I490" i="1"/>
  <c r="H490" i="1"/>
  <c r="G490" i="1"/>
  <c r="F490" i="1" s="1"/>
  <c r="B490" i="1"/>
  <c r="O490" i="1" s="1"/>
  <c r="M488" i="1"/>
  <c r="L488" i="1"/>
  <c r="K488" i="1"/>
  <c r="J488" i="1"/>
  <c r="I488" i="1"/>
  <c r="H488" i="1"/>
  <c r="G488" i="1"/>
  <c r="F488" i="1" s="1"/>
  <c r="B488" i="1"/>
  <c r="O488" i="1" s="1"/>
  <c r="M486" i="1"/>
  <c r="L486" i="1"/>
  <c r="K486" i="1"/>
  <c r="J486" i="1"/>
  <c r="I486" i="1"/>
  <c r="H486" i="1"/>
  <c r="G486" i="1"/>
  <c r="F486" i="1" s="1"/>
  <c r="B486" i="1"/>
  <c r="O486" i="1" s="1"/>
  <c r="M479" i="1"/>
  <c r="L479" i="1"/>
  <c r="K479" i="1"/>
  <c r="J479" i="1"/>
  <c r="I479" i="1"/>
  <c r="H479" i="1"/>
  <c r="G479" i="1"/>
  <c r="F479" i="1" s="1"/>
  <c r="B479" i="1"/>
  <c r="O479" i="1" s="1"/>
  <c r="M466" i="1"/>
  <c r="L466" i="1"/>
  <c r="K466" i="1"/>
  <c r="J466" i="1"/>
  <c r="I466" i="1"/>
  <c r="H466" i="1"/>
  <c r="G466" i="1"/>
  <c r="F466" i="1" s="1"/>
  <c r="B466" i="1"/>
  <c r="O466" i="1" s="1"/>
  <c r="M464" i="1"/>
  <c r="L464" i="1"/>
  <c r="K464" i="1"/>
  <c r="J464" i="1"/>
  <c r="I464" i="1"/>
  <c r="H464" i="1"/>
  <c r="G464" i="1"/>
  <c r="F464" i="1" s="1"/>
  <c r="B464" i="1"/>
  <c r="O464" i="1" s="1"/>
  <c r="M462" i="1"/>
  <c r="L462" i="1"/>
  <c r="K462" i="1"/>
  <c r="J462" i="1"/>
  <c r="I462" i="1"/>
  <c r="H462" i="1"/>
  <c r="G462" i="1"/>
  <c r="F462" i="1" s="1"/>
  <c r="B462" i="1"/>
  <c r="O462" i="1" s="1"/>
  <c r="M457" i="1"/>
  <c r="L457" i="1"/>
  <c r="K457" i="1"/>
  <c r="J457" i="1"/>
  <c r="I457" i="1"/>
  <c r="H457" i="1"/>
  <c r="G457" i="1"/>
  <c r="F457" i="1" s="1"/>
  <c r="B457" i="1"/>
  <c r="O457" i="1" s="1"/>
  <c r="M454" i="1"/>
  <c r="L454" i="1"/>
  <c r="K454" i="1"/>
  <c r="J454" i="1"/>
  <c r="I454" i="1"/>
  <c r="H454" i="1"/>
  <c r="G454" i="1"/>
  <c r="F454" i="1" s="1"/>
  <c r="B454" i="1"/>
  <c r="O454" i="1" s="1"/>
  <c r="M452" i="1"/>
  <c r="L452" i="1"/>
  <c r="K452" i="1"/>
  <c r="J452" i="1"/>
  <c r="I452" i="1"/>
  <c r="H452" i="1"/>
  <c r="G452" i="1"/>
  <c r="F452" i="1" s="1"/>
  <c r="B452" i="1"/>
  <c r="O452" i="1" s="1"/>
  <c r="M446" i="1"/>
  <c r="L446" i="1"/>
  <c r="K446" i="1"/>
  <c r="J446" i="1"/>
  <c r="I446" i="1"/>
  <c r="H446" i="1"/>
  <c r="G446" i="1"/>
  <c r="F446" i="1" s="1"/>
  <c r="B446" i="1"/>
  <c r="O446" i="1" s="1"/>
  <c r="M444" i="1"/>
  <c r="L444" i="1"/>
  <c r="K444" i="1"/>
  <c r="J444" i="1"/>
  <c r="I444" i="1"/>
  <c r="H444" i="1"/>
  <c r="G444" i="1"/>
  <c r="F444" i="1" s="1"/>
  <c r="B444" i="1"/>
  <c r="O444" i="1" s="1"/>
  <c r="M822" i="1"/>
  <c r="L822" i="1"/>
  <c r="K822" i="1"/>
  <c r="J822" i="1"/>
  <c r="I822" i="1"/>
  <c r="H822" i="1"/>
  <c r="G822" i="1"/>
  <c r="F822" i="1" s="1"/>
  <c r="B822" i="1"/>
  <c r="O822" i="1" s="1"/>
  <c r="M440" i="1"/>
  <c r="L440" i="1"/>
  <c r="K440" i="1"/>
  <c r="J440" i="1"/>
  <c r="I440" i="1"/>
  <c r="H440" i="1"/>
  <c r="G440" i="1"/>
  <c r="F440" i="1" s="1"/>
  <c r="B440" i="1"/>
  <c r="O440" i="1" s="1"/>
  <c r="M438" i="1"/>
  <c r="L438" i="1"/>
  <c r="K438" i="1"/>
  <c r="J438" i="1"/>
  <c r="I438" i="1"/>
  <c r="H438" i="1"/>
  <c r="G438" i="1"/>
  <c r="F438" i="1" s="1"/>
  <c r="B438" i="1"/>
  <c r="O438" i="1" s="1"/>
  <c r="M435" i="1"/>
  <c r="L435" i="1"/>
  <c r="K435" i="1"/>
  <c r="J435" i="1"/>
  <c r="I435" i="1"/>
  <c r="H435" i="1"/>
  <c r="G435" i="1"/>
  <c r="F435" i="1" s="1"/>
  <c r="B435" i="1"/>
  <c r="O435" i="1" s="1"/>
  <c r="M433" i="1"/>
  <c r="L433" i="1"/>
  <c r="K433" i="1"/>
  <c r="J433" i="1"/>
  <c r="I433" i="1"/>
  <c r="H433" i="1"/>
  <c r="G433" i="1"/>
  <c r="F433" i="1" s="1"/>
  <c r="B433" i="1"/>
  <c r="O433" i="1" s="1"/>
  <c r="M431" i="1"/>
  <c r="L431" i="1"/>
  <c r="K431" i="1"/>
  <c r="J431" i="1"/>
  <c r="I431" i="1"/>
  <c r="H431" i="1"/>
  <c r="G431" i="1"/>
  <c r="F431" i="1" s="1"/>
  <c r="B431" i="1"/>
  <c r="O431" i="1" s="1"/>
  <c r="M429" i="1"/>
  <c r="L429" i="1"/>
  <c r="K429" i="1"/>
  <c r="J429" i="1"/>
  <c r="I429" i="1"/>
  <c r="H429" i="1"/>
  <c r="G429" i="1"/>
  <c r="F429" i="1" s="1"/>
  <c r="B429" i="1"/>
  <c r="O429" i="1" s="1"/>
  <c r="M426" i="1"/>
  <c r="L426" i="1"/>
  <c r="K426" i="1"/>
  <c r="J426" i="1"/>
  <c r="I426" i="1"/>
  <c r="H426" i="1"/>
  <c r="G426" i="1"/>
  <c r="F426" i="1" s="1"/>
  <c r="B426" i="1"/>
  <c r="O426" i="1" s="1"/>
  <c r="M416" i="1"/>
  <c r="L416" i="1"/>
  <c r="K416" i="1"/>
  <c r="J416" i="1"/>
  <c r="I416" i="1"/>
  <c r="H416" i="1"/>
  <c r="G416" i="1"/>
  <c r="F416" i="1" s="1"/>
  <c r="B416" i="1"/>
  <c r="O416" i="1" s="1"/>
  <c r="M414" i="1"/>
  <c r="L414" i="1"/>
  <c r="K414" i="1"/>
  <c r="J414" i="1"/>
  <c r="I414" i="1"/>
  <c r="H414" i="1"/>
  <c r="G414" i="1"/>
  <c r="F414" i="1" s="1"/>
  <c r="B414" i="1"/>
  <c r="O414" i="1" s="1"/>
  <c r="M411" i="1"/>
  <c r="L411" i="1"/>
  <c r="K411" i="1"/>
  <c r="J411" i="1"/>
  <c r="I411" i="1"/>
  <c r="H411" i="1"/>
  <c r="G411" i="1"/>
  <c r="F411" i="1" s="1"/>
  <c r="O411" i="1"/>
  <c r="M409" i="1"/>
  <c r="L409" i="1"/>
  <c r="K409" i="1"/>
  <c r="J409" i="1"/>
  <c r="I409" i="1"/>
  <c r="H409" i="1"/>
  <c r="G409" i="1"/>
  <c r="F409" i="1" s="1"/>
  <c r="B409" i="1"/>
  <c r="O409" i="1" s="1"/>
  <c r="M407" i="1"/>
  <c r="L407" i="1"/>
  <c r="K407" i="1"/>
  <c r="J407" i="1"/>
  <c r="I407" i="1"/>
  <c r="H407" i="1"/>
  <c r="G407" i="1"/>
  <c r="F407" i="1" s="1"/>
  <c r="B407" i="1"/>
  <c r="O407" i="1" s="1"/>
  <c r="M401" i="1"/>
  <c r="L401" i="1"/>
  <c r="K401" i="1"/>
  <c r="J401" i="1"/>
  <c r="I401" i="1"/>
  <c r="H401" i="1"/>
  <c r="G401" i="1"/>
  <c r="F401" i="1" s="1"/>
  <c r="B401" i="1"/>
  <c r="O401" i="1" s="1"/>
  <c r="M399" i="1"/>
  <c r="L399" i="1"/>
  <c r="K399" i="1"/>
  <c r="J399" i="1"/>
  <c r="I399" i="1"/>
  <c r="H399" i="1"/>
  <c r="G399" i="1"/>
  <c r="F399" i="1" s="1"/>
  <c r="B399" i="1"/>
  <c r="O399" i="1" s="1"/>
  <c r="M397" i="1"/>
  <c r="L397" i="1"/>
  <c r="K397" i="1"/>
  <c r="J397" i="1"/>
  <c r="I397" i="1"/>
  <c r="H397" i="1"/>
  <c r="G397" i="1"/>
  <c r="F397" i="1" s="1"/>
  <c r="B397" i="1"/>
  <c r="O397" i="1" s="1"/>
  <c r="M395" i="1"/>
  <c r="L395" i="1"/>
  <c r="K395" i="1"/>
  <c r="J395" i="1"/>
  <c r="I395" i="1"/>
  <c r="H395" i="1"/>
  <c r="G395" i="1"/>
  <c r="F395" i="1" s="1"/>
  <c r="O395" i="1"/>
  <c r="M393" i="1"/>
  <c r="L393" i="1"/>
  <c r="K393" i="1"/>
  <c r="J393" i="1"/>
  <c r="I393" i="1"/>
  <c r="H393" i="1"/>
  <c r="G393" i="1"/>
  <c r="F393" i="1" s="1"/>
  <c r="B393" i="1"/>
  <c r="O393" i="1"/>
  <c r="M391" i="1"/>
  <c r="L391" i="1"/>
  <c r="K391" i="1"/>
  <c r="J391" i="1"/>
  <c r="I391" i="1"/>
  <c r="H391" i="1"/>
  <c r="G391" i="1"/>
  <c r="F391" i="1" s="1"/>
  <c r="B391" i="1"/>
  <c r="O391" i="1"/>
  <c r="M389" i="1"/>
  <c r="L389" i="1"/>
  <c r="K389" i="1"/>
  <c r="J389" i="1"/>
  <c r="I389" i="1"/>
  <c r="H389" i="1"/>
  <c r="G389" i="1"/>
  <c r="F389" i="1" s="1"/>
  <c r="B389" i="1"/>
  <c r="O389" i="1"/>
  <c r="M380" i="1"/>
  <c r="L380" i="1"/>
  <c r="K380" i="1"/>
  <c r="J380" i="1"/>
  <c r="I380" i="1"/>
  <c r="H380" i="1"/>
  <c r="G380" i="1"/>
  <c r="F380" i="1" s="1"/>
  <c r="B380" i="1"/>
  <c r="O380" i="1"/>
  <c r="M369" i="1"/>
  <c r="L369" i="1"/>
  <c r="K369" i="1"/>
  <c r="J369" i="1"/>
  <c r="I369" i="1"/>
  <c r="H369" i="1"/>
  <c r="G369" i="1"/>
  <c r="F369" i="1" s="1"/>
  <c r="B369" i="1"/>
  <c r="O369" i="1"/>
  <c r="M367" i="1"/>
  <c r="L367" i="1"/>
  <c r="K367" i="1"/>
  <c r="J367" i="1"/>
  <c r="I367" i="1"/>
  <c r="H367" i="1"/>
  <c r="G367" i="1"/>
  <c r="F367" i="1" s="1"/>
  <c r="O367" i="1"/>
  <c r="M365" i="1"/>
  <c r="L365" i="1"/>
  <c r="K365" i="1"/>
  <c r="J365" i="1"/>
  <c r="I365" i="1"/>
  <c r="H365" i="1"/>
  <c r="G365" i="1"/>
  <c r="F365" i="1" s="1"/>
  <c r="B365" i="1"/>
  <c r="O365" i="1" s="1"/>
  <c r="M363" i="1"/>
  <c r="L363" i="1"/>
  <c r="K363" i="1"/>
  <c r="J363" i="1"/>
  <c r="I363" i="1"/>
  <c r="H363" i="1"/>
  <c r="G363" i="1"/>
  <c r="F363" i="1" s="1"/>
  <c r="B363" i="1"/>
  <c r="O363" i="1" s="1"/>
  <c r="M361" i="1"/>
  <c r="L361" i="1"/>
  <c r="K361" i="1"/>
  <c r="J361" i="1"/>
  <c r="I361" i="1"/>
  <c r="H361" i="1"/>
  <c r="G361" i="1"/>
  <c r="F361" i="1" s="1"/>
  <c r="B361" i="1"/>
  <c r="O361" i="1" s="1"/>
  <c r="M359" i="1"/>
  <c r="L359" i="1"/>
  <c r="K359" i="1"/>
  <c r="J359" i="1"/>
  <c r="I359" i="1"/>
  <c r="H359" i="1"/>
  <c r="G359" i="1"/>
  <c r="F359" i="1" s="1"/>
  <c r="B359" i="1"/>
  <c r="O359" i="1" s="1"/>
  <c r="M357" i="1"/>
  <c r="L357" i="1"/>
  <c r="K357" i="1"/>
  <c r="J357" i="1"/>
  <c r="I357" i="1"/>
  <c r="H357" i="1"/>
  <c r="G357" i="1"/>
  <c r="F357" i="1" s="1"/>
  <c r="B357" i="1"/>
  <c r="O357" i="1" s="1"/>
  <c r="M353" i="1"/>
  <c r="L353" i="1"/>
  <c r="K353" i="1"/>
  <c r="J353" i="1"/>
  <c r="I353" i="1"/>
  <c r="H353" i="1"/>
  <c r="G353" i="1"/>
  <c r="F353" i="1" s="1"/>
  <c r="B353" i="1"/>
  <c r="O353" i="1" s="1"/>
  <c r="M351" i="1"/>
  <c r="L351" i="1"/>
  <c r="K351" i="1"/>
  <c r="J351" i="1"/>
  <c r="I351" i="1"/>
  <c r="H351" i="1"/>
  <c r="G351" i="1"/>
  <c r="F351" i="1" s="1"/>
  <c r="B351" i="1"/>
  <c r="O351" i="1" s="1"/>
  <c r="M349" i="1"/>
  <c r="L349" i="1"/>
  <c r="K349" i="1"/>
  <c r="J349" i="1"/>
  <c r="I349" i="1"/>
  <c r="H349" i="1"/>
  <c r="G349" i="1"/>
  <c r="F349" i="1" s="1"/>
  <c r="B349" i="1"/>
  <c r="O349" i="1" s="1"/>
  <c r="M347" i="1"/>
  <c r="L347" i="1"/>
  <c r="K347" i="1"/>
  <c r="J347" i="1"/>
  <c r="I347" i="1"/>
  <c r="H347" i="1"/>
  <c r="G347" i="1"/>
  <c r="F347" i="1" s="1"/>
  <c r="B347" i="1"/>
  <c r="O347" i="1" s="1"/>
  <c r="M342" i="1"/>
  <c r="L342" i="1"/>
  <c r="K342" i="1"/>
  <c r="J342" i="1"/>
  <c r="I342" i="1"/>
  <c r="H342" i="1"/>
  <c r="G342" i="1"/>
  <c r="F342" i="1" s="1"/>
  <c r="B342" i="1"/>
  <c r="O342" i="1" s="1"/>
  <c r="M340" i="1"/>
  <c r="L340" i="1"/>
  <c r="K340" i="1"/>
  <c r="J340" i="1"/>
  <c r="I340" i="1"/>
  <c r="H340" i="1"/>
  <c r="G340" i="1"/>
  <c r="F340" i="1" s="1"/>
  <c r="O340" i="1"/>
  <c r="M338" i="1"/>
  <c r="L338" i="1"/>
  <c r="K338" i="1"/>
  <c r="J338" i="1"/>
  <c r="I338" i="1"/>
  <c r="H338" i="1"/>
  <c r="G338" i="1"/>
  <c r="F338" i="1" s="1"/>
  <c r="B338" i="1"/>
  <c r="O338" i="1"/>
  <c r="M336" i="1"/>
  <c r="L336" i="1"/>
  <c r="K336" i="1"/>
  <c r="J336" i="1"/>
  <c r="I336" i="1"/>
  <c r="H336" i="1"/>
  <c r="G336" i="1"/>
  <c r="F336" i="1" s="1"/>
  <c r="B336" i="1"/>
  <c r="O336" i="1"/>
  <c r="M334" i="1"/>
  <c r="L334" i="1"/>
  <c r="K334" i="1"/>
  <c r="J334" i="1"/>
  <c r="I334" i="1"/>
  <c r="H334" i="1"/>
  <c r="G334" i="1"/>
  <c r="F334" i="1" s="1"/>
  <c r="O334" i="1"/>
  <c r="M332" i="1"/>
  <c r="L332" i="1"/>
  <c r="K332" i="1"/>
  <c r="J332" i="1"/>
  <c r="I332" i="1"/>
  <c r="H332" i="1"/>
  <c r="G332" i="1"/>
  <c r="F332" i="1" s="1"/>
  <c r="B332" i="1"/>
  <c r="O332" i="1" s="1"/>
  <c r="M330" i="1"/>
  <c r="L330" i="1"/>
  <c r="K330" i="1"/>
  <c r="J330" i="1"/>
  <c r="I330" i="1"/>
  <c r="H330" i="1"/>
  <c r="G330" i="1"/>
  <c r="F330" i="1" s="1"/>
  <c r="B330" i="1"/>
  <c r="O330" i="1" s="1"/>
  <c r="M326" i="1"/>
  <c r="L326" i="1"/>
  <c r="K326" i="1"/>
  <c r="J326" i="1"/>
  <c r="I326" i="1"/>
  <c r="H326" i="1"/>
  <c r="G326" i="1"/>
  <c r="F326" i="1" s="1"/>
  <c r="B326" i="1"/>
  <c r="O326" i="1" s="1"/>
  <c r="M324" i="1"/>
  <c r="L324" i="1"/>
  <c r="K324" i="1"/>
  <c r="J324" i="1"/>
  <c r="I324" i="1"/>
  <c r="H324" i="1"/>
  <c r="G324" i="1"/>
  <c r="F324" i="1" s="1"/>
  <c r="B324" i="1"/>
  <c r="O324" i="1" s="1"/>
  <c r="M320" i="1"/>
  <c r="M321" i="1" s="1"/>
  <c r="L320" i="1"/>
  <c r="L321" i="1" s="1"/>
  <c r="K320" i="1"/>
  <c r="K321" i="1" s="1"/>
  <c r="J320" i="1"/>
  <c r="J321" i="1" s="1"/>
  <c r="I320" i="1"/>
  <c r="I321" i="1" s="1"/>
  <c r="H320" i="1"/>
  <c r="H321" i="1" s="1"/>
  <c r="G320" i="1"/>
  <c r="B320" i="1"/>
  <c r="B321" i="1" s="1"/>
  <c r="M1078" i="1"/>
  <c r="L1078" i="1"/>
  <c r="K1078" i="1"/>
  <c r="J1078" i="1"/>
  <c r="I1078" i="1"/>
  <c r="H1078" i="1"/>
  <c r="G1078" i="1"/>
  <c r="F1078" i="1" s="1"/>
  <c r="B1078" i="1"/>
  <c r="O1078" i="1" s="1"/>
  <c r="M313" i="1"/>
  <c r="L313" i="1"/>
  <c r="K313" i="1"/>
  <c r="J313" i="1"/>
  <c r="I313" i="1"/>
  <c r="H313" i="1"/>
  <c r="G313" i="1"/>
  <c r="F313" i="1" s="1"/>
  <c r="B313" i="1"/>
  <c r="O313" i="1" s="1"/>
  <c r="M311" i="1"/>
  <c r="L311" i="1"/>
  <c r="K311" i="1"/>
  <c r="J311" i="1"/>
  <c r="I311" i="1"/>
  <c r="H311" i="1"/>
  <c r="G311" i="1"/>
  <c r="F311" i="1" s="1"/>
  <c r="B311" i="1"/>
  <c r="O311" i="1" s="1"/>
  <c r="M307" i="1"/>
  <c r="L307" i="1"/>
  <c r="K307" i="1"/>
  <c r="J307" i="1"/>
  <c r="I307" i="1"/>
  <c r="H307" i="1"/>
  <c r="G307" i="1"/>
  <c r="F307" i="1" s="1"/>
  <c r="B307" i="1"/>
  <c r="O307" i="1" s="1"/>
  <c r="M305" i="1"/>
  <c r="L305" i="1"/>
  <c r="K305" i="1"/>
  <c r="J305" i="1"/>
  <c r="I305" i="1"/>
  <c r="H305" i="1"/>
  <c r="G305" i="1"/>
  <c r="F305" i="1" s="1"/>
  <c r="B305" i="1"/>
  <c r="O305" i="1" s="1"/>
  <c r="M303" i="1"/>
  <c r="L303" i="1"/>
  <c r="K303" i="1"/>
  <c r="J303" i="1"/>
  <c r="I303" i="1"/>
  <c r="H303" i="1"/>
  <c r="G303" i="1"/>
  <c r="F303" i="1" s="1"/>
  <c r="B303" i="1"/>
  <c r="O303" i="1" s="1"/>
  <c r="M297" i="1"/>
  <c r="L297" i="1"/>
  <c r="K297" i="1"/>
  <c r="J297" i="1"/>
  <c r="I297" i="1"/>
  <c r="H297" i="1"/>
  <c r="G297" i="1"/>
  <c r="F297" i="1" s="1"/>
  <c r="B297" i="1"/>
  <c r="O297" i="1" s="1"/>
  <c r="M295" i="1"/>
  <c r="L295" i="1"/>
  <c r="K295" i="1"/>
  <c r="J295" i="1"/>
  <c r="I295" i="1"/>
  <c r="H295" i="1"/>
  <c r="G295" i="1"/>
  <c r="F295" i="1" s="1"/>
  <c r="B295" i="1"/>
  <c r="O295" i="1" s="1"/>
  <c r="M293" i="1"/>
  <c r="L293" i="1"/>
  <c r="K293" i="1"/>
  <c r="J293" i="1"/>
  <c r="I293" i="1"/>
  <c r="H293" i="1"/>
  <c r="G293" i="1"/>
  <c r="F293" i="1" s="1"/>
  <c r="B293" i="1"/>
  <c r="O293" i="1" s="1"/>
  <c r="M130" i="1"/>
  <c r="M131" i="1" s="1"/>
  <c r="L130" i="1"/>
  <c r="L131" i="1" s="1"/>
  <c r="K130" i="1"/>
  <c r="K131" i="1" s="1"/>
  <c r="J130" i="1"/>
  <c r="J131" i="1" s="1"/>
  <c r="I130" i="1"/>
  <c r="I131" i="1" s="1"/>
  <c r="H130" i="1"/>
  <c r="H131" i="1" s="1"/>
  <c r="G130" i="1"/>
  <c r="B130" i="1"/>
  <c r="B131" i="1" s="1"/>
  <c r="M286" i="1"/>
  <c r="L286" i="1"/>
  <c r="K286" i="1"/>
  <c r="J286" i="1"/>
  <c r="I286" i="1"/>
  <c r="H286" i="1"/>
  <c r="G286" i="1"/>
  <c r="F286" i="1" s="1"/>
  <c r="O286" i="1"/>
  <c r="M281" i="1"/>
  <c r="L281" i="1"/>
  <c r="K281" i="1"/>
  <c r="J281" i="1"/>
  <c r="I281" i="1"/>
  <c r="H281" i="1"/>
  <c r="G281" i="1"/>
  <c r="F281" i="1" s="1"/>
  <c r="B281" i="1"/>
  <c r="O281" i="1" s="1"/>
  <c r="M279" i="1"/>
  <c r="L279" i="1"/>
  <c r="K279" i="1"/>
  <c r="J279" i="1"/>
  <c r="I279" i="1"/>
  <c r="H279" i="1"/>
  <c r="G279" i="1"/>
  <c r="F279" i="1" s="1"/>
  <c r="B279" i="1"/>
  <c r="O279" i="1" s="1"/>
  <c r="M208" i="1"/>
  <c r="L208" i="1"/>
  <c r="K208" i="1"/>
  <c r="J208" i="1"/>
  <c r="I208" i="1"/>
  <c r="H208" i="1"/>
  <c r="G208" i="1"/>
  <c r="F208" i="1" s="1"/>
  <c r="B208" i="1"/>
  <c r="O208" i="1" s="1"/>
  <c r="M271" i="1"/>
  <c r="L271" i="1"/>
  <c r="K271" i="1"/>
  <c r="J271" i="1"/>
  <c r="I271" i="1"/>
  <c r="H271" i="1"/>
  <c r="G271" i="1"/>
  <c r="F271" i="1" s="1"/>
  <c r="B271" i="1"/>
  <c r="O271" i="1" s="1"/>
  <c r="M269" i="1"/>
  <c r="L269" i="1"/>
  <c r="K269" i="1"/>
  <c r="J269" i="1"/>
  <c r="I269" i="1"/>
  <c r="H269" i="1"/>
  <c r="G269" i="1"/>
  <c r="F269" i="1" s="1"/>
  <c r="B269" i="1"/>
  <c r="O269" i="1" s="1"/>
  <c r="M267" i="1"/>
  <c r="L267" i="1"/>
  <c r="K267" i="1"/>
  <c r="J267" i="1"/>
  <c r="I267" i="1"/>
  <c r="H267" i="1"/>
  <c r="G267" i="1"/>
  <c r="F267" i="1" s="1"/>
  <c r="B267" i="1"/>
  <c r="O267" i="1" s="1"/>
  <c r="M265" i="1"/>
  <c r="L265" i="1"/>
  <c r="K265" i="1"/>
  <c r="J265" i="1"/>
  <c r="I265" i="1"/>
  <c r="H265" i="1"/>
  <c r="G265" i="1"/>
  <c r="F265" i="1" s="1"/>
  <c r="B265" i="1"/>
  <c r="O265" i="1" s="1"/>
  <c r="M263" i="1"/>
  <c r="L263" i="1"/>
  <c r="K263" i="1"/>
  <c r="J263" i="1"/>
  <c r="I263" i="1"/>
  <c r="H263" i="1"/>
  <c r="G263" i="1"/>
  <c r="F263" i="1" s="1"/>
  <c r="B263" i="1"/>
  <c r="O263" i="1" s="1"/>
  <c r="M261" i="1"/>
  <c r="L261" i="1"/>
  <c r="K261" i="1"/>
  <c r="J261" i="1"/>
  <c r="I261" i="1"/>
  <c r="H261" i="1"/>
  <c r="G261" i="1"/>
  <c r="F261" i="1" s="1"/>
  <c r="B261" i="1"/>
  <c r="O261" i="1" s="1"/>
  <c r="M259" i="1"/>
  <c r="L259" i="1"/>
  <c r="K259" i="1"/>
  <c r="J259" i="1"/>
  <c r="I259" i="1"/>
  <c r="H259" i="1"/>
  <c r="G259" i="1"/>
  <c r="F259" i="1" s="1"/>
  <c r="B259" i="1"/>
  <c r="O259" i="1" s="1"/>
  <c r="M206" i="1"/>
  <c r="M855" i="1" s="1"/>
  <c r="M133" i="1" s="1"/>
  <c r="L206" i="1"/>
  <c r="L855" i="1" s="1"/>
  <c r="L133" i="1" s="1"/>
  <c r="K206" i="1"/>
  <c r="K855" i="1" s="1"/>
  <c r="K133" i="1" s="1"/>
  <c r="J206" i="1"/>
  <c r="J855" i="1" s="1"/>
  <c r="J133" i="1" s="1"/>
  <c r="I206" i="1"/>
  <c r="I855" i="1" s="1"/>
  <c r="I133" i="1" s="1"/>
  <c r="H206" i="1"/>
  <c r="H855" i="1" s="1"/>
  <c r="H133" i="1" s="1"/>
  <c r="G206" i="1"/>
  <c r="B206" i="1"/>
  <c r="B855" i="1" s="1"/>
  <c r="B133" i="1" s="1"/>
  <c r="M242" i="1"/>
  <c r="L242" i="1"/>
  <c r="K242" i="1"/>
  <c r="J242" i="1"/>
  <c r="I242" i="1"/>
  <c r="H242" i="1"/>
  <c r="G242" i="1"/>
  <c r="F242" i="1" s="1"/>
  <c r="C242" i="1"/>
  <c r="O242" i="1"/>
  <c r="M240" i="1"/>
  <c r="L240" i="1"/>
  <c r="K240" i="1"/>
  <c r="J240" i="1"/>
  <c r="I240" i="1"/>
  <c r="H240" i="1"/>
  <c r="G240" i="1"/>
  <c r="F240" i="1" s="1"/>
  <c r="O240" i="1"/>
  <c r="M237" i="1"/>
  <c r="L237" i="1"/>
  <c r="K237" i="1"/>
  <c r="J237" i="1"/>
  <c r="I237" i="1"/>
  <c r="H237" i="1"/>
  <c r="G237" i="1"/>
  <c r="F237" i="1" s="1"/>
  <c r="B237" i="1"/>
  <c r="O237" i="1" s="1"/>
  <c r="M233" i="1"/>
  <c r="L233" i="1"/>
  <c r="K233" i="1"/>
  <c r="J233" i="1"/>
  <c r="I233" i="1"/>
  <c r="H233" i="1"/>
  <c r="G233" i="1"/>
  <c r="F233" i="1" s="1"/>
  <c r="B233" i="1"/>
  <c r="O233" i="1" s="1"/>
  <c r="M231" i="1"/>
  <c r="L231" i="1"/>
  <c r="K231" i="1"/>
  <c r="J231" i="1"/>
  <c r="I231" i="1"/>
  <c r="H231" i="1"/>
  <c r="G231" i="1"/>
  <c r="F231" i="1" s="1"/>
  <c r="B231" i="1"/>
  <c r="O231" i="1" s="1"/>
  <c r="M229" i="1"/>
  <c r="L229" i="1"/>
  <c r="K229" i="1"/>
  <c r="J229" i="1"/>
  <c r="I229" i="1"/>
  <c r="H229" i="1"/>
  <c r="G229" i="1"/>
  <c r="F229" i="1" s="1"/>
  <c r="B229" i="1"/>
  <c r="O229" i="1" s="1"/>
  <c r="M225" i="1"/>
  <c r="L225" i="1"/>
  <c r="K225" i="1"/>
  <c r="J225" i="1"/>
  <c r="I225" i="1"/>
  <c r="H225" i="1"/>
  <c r="G225" i="1"/>
  <c r="F225" i="1" s="1"/>
  <c r="O225" i="1"/>
  <c r="M223" i="1"/>
  <c r="L223" i="1"/>
  <c r="K223" i="1"/>
  <c r="J223" i="1"/>
  <c r="I223" i="1"/>
  <c r="H223" i="1"/>
  <c r="G223" i="1"/>
  <c r="F223" i="1" s="1"/>
  <c r="B223" i="1"/>
  <c r="O223" i="1" s="1"/>
  <c r="M221" i="1"/>
  <c r="L221" i="1"/>
  <c r="K221" i="1"/>
  <c r="J221" i="1"/>
  <c r="I221" i="1"/>
  <c r="H221" i="1"/>
  <c r="G221" i="1"/>
  <c r="F221" i="1" s="1"/>
  <c r="B221" i="1"/>
  <c r="O221" i="1" s="1"/>
  <c r="M219" i="1"/>
  <c r="L219" i="1"/>
  <c r="K219" i="1"/>
  <c r="J219" i="1"/>
  <c r="I219" i="1"/>
  <c r="H219" i="1"/>
  <c r="G219" i="1"/>
  <c r="F219" i="1" s="1"/>
  <c r="B219" i="1"/>
  <c r="O219" i="1" s="1"/>
  <c r="M217" i="1"/>
  <c r="L217" i="1"/>
  <c r="K217" i="1"/>
  <c r="J217" i="1"/>
  <c r="I217" i="1"/>
  <c r="H217" i="1"/>
  <c r="G217" i="1"/>
  <c r="F217" i="1" s="1"/>
  <c r="B217" i="1"/>
  <c r="O217" i="1" s="1"/>
  <c r="M215" i="1"/>
  <c r="L215" i="1"/>
  <c r="K215" i="1"/>
  <c r="J215" i="1"/>
  <c r="I215" i="1"/>
  <c r="H215" i="1"/>
  <c r="G215" i="1"/>
  <c r="F215" i="1" s="1"/>
  <c r="B215" i="1"/>
  <c r="O215" i="1" s="1"/>
  <c r="M204" i="1"/>
  <c r="L204" i="1"/>
  <c r="K204" i="1"/>
  <c r="J204" i="1"/>
  <c r="I204" i="1"/>
  <c r="H204" i="1"/>
  <c r="G204" i="1"/>
  <c r="F204" i="1" s="1"/>
  <c r="B204" i="1"/>
  <c r="O204" i="1" s="1"/>
  <c r="M202" i="1"/>
  <c r="L202" i="1"/>
  <c r="K202" i="1"/>
  <c r="J202" i="1"/>
  <c r="I202" i="1"/>
  <c r="H202" i="1"/>
  <c r="G202" i="1"/>
  <c r="F202" i="1" s="1"/>
  <c r="O202" i="1"/>
  <c r="M200" i="1"/>
  <c r="L200" i="1"/>
  <c r="K200" i="1"/>
  <c r="J200" i="1"/>
  <c r="I200" i="1"/>
  <c r="H200" i="1"/>
  <c r="G200" i="1"/>
  <c r="F200" i="1" s="1"/>
  <c r="B200" i="1"/>
  <c r="O200" i="1" s="1"/>
  <c r="M196" i="1"/>
  <c r="L196" i="1"/>
  <c r="K196" i="1"/>
  <c r="J196" i="1"/>
  <c r="I196" i="1"/>
  <c r="H196" i="1"/>
  <c r="G196" i="1"/>
  <c r="F196" i="1" s="1"/>
  <c r="O196" i="1"/>
  <c r="M191" i="1"/>
  <c r="L191" i="1"/>
  <c r="K191" i="1"/>
  <c r="J191" i="1"/>
  <c r="I191" i="1"/>
  <c r="H191" i="1"/>
  <c r="G191" i="1"/>
  <c r="F191" i="1" s="1"/>
  <c r="B191" i="1"/>
  <c r="O191" i="1" s="1"/>
  <c r="M189" i="1"/>
  <c r="L189" i="1"/>
  <c r="K189" i="1"/>
  <c r="J189" i="1"/>
  <c r="I189" i="1"/>
  <c r="H189" i="1"/>
  <c r="G189" i="1"/>
  <c r="F189" i="1" s="1"/>
  <c r="B189" i="1"/>
  <c r="O189" i="1" s="1"/>
  <c r="M185" i="1"/>
  <c r="L185" i="1"/>
  <c r="K185" i="1"/>
  <c r="J185" i="1"/>
  <c r="I185" i="1"/>
  <c r="H185" i="1"/>
  <c r="G185" i="1"/>
  <c r="F185" i="1" s="1"/>
  <c r="B185" i="1"/>
  <c r="O185" i="1" s="1"/>
  <c r="M482" i="1"/>
  <c r="L482" i="1"/>
  <c r="K482" i="1"/>
  <c r="J482" i="1"/>
  <c r="I482" i="1"/>
  <c r="H482" i="1"/>
  <c r="G482" i="1"/>
  <c r="F482" i="1" s="1"/>
  <c r="C482" i="1"/>
  <c r="O482" i="1"/>
  <c r="M172" i="1"/>
  <c r="M484" i="1" s="1"/>
  <c r="L172" i="1"/>
  <c r="L484" i="1" s="1"/>
  <c r="K172" i="1"/>
  <c r="K484" i="1" s="1"/>
  <c r="J172" i="1"/>
  <c r="J484" i="1" s="1"/>
  <c r="I172" i="1"/>
  <c r="I484" i="1" s="1"/>
  <c r="H172" i="1"/>
  <c r="H484" i="1" s="1"/>
  <c r="G172" i="1"/>
  <c r="B172" i="1"/>
  <c r="M170" i="1"/>
  <c r="L170" i="1"/>
  <c r="K170" i="1"/>
  <c r="J170" i="1"/>
  <c r="I170" i="1"/>
  <c r="H170" i="1"/>
  <c r="G170" i="1"/>
  <c r="F170" i="1" s="1"/>
  <c r="B170" i="1"/>
  <c r="O170" i="1" s="1"/>
  <c r="M161" i="1"/>
  <c r="L161" i="1"/>
  <c r="K161" i="1"/>
  <c r="J161" i="1"/>
  <c r="I161" i="1"/>
  <c r="H161" i="1"/>
  <c r="G161" i="1"/>
  <c r="F161" i="1" s="1"/>
  <c r="B161" i="1"/>
  <c r="O161" i="1" s="1"/>
  <c r="M159" i="1"/>
  <c r="L159" i="1"/>
  <c r="K159" i="1"/>
  <c r="J159" i="1"/>
  <c r="I159" i="1"/>
  <c r="H159" i="1"/>
  <c r="G159" i="1"/>
  <c r="F159" i="1" s="1"/>
  <c r="B159" i="1"/>
  <c r="O159" i="1" s="1"/>
  <c r="M151" i="1"/>
  <c r="L151" i="1"/>
  <c r="K151" i="1"/>
  <c r="J151" i="1"/>
  <c r="I151" i="1"/>
  <c r="H151" i="1"/>
  <c r="G151" i="1"/>
  <c r="F151" i="1" s="1"/>
  <c r="B151" i="1"/>
  <c r="O151" i="1" s="1"/>
  <c r="M149" i="1"/>
  <c r="L149" i="1"/>
  <c r="K149" i="1"/>
  <c r="J149" i="1"/>
  <c r="I149" i="1"/>
  <c r="H149" i="1"/>
  <c r="G149" i="1"/>
  <c r="F149" i="1" s="1"/>
  <c r="O149" i="1"/>
  <c r="M147" i="1"/>
  <c r="L147" i="1"/>
  <c r="K147" i="1"/>
  <c r="J147" i="1"/>
  <c r="I147" i="1"/>
  <c r="H147" i="1"/>
  <c r="G147" i="1"/>
  <c r="F147" i="1" s="1"/>
  <c r="B147" i="1"/>
  <c r="O147" i="1" s="1"/>
  <c r="M145" i="1"/>
  <c r="L145" i="1"/>
  <c r="K145" i="1"/>
  <c r="J145" i="1"/>
  <c r="I145" i="1"/>
  <c r="H145" i="1"/>
  <c r="G145" i="1"/>
  <c r="F145" i="1" s="1"/>
  <c r="B145" i="1"/>
  <c r="O145" i="1" s="1"/>
  <c r="M143" i="1"/>
  <c r="L143" i="1"/>
  <c r="K143" i="1"/>
  <c r="J143" i="1"/>
  <c r="I143" i="1"/>
  <c r="H143" i="1"/>
  <c r="G143" i="1"/>
  <c r="F143" i="1" s="1"/>
  <c r="B143" i="1"/>
  <c r="O143" i="1" s="1"/>
  <c r="M141" i="1"/>
  <c r="L141" i="1"/>
  <c r="K141" i="1"/>
  <c r="J141" i="1"/>
  <c r="I141" i="1"/>
  <c r="H141" i="1"/>
  <c r="G141" i="1"/>
  <c r="F141" i="1" s="1"/>
  <c r="B141" i="1"/>
  <c r="O141" i="1" s="1"/>
  <c r="M136" i="1"/>
  <c r="L136" i="1"/>
  <c r="K136" i="1"/>
  <c r="J136" i="1"/>
  <c r="I136" i="1"/>
  <c r="H136" i="1"/>
  <c r="G136" i="1"/>
  <c r="F136" i="1" s="1"/>
  <c r="B136" i="1"/>
  <c r="O136" i="1" s="1"/>
  <c r="B174" i="1"/>
  <c r="B175" i="1" s="1"/>
  <c r="M127" i="1"/>
  <c r="M677" i="1" s="1"/>
  <c r="M565" i="1" s="1"/>
  <c r="M475" i="1" s="1"/>
  <c r="M174" i="1" s="1"/>
  <c r="M175" i="1" s="1"/>
  <c r="L127" i="1"/>
  <c r="L677" i="1" s="1"/>
  <c r="L565" i="1" s="1"/>
  <c r="L475" i="1" s="1"/>
  <c r="L174" i="1" s="1"/>
  <c r="L175" i="1" s="1"/>
  <c r="K127" i="1"/>
  <c r="K677" i="1" s="1"/>
  <c r="K565" i="1" s="1"/>
  <c r="K475" i="1" s="1"/>
  <c r="K174" i="1" s="1"/>
  <c r="K175" i="1" s="1"/>
  <c r="J127" i="1"/>
  <c r="J677" i="1" s="1"/>
  <c r="J565" i="1" s="1"/>
  <c r="J475" i="1" s="1"/>
  <c r="J174" i="1" s="1"/>
  <c r="J175" i="1" s="1"/>
  <c r="I127" i="1"/>
  <c r="I677" i="1" s="1"/>
  <c r="I565" i="1" s="1"/>
  <c r="I475" i="1" s="1"/>
  <c r="I174" i="1" s="1"/>
  <c r="I175" i="1" s="1"/>
  <c r="H127" i="1"/>
  <c r="H677" i="1" s="1"/>
  <c r="H565" i="1" s="1"/>
  <c r="H475" i="1" s="1"/>
  <c r="H174" i="1" s="1"/>
  <c r="H175" i="1" s="1"/>
  <c r="G127" i="1"/>
  <c r="B127" i="1"/>
  <c r="M125" i="1"/>
  <c r="L125" i="1"/>
  <c r="K125" i="1"/>
  <c r="J125" i="1"/>
  <c r="I125" i="1"/>
  <c r="H125" i="1"/>
  <c r="G125" i="1"/>
  <c r="F125" i="1" s="1"/>
  <c r="B125" i="1"/>
  <c r="O125" i="1" s="1"/>
  <c r="M123" i="1"/>
  <c r="L123" i="1"/>
  <c r="K123" i="1"/>
  <c r="J123" i="1"/>
  <c r="I123" i="1"/>
  <c r="H123" i="1"/>
  <c r="G123" i="1"/>
  <c r="F123" i="1" s="1"/>
  <c r="B123" i="1"/>
  <c r="O123" i="1" s="1"/>
  <c r="M121" i="1"/>
  <c r="L121" i="1"/>
  <c r="K121" i="1"/>
  <c r="J121" i="1"/>
  <c r="I121" i="1"/>
  <c r="H121" i="1"/>
  <c r="G121" i="1"/>
  <c r="F121" i="1" s="1"/>
  <c r="B121" i="1"/>
  <c r="O121" i="1" s="1"/>
  <c r="M117" i="1"/>
  <c r="L117" i="1"/>
  <c r="K117" i="1"/>
  <c r="J117" i="1"/>
  <c r="I117" i="1"/>
  <c r="H117" i="1"/>
  <c r="G117" i="1"/>
  <c r="F117" i="1" s="1"/>
  <c r="B117" i="1"/>
  <c r="O117" i="1" s="1"/>
  <c r="M115" i="1"/>
  <c r="L115" i="1"/>
  <c r="K115" i="1"/>
  <c r="J115" i="1"/>
  <c r="I115" i="1"/>
  <c r="H115" i="1"/>
  <c r="G115" i="1"/>
  <c r="F115" i="1" s="1"/>
  <c r="B115" i="1"/>
  <c r="O115" i="1" s="1"/>
  <c r="M113" i="1"/>
  <c r="L113" i="1"/>
  <c r="K113" i="1"/>
  <c r="J113" i="1"/>
  <c r="I113" i="1"/>
  <c r="H113" i="1"/>
  <c r="G113" i="1"/>
  <c r="F113" i="1" s="1"/>
  <c r="B113" i="1"/>
  <c r="O113" i="1" s="1"/>
  <c r="M111" i="1"/>
  <c r="L111" i="1"/>
  <c r="K111" i="1"/>
  <c r="J111" i="1"/>
  <c r="I111" i="1"/>
  <c r="H111" i="1"/>
  <c r="G111" i="1"/>
  <c r="F111" i="1" s="1"/>
  <c r="B111" i="1"/>
  <c r="O111" i="1" s="1"/>
  <c r="M109" i="1"/>
  <c r="L109" i="1"/>
  <c r="K109" i="1"/>
  <c r="J109" i="1"/>
  <c r="I109" i="1"/>
  <c r="H109" i="1"/>
  <c r="G109" i="1"/>
  <c r="F109" i="1" s="1"/>
  <c r="B109" i="1"/>
  <c r="O109" i="1" s="1"/>
  <c r="M107" i="1"/>
  <c r="L107" i="1"/>
  <c r="K107" i="1"/>
  <c r="J107" i="1"/>
  <c r="I107" i="1"/>
  <c r="H107" i="1"/>
  <c r="G107" i="1"/>
  <c r="F107" i="1" s="1"/>
  <c r="B107" i="1"/>
  <c r="O107" i="1" s="1"/>
  <c r="M105" i="1"/>
  <c r="L105" i="1"/>
  <c r="K105" i="1"/>
  <c r="J105" i="1"/>
  <c r="I105" i="1"/>
  <c r="H105" i="1"/>
  <c r="G105" i="1"/>
  <c r="F105" i="1" s="1"/>
  <c r="B105" i="1"/>
  <c r="O105" i="1" s="1"/>
  <c r="M103" i="1"/>
  <c r="L103" i="1"/>
  <c r="K103" i="1"/>
  <c r="J103" i="1"/>
  <c r="I103" i="1"/>
  <c r="H103" i="1"/>
  <c r="G103" i="1"/>
  <c r="F103" i="1" s="1"/>
  <c r="B103" i="1"/>
  <c r="O103" i="1" s="1"/>
  <c r="M94" i="1"/>
  <c r="L94" i="1"/>
  <c r="K94" i="1"/>
  <c r="J94" i="1"/>
  <c r="I94" i="1"/>
  <c r="H94" i="1"/>
  <c r="G94" i="1"/>
  <c r="F94" i="1" s="1"/>
  <c r="B94" i="1"/>
  <c r="O94" i="1" s="1"/>
  <c r="M79" i="1"/>
  <c r="L79" i="1"/>
  <c r="K79" i="1"/>
  <c r="J79" i="1"/>
  <c r="I79" i="1"/>
  <c r="H79" i="1"/>
  <c r="G79" i="1"/>
  <c r="F79" i="1" s="1"/>
  <c r="B79" i="1"/>
  <c r="O79" i="1" s="1"/>
  <c r="M77" i="1"/>
  <c r="L77" i="1"/>
  <c r="K77" i="1"/>
  <c r="J77" i="1"/>
  <c r="I77" i="1"/>
  <c r="H77" i="1"/>
  <c r="G77" i="1"/>
  <c r="F77" i="1" s="1"/>
  <c r="B77" i="1"/>
  <c r="O77" i="1" s="1"/>
  <c r="M75" i="1"/>
  <c r="L75" i="1"/>
  <c r="K75" i="1"/>
  <c r="J75" i="1"/>
  <c r="I75" i="1"/>
  <c r="H75" i="1"/>
  <c r="G75" i="1"/>
  <c r="F75" i="1" s="1"/>
  <c r="B75" i="1"/>
  <c r="O75" i="1" s="1"/>
  <c r="M73" i="1"/>
  <c r="L73" i="1"/>
  <c r="K73" i="1"/>
  <c r="J73" i="1"/>
  <c r="I73" i="1"/>
  <c r="H73" i="1"/>
  <c r="G73" i="1"/>
  <c r="F73" i="1" s="1"/>
  <c r="B73" i="1"/>
  <c r="O73" i="1" s="1"/>
  <c r="M71" i="1"/>
  <c r="L71" i="1"/>
  <c r="K71" i="1"/>
  <c r="J71" i="1"/>
  <c r="I71" i="1"/>
  <c r="H71" i="1"/>
  <c r="G71" i="1"/>
  <c r="F71" i="1" s="1"/>
  <c r="B71" i="1"/>
  <c r="O71" i="1" s="1"/>
  <c r="M69" i="1"/>
  <c r="L69" i="1"/>
  <c r="K69" i="1"/>
  <c r="J69" i="1"/>
  <c r="I69" i="1"/>
  <c r="H69" i="1"/>
  <c r="G69" i="1"/>
  <c r="F69" i="1" s="1"/>
  <c r="B69" i="1"/>
  <c r="O69" i="1" s="1"/>
  <c r="M67" i="1"/>
  <c r="L67" i="1"/>
  <c r="K67" i="1"/>
  <c r="J67" i="1"/>
  <c r="I67" i="1"/>
  <c r="H67" i="1"/>
  <c r="G67" i="1"/>
  <c r="F67" i="1" s="1"/>
  <c r="B67" i="1"/>
  <c r="O67" i="1" s="1"/>
  <c r="M65" i="1"/>
  <c r="L65" i="1"/>
  <c r="K65" i="1"/>
  <c r="J65" i="1"/>
  <c r="I65" i="1"/>
  <c r="H65" i="1"/>
  <c r="G65" i="1"/>
  <c r="F65" i="1" s="1"/>
  <c r="B65" i="1"/>
  <c r="O65" i="1" s="1"/>
  <c r="M63" i="1"/>
  <c r="L63" i="1"/>
  <c r="K63" i="1"/>
  <c r="J63" i="1"/>
  <c r="I63" i="1"/>
  <c r="H63" i="1"/>
  <c r="G63" i="1"/>
  <c r="F63" i="1" s="1"/>
  <c r="B63" i="1"/>
  <c r="O63" i="1" s="1"/>
  <c r="M53" i="1"/>
  <c r="L53" i="1"/>
  <c r="K53" i="1"/>
  <c r="J53" i="1"/>
  <c r="I53" i="1"/>
  <c r="H53" i="1"/>
  <c r="G53" i="1"/>
  <c r="F53" i="1" s="1"/>
  <c r="B53" i="1"/>
  <c r="O53" i="1" s="1"/>
  <c r="M49" i="1"/>
  <c r="L49" i="1"/>
  <c r="K49" i="1"/>
  <c r="J49" i="1"/>
  <c r="I49" i="1"/>
  <c r="H49" i="1"/>
  <c r="G49" i="1"/>
  <c r="F49" i="1" s="1"/>
  <c r="B49" i="1"/>
  <c r="O49" i="1" s="1"/>
  <c r="M856" i="1"/>
  <c r="M274" i="1" s="1"/>
  <c r="M473" i="1" s="1"/>
  <c r="L856" i="1"/>
  <c r="L274" i="1" s="1"/>
  <c r="L473" i="1" s="1"/>
  <c r="K856" i="1"/>
  <c r="K274" i="1" s="1"/>
  <c r="K473" i="1" s="1"/>
  <c r="J856" i="1"/>
  <c r="J274" i="1" s="1"/>
  <c r="J473" i="1" s="1"/>
  <c r="I856" i="1"/>
  <c r="I274" i="1" s="1"/>
  <c r="I473" i="1" s="1"/>
  <c r="H856" i="1"/>
  <c r="H274" i="1" s="1"/>
  <c r="H473" i="1" s="1"/>
  <c r="B856" i="1"/>
  <c r="B274" i="1" s="1"/>
  <c r="B473" i="1" s="1"/>
  <c r="M679" i="1"/>
  <c r="M56" i="1" s="1"/>
  <c r="M804" i="1" s="1"/>
  <c r="L679" i="1"/>
  <c r="L56" i="1" s="1"/>
  <c r="L804" i="1" s="1"/>
  <c r="K679" i="1"/>
  <c r="K56" i="1" s="1"/>
  <c r="K804" i="1" s="1"/>
  <c r="J679" i="1"/>
  <c r="J56" i="1" s="1"/>
  <c r="J804" i="1" s="1"/>
  <c r="I679" i="1"/>
  <c r="I56" i="1" s="1"/>
  <c r="I804" i="1" s="1"/>
  <c r="H679" i="1"/>
  <c r="H56" i="1" s="1"/>
  <c r="H804" i="1" s="1"/>
  <c r="G679" i="1"/>
  <c r="B679" i="1"/>
  <c r="B56" i="1" s="1"/>
  <c r="B804" i="1" s="1"/>
  <c r="B57" i="1" s="1"/>
  <c r="B187" i="1" s="1"/>
  <c r="M299" i="1"/>
  <c r="L299" i="1"/>
  <c r="K299" i="1"/>
  <c r="J299" i="1"/>
  <c r="I299" i="1"/>
  <c r="H299" i="1"/>
  <c r="G299" i="1"/>
  <c r="F299" i="1" s="1"/>
  <c r="B299" i="1"/>
  <c r="O299" i="1" s="1"/>
  <c r="M31" i="1"/>
  <c r="L31" i="1"/>
  <c r="K31" i="1"/>
  <c r="J31" i="1"/>
  <c r="I31" i="1"/>
  <c r="H31" i="1"/>
  <c r="G31" i="1"/>
  <c r="F31" i="1" s="1"/>
  <c r="B31" i="1"/>
  <c r="O31" i="1" s="1"/>
  <c r="M29" i="1"/>
  <c r="L29" i="1"/>
  <c r="K29" i="1"/>
  <c r="J29" i="1"/>
  <c r="I29" i="1"/>
  <c r="H29" i="1"/>
  <c r="G29" i="1"/>
  <c r="F29" i="1" s="1"/>
  <c r="B29" i="1"/>
  <c r="O29" i="1" s="1"/>
  <c r="M27" i="1"/>
  <c r="L27" i="1"/>
  <c r="K27" i="1"/>
  <c r="J27" i="1"/>
  <c r="I27" i="1"/>
  <c r="H27" i="1"/>
  <c r="G27" i="1"/>
  <c r="F27" i="1" s="1"/>
  <c r="B27" i="1"/>
  <c r="O27" i="1" s="1"/>
  <c r="M25" i="1"/>
  <c r="L25" i="1"/>
  <c r="K25" i="1"/>
  <c r="J25" i="1"/>
  <c r="I25" i="1"/>
  <c r="H25" i="1"/>
  <c r="G25" i="1"/>
  <c r="F25" i="1" s="1"/>
  <c r="B25" i="1"/>
  <c r="O25" i="1" s="1"/>
  <c r="M17" i="1"/>
  <c r="L17" i="1"/>
  <c r="K17" i="1"/>
  <c r="J17" i="1"/>
  <c r="I17" i="1"/>
  <c r="H17" i="1"/>
  <c r="G17" i="1"/>
  <c r="F17" i="1" s="1"/>
  <c r="O17" i="1"/>
  <c r="M15" i="1"/>
  <c r="L15" i="1"/>
  <c r="K15" i="1"/>
  <c r="J15" i="1"/>
  <c r="I15" i="1"/>
  <c r="H15" i="1"/>
  <c r="G15" i="1"/>
  <c r="F15" i="1" s="1"/>
  <c r="O15" i="1"/>
  <c r="M13" i="1"/>
  <c r="L13" i="1"/>
  <c r="K13" i="1"/>
  <c r="J13" i="1"/>
  <c r="I13" i="1"/>
  <c r="H13" i="1"/>
  <c r="G13" i="1"/>
  <c r="F13" i="1" s="1"/>
  <c r="B13" i="1"/>
  <c r="O13" i="1" s="1"/>
  <c r="M9" i="1"/>
  <c r="L9" i="1"/>
  <c r="K9" i="1"/>
  <c r="J9" i="1"/>
  <c r="I9" i="1"/>
  <c r="H9" i="1"/>
  <c r="G9" i="1"/>
  <c r="F9" i="1" s="1"/>
  <c r="M7" i="1"/>
  <c r="L7" i="1"/>
  <c r="K7" i="1"/>
  <c r="J7" i="1"/>
  <c r="I7" i="1"/>
  <c r="H7" i="1"/>
  <c r="G7" i="1"/>
  <c r="F7" i="1" s="1"/>
  <c r="B7" i="1"/>
  <c r="O7" i="1" s="1"/>
  <c r="M5" i="1"/>
  <c r="L5" i="1"/>
  <c r="K5" i="1"/>
  <c r="J5" i="1"/>
  <c r="I5" i="1"/>
  <c r="H5" i="1"/>
  <c r="G5" i="1"/>
  <c r="F5" i="1" s="1"/>
  <c r="B5" i="1"/>
  <c r="M3" i="1"/>
  <c r="L3" i="1"/>
  <c r="K3" i="1"/>
  <c r="J3" i="1"/>
  <c r="I3" i="1"/>
  <c r="H3" i="1"/>
  <c r="G3" i="1"/>
  <c r="F3" i="1" s="1"/>
  <c r="B3" i="1"/>
  <c r="H57" i="1" l="1"/>
  <c r="H187" i="1" s="1"/>
  <c r="H802" i="1"/>
  <c r="I57" i="1"/>
  <c r="I187" i="1" s="1"/>
  <c r="I802" i="1"/>
  <c r="J57" i="1"/>
  <c r="J187" i="1" s="1"/>
  <c r="J802" i="1"/>
  <c r="K57" i="1"/>
  <c r="K187" i="1" s="1"/>
  <c r="K802" i="1"/>
  <c r="L57" i="1"/>
  <c r="L187" i="1" s="1"/>
  <c r="L802" i="1"/>
  <c r="M57" i="1"/>
  <c r="M187" i="1" s="1"/>
  <c r="M802" i="1"/>
  <c r="B677" i="1"/>
  <c r="B565" i="1" s="1"/>
  <c r="B838" i="1"/>
  <c r="O838" i="1" s="1"/>
  <c r="O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98" i="1"/>
  <c r="D299" i="1"/>
  <c r="D678" i="1"/>
  <c r="D679" i="1"/>
  <c r="D803" i="1"/>
  <c r="D804" i="1"/>
  <c r="D1099" i="1"/>
  <c r="D854" i="1"/>
  <c r="D855" i="1"/>
  <c r="D856" i="1"/>
  <c r="D472" i="1"/>
  <c r="D473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643" i="1"/>
  <c r="D642" i="1"/>
  <c r="D58" i="1"/>
  <c r="D59" i="1"/>
  <c r="D384" i="1"/>
  <c r="D994" i="1"/>
  <c r="D996" i="1"/>
  <c r="D684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1063" i="1"/>
  <c r="D106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564" i="1"/>
  <c r="D565" i="1"/>
  <c r="D173" i="1"/>
  <c r="D174" i="1"/>
  <c r="D175" i="1"/>
  <c r="D176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703" i="1"/>
  <c r="D167" i="1"/>
  <c r="D168" i="1"/>
  <c r="D169" i="1"/>
  <c r="D170" i="1"/>
  <c r="D171" i="1"/>
  <c r="D172" i="1"/>
  <c r="D921" i="1"/>
  <c r="D177" i="1"/>
  <c r="D55" i="1"/>
  <c r="D56" i="1"/>
  <c r="D57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54" i="1"/>
  <c r="D198" i="1"/>
  <c r="D199" i="1"/>
  <c r="D200" i="1"/>
  <c r="D201" i="1"/>
  <c r="D202" i="1"/>
  <c r="D203" i="1"/>
  <c r="D204" i="1"/>
  <c r="D273" i="1"/>
  <c r="D274" i="1"/>
  <c r="D209" i="1"/>
  <c r="D210" i="1"/>
  <c r="D211" i="1"/>
  <c r="D212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935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46" i="1"/>
  <c r="D247" i="1"/>
  <c r="D248" i="1"/>
  <c r="D249" i="1"/>
  <c r="D250" i="1"/>
  <c r="D251" i="1"/>
  <c r="D252" i="1"/>
  <c r="D477" i="1"/>
  <c r="D1065" i="1"/>
  <c r="D205" i="1"/>
  <c r="D206" i="1"/>
  <c r="D132" i="1"/>
  <c r="D133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129" i="1"/>
  <c r="D130" i="1"/>
  <c r="D131" i="1"/>
  <c r="D322" i="1"/>
  <c r="D207" i="1"/>
  <c r="D208" i="1"/>
  <c r="D278" i="1"/>
  <c r="D279" i="1"/>
  <c r="D280" i="1"/>
  <c r="D281" i="1"/>
  <c r="D282" i="1"/>
  <c r="D283" i="1"/>
  <c r="D284" i="1"/>
  <c r="D285" i="1"/>
  <c r="D286" i="1"/>
  <c r="D287" i="1"/>
  <c r="D288" i="1"/>
  <c r="D469" i="1"/>
  <c r="D289" i="1"/>
  <c r="D128" i="1"/>
  <c r="D290" i="1"/>
  <c r="D291" i="1"/>
  <c r="D292" i="1"/>
  <c r="D293" i="1"/>
  <c r="D294" i="1"/>
  <c r="D295" i="1"/>
  <c r="D296" i="1"/>
  <c r="D297" i="1"/>
  <c r="D3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1077" i="1"/>
  <c r="D1078" i="1"/>
  <c r="D318" i="1"/>
  <c r="D319" i="1"/>
  <c r="D320" i="1"/>
  <c r="D321" i="1"/>
  <c r="D323" i="1"/>
  <c r="D324" i="1"/>
  <c r="D325" i="1"/>
  <c r="D326" i="1"/>
  <c r="D1066" i="1"/>
  <c r="D1079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1080" i="1"/>
  <c r="D1086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254" i="1"/>
  <c r="D317" i="1"/>
  <c r="D689" i="1"/>
  <c r="D377" i="1"/>
  <c r="D378" i="1"/>
  <c r="D379" i="1"/>
  <c r="D380" i="1"/>
  <c r="D381" i="1"/>
  <c r="D382" i="1"/>
  <c r="D328" i="1"/>
  <c r="D702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821" i="1"/>
  <c r="D822" i="1"/>
  <c r="D823" i="1"/>
  <c r="D824" i="1"/>
  <c r="D443" i="1"/>
  <c r="D444" i="1"/>
  <c r="D445" i="1"/>
  <c r="D446" i="1"/>
  <c r="D447" i="1"/>
  <c r="D255" i="1"/>
  <c r="D448" i="1"/>
  <c r="D275" i="1"/>
  <c r="D449" i="1"/>
  <c r="D60" i="1"/>
  <c r="D450" i="1"/>
  <c r="D178" i="1"/>
  <c r="D451" i="1"/>
  <c r="D452" i="1"/>
  <c r="D453" i="1"/>
  <c r="D454" i="1"/>
  <c r="D455" i="1"/>
  <c r="D456" i="1"/>
  <c r="D457" i="1"/>
  <c r="D566" i="1"/>
  <c r="D567" i="1"/>
  <c r="D746" i="1"/>
  <c r="D461" i="1"/>
  <c r="D462" i="1"/>
  <c r="D463" i="1"/>
  <c r="D464" i="1"/>
  <c r="D465" i="1"/>
  <c r="D466" i="1"/>
  <c r="D166" i="1"/>
  <c r="D820" i="1"/>
  <c r="D422" i="1"/>
  <c r="D470" i="1"/>
  <c r="D471" i="1"/>
  <c r="D685" i="1"/>
  <c r="D468" i="1"/>
  <c r="D474" i="1"/>
  <c r="D475" i="1"/>
  <c r="D480" i="1"/>
  <c r="D478" i="1"/>
  <c r="D479" i="1"/>
  <c r="D481" i="1"/>
  <c r="D483" i="1"/>
  <c r="D484" i="1"/>
  <c r="D485" i="1"/>
  <c r="D486" i="1"/>
  <c r="D487" i="1"/>
  <c r="D488" i="1"/>
  <c r="D489" i="1"/>
  <c r="D490" i="1"/>
  <c r="D491" i="1"/>
  <c r="D493" i="1"/>
  <c r="D494" i="1"/>
  <c r="D495" i="1"/>
  <c r="D496" i="1"/>
  <c r="D497" i="1"/>
  <c r="D498" i="1"/>
  <c r="D499" i="1"/>
  <c r="D500" i="1"/>
  <c r="D501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1046" i="1"/>
  <c r="D525" i="1"/>
  <c r="D526" i="1"/>
  <c r="D527" i="1"/>
  <c r="D528" i="1"/>
  <c r="D529" i="1"/>
  <c r="D530" i="1"/>
  <c r="D531" i="1"/>
  <c r="D532" i="1"/>
  <c r="D1047" i="1"/>
  <c r="D1048" i="1"/>
  <c r="D535" i="1"/>
  <c r="D536" i="1"/>
  <c r="D82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383" i="1"/>
  <c r="D920" i="1"/>
  <c r="D568" i="1"/>
  <c r="D569" i="1"/>
  <c r="D570" i="1"/>
  <c r="D572" i="1"/>
  <c r="D573" i="1"/>
  <c r="D574" i="1"/>
  <c r="D575" i="1"/>
  <c r="D576" i="1"/>
  <c r="D577" i="1"/>
  <c r="D578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714" i="1"/>
  <c r="D715" i="1"/>
  <c r="D256" i="1"/>
  <c r="D257" i="1"/>
  <c r="D818" i="1"/>
  <c r="D83" i="1"/>
  <c r="D84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80" i="1"/>
  <c r="D681" i="1"/>
  <c r="D682" i="1"/>
  <c r="D683" i="1"/>
  <c r="D34" i="1"/>
  <c r="D33" i="1"/>
  <c r="D686" i="1"/>
  <c r="D687" i="1"/>
  <c r="D688" i="1"/>
  <c r="D32" i="1"/>
  <c r="D839" i="1"/>
  <c r="D691" i="1"/>
  <c r="D692" i="1"/>
  <c r="D693" i="1"/>
  <c r="D694" i="1"/>
  <c r="D695" i="1"/>
  <c r="D696" i="1"/>
  <c r="D697" i="1"/>
  <c r="D698" i="1"/>
  <c r="D699" i="1"/>
  <c r="D700" i="1"/>
  <c r="D701" i="1"/>
  <c r="D213" i="1"/>
  <c r="D372" i="1"/>
  <c r="D761" i="1"/>
  <c r="D762" i="1"/>
  <c r="D704" i="1"/>
  <c r="D705" i="1"/>
  <c r="D706" i="1"/>
  <c r="D707" i="1"/>
  <c r="D708" i="1"/>
  <c r="D709" i="1"/>
  <c r="D710" i="1"/>
  <c r="D711" i="1"/>
  <c r="D712" i="1"/>
  <c r="D713" i="1"/>
  <c r="D690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37" i="1"/>
  <c r="D747" i="1"/>
  <c r="D748" i="1"/>
  <c r="D749" i="1"/>
  <c r="D750" i="1"/>
  <c r="D751" i="1"/>
  <c r="D35" i="1"/>
  <c r="D36" i="1"/>
  <c r="D753" i="1"/>
  <c r="D754" i="1"/>
  <c r="D755" i="1"/>
  <c r="D756" i="1"/>
  <c r="D757" i="1"/>
  <c r="D758" i="1"/>
  <c r="D759" i="1"/>
  <c r="D760" i="1"/>
  <c r="D791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995" i="1"/>
  <c r="D792" i="1"/>
  <c r="D793" i="1"/>
  <c r="D794" i="1"/>
  <c r="D795" i="1"/>
  <c r="D796" i="1"/>
  <c r="D797" i="1"/>
  <c r="D798" i="1"/>
  <c r="D799" i="1"/>
  <c r="D800" i="1"/>
  <c r="D801" i="1"/>
  <c r="D802" i="1"/>
  <c r="D936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253" i="1"/>
  <c r="D476" i="1"/>
  <c r="D460" i="1"/>
  <c r="D458" i="1"/>
  <c r="D1102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375" i="1"/>
  <c r="D376" i="1"/>
  <c r="D226" i="1"/>
  <c r="D227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327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38" i="1"/>
  <c r="D524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1097" i="1"/>
  <c r="D1098" i="1"/>
  <c r="D373" i="1"/>
  <c r="D374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641" i="1"/>
  <c r="D639" i="1"/>
  <c r="D640" i="1"/>
  <c r="D637" i="1"/>
  <c r="D638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2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825" i="1"/>
  <c r="D826" i="1"/>
  <c r="D533" i="1"/>
  <c r="D534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442" i="1"/>
  <c r="D1100" i="1"/>
  <c r="D1101" i="1"/>
  <c r="D1127" i="1"/>
  <c r="D1128" i="1"/>
  <c r="D1067" i="1"/>
  <c r="D1068" i="1"/>
  <c r="D1069" i="1"/>
  <c r="D1070" i="1"/>
  <c r="D1071" i="1"/>
  <c r="D1072" i="1"/>
  <c r="D1073" i="1"/>
  <c r="D1074" i="1"/>
  <c r="D1075" i="1"/>
  <c r="D441" i="1"/>
  <c r="D1076" i="1"/>
  <c r="D197" i="1"/>
  <c r="D343" i="1"/>
  <c r="D752" i="1"/>
  <c r="D276" i="1"/>
  <c r="D1081" i="1"/>
  <c r="D1082" i="1"/>
  <c r="D1083" i="1"/>
  <c r="D1084" i="1"/>
  <c r="D1085" i="1"/>
  <c r="D277" i="1"/>
  <c r="D1087" i="1"/>
  <c r="D1088" i="1"/>
  <c r="D1089" i="1"/>
  <c r="D1090" i="1"/>
  <c r="D1091" i="1"/>
  <c r="D1092" i="1"/>
  <c r="D1093" i="1"/>
  <c r="D1094" i="1"/>
  <c r="D1095" i="1"/>
  <c r="D1096" i="1"/>
  <c r="D840" i="1"/>
  <c r="D841" i="1"/>
  <c r="D344" i="1"/>
  <c r="D459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819" i="1"/>
  <c r="D1118" i="1"/>
  <c r="D467" i="1"/>
  <c r="D1119" i="1"/>
  <c r="D1120" i="1"/>
  <c r="D1121" i="1"/>
  <c r="D1122" i="1"/>
  <c r="D1123" i="1"/>
  <c r="D1124" i="1"/>
  <c r="D1125" i="1"/>
  <c r="D1126" i="1"/>
  <c r="D61" i="1"/>
  <c r="D1129" i="1"/>
  <c r="D1130" i="1"/>
  <c r="D1131" i="1"/>
  <c r="D1132" i="1"/>
  <c r="D1133" i="1"/>
  <c r="D1164" i="1"/>
  <c r="D1134" i="1"/>
  <c r="D1135" i="1"/>
  <c r="D1136" i="1"/>
  <c r="D1137" i="1"/>
  <c r="D5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421" i="1"/>
  <c r="D1165" i="1"/>
  <c r="D1166" i="1"/>
  <c r="D1167" i="1"/>
  <c r="D1168" i="1"/>
  <c r="D482" i="1"/>
  <c r="D242" i="1"/>
  <c r="D492" i="1"/>
  <c r="D502" i="1"/>
  <c r="D571" i="1"/>
  <c r="D579" i="1"/>
  <c r="D892" i="1"/>
  <c r="D1021" i="1"/>
  <c r="D1023" i="1"/>
  <c r="O679" i="1"/>
  <c r="O127" i="1"/>
  <c r="O484" i="1"/>
  <c r="O172" i="1"/>
  <c r="O206" i="1"/>
  <c r="O131" i="1"/>
  <c r="O130" i="1"/>
  <c r="O321" i="1"/>
  <c r="O320" i="1"/>
  <c r="O3" i="1"/>
  <c r="G56" i="1"/>
  <c r="F679" i="1"/>
  <c r="G677" i="1"/>
  <c r="F127" i="1"/>
  <c r="G484" i="1"/>
  <c r="F484" i="1" s="1"/>
  <c r="F172" i="1"/>
  <c r="G855" i="1"/>
  <c r="F206" i="1"/>
  <c r="G131" i="1"/>
  <c r="F131" i="1" s="1"/>
  <c r="F130" i="1"/>
  <c r="G321" i="1"/>
  <c r="F321" i="1" s="1"/>
  <c r="F320" i="1"/>
  <c r="G635" i="1"/>
  <c r="G1132" i="1"/>
  <c r="H635" i="1"/>
  <c r="H636" i="1" s="1"/>
  <c r="H1132" i="1"/>
  <c r="H823" i="1" s="1"/>
  <c r="H824" i="1" s="1"/>
  <c r="I635" i="1"/>
  <c r="I636" i="1" s="1"/>
  <c r="I1132" i="1"/>
  <c r="I823" i="1" s="1"/>
  <c r="I824" i="1" s="1"/>
  <c r="J635" i="1"/>
  <c r="J636" i="1" s="1"/>
  <c r="J1132" i="1"/>
  <c r="J823" i="1" s="1"/>
  <c r="J824" i="1" s="1"/>
  <c r="K635" i="1"/>
  <c r="K636" i="1" s="1"/>
  <c r="K1132" i="1"/>
  <c r="K823" i="1" s="1"/>
  <c r="K824" i="1" s="1"/>
  <c r="L635" i="1"/>
  <c r="L636" i="1" s="1"/>
  <c r="L1132" i="1"/>
  <c r="L823" i="1" s="1"/>
  <c r="L824" i="1" s="1"/>
  <c r="M635" i="1"/>
  <c r="M636" i="1" s="1"/>
  <c r="M1132" i="1"/>
  <c r="M823" i="1" s="1"/>
  <c r="M824" i="1" s="1"/>
  <c r="B635" i="1"/>
  <c r="B636" i="1" s="1"/>
  <c r="B1132" i="1"/>
  <c r="B823" i="1" s="1"/>
  <c r="B824" i="1" s="1"/>
  <c r="O1132" i="1" l="1"/>
  <c r="O636" i="1"/>
  <c r="O635" i="1"/>
  <c r="O133" i="1"/>
  <c r="O855" i="1"/>
  <c r="O677" i="1"/>
  <c r="O56" i="1"/>
  <c r="G823" i="1"/>
  <c r="F1132" i="1"/>
  <c r="G636" i="1"/>
  <c r="F636" i="1" s="1"/>
  <c r="F635" i="1"/>
  <c r="G133" i="1"/>
  <c r="F133" i="1" s="1"/>
  <c r="F855" i="1"/>
  <c r="G856" i="1"/>
  <c r="G565" i="1"/>
  <c r="F677" i="1"/>
  <c r="G804" i="1"/>
  <c r="G802" i="1" s="1"/>
  <c r="F802" i="1" s="1"/>
  <c r="F56" i="1"/>
  <c r="B176" i="1"/>
  <c r="M176" i="1"/>
  <c r="L176" i="1"/>
  <c r="K176" i="1"/>
  <c r="J176" i="1"/>
  <c r="I176" i="1"/>
  <c r="H176" i="1"/>
  <c r="B419" i="1"/>
  <c r="B420" i="1"/>
  <c r="G419" i="1"/>
  <c r="F419" i="1" s="1"/>
  <c r="G420" i="1"/>
  <c r="F420" i="1" s="1"/>
  <c r="H419" i="1"/>
  <c r="H420" i="1"/>
  <c r="I419" i="1"/>
  <c r="I420" i="1"/>
  <c r="J419" i="1"/>
  <c r="J420" i="1"/>
  <c r="K419" i="1"/>
  <c r="K420" i="1"/>
  <c r="L419" i="1"/>
  <c r="L420" i="1"/>
  <c r="M419" i="1"/>
  <c r="M420" i="1"/>
  <c r="O420" i="1" l="1"/>
  <c r="O419" i="1"/>
  <c r="O804" i="1"/>
  <c r="O565" i="1"/>
  <c r="O856" i="1"/>
  <c r="O824" i="1"/>
  <c r="O823" i="1"/>
  <c r="G57" i="1"/>
  <c r="F804" i="1"/>
  <c r="G475" i="1"/>
  <c r="F565" i="1"/>
  <c r="G274" i="1"/>
  <c r="F856" i="1"/>
  <c r="G824" i="1"/>
  <c r="F824" i="1" s="1"/>
  <c r="F82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98" i="1"/>
  <c r="N299" i="1"/>
  <c r="N678" i="1"/>
  <c r="N679" i="1"/>
  <c r="N803" i="1"/>
  <c r="N804" i="1"/>
  <c r="N1099" i="1"/>
  <c r="N854" i="1"/>
  <c r="N855" i="1"/>
  <c r="N856" i="1"/>
  <c r="N472" i="1"/>
  <c r="N473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643" i="1"/>
  <c r="N642" i="1"/>
  <c r="N58" i="1"/>
  <c r="N59" i="1"/>
  <c r="N384" i="1"/>
  <c r="N994" i="1"/>
  <c r="N996" i="1"/>
  <c r="N684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1063" i="1"/>
  <c r="N106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564" i="1"/>
  <c r="N565" i="1"/>
  <c r="N173" i="1"/>
  <c r="N174" i="1"/>
  <c r="N175" i="1"/>
  <c r="N176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703" i="1"/>
  <c r="N167" i="1"/>
  <c r="N168" i="1"/>
  <c r="N169" i="1"/>
  <c r="N170" i="1"/>
  <c r="N171" i="1"/>
  <c r="N172" i="1"/>
  <c r="N921" i="1"/>
  <c r="N177" i="1"/>
  <c r="N55" i="1"/>
  <c r="N56" i="1"/>
  <c r="N57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54" i="1"/>
  <c r="N198" i="1"/>
  <c r="N199" i="1"/>
  <c r="N200" i="1"/>
  <c r="N201" i="1"/>
  <c r="N202" i="1"/>
  <c r="N203" i="1"/>
  <c r="N204" i="1"/>
  <c r="N273" i="1"/>
  <c r="N274" i="1"/>
  <c r="N209" i="1"/>
  <c r="N210" i="1"/>
  <c r="N211" i="1"/>
  <c r="N212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935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477" i="1"/>
  <c r="N1065" i="1"/>
  <c r="N205" i="1"/>
  <c r="N206" i="1"/>
  <c r="N132" i="1"/>
  <c r="N133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129" i="1"/>
  <c r="N130" i="1"/>
  <c r="N131" i="1"/>
  <c r="N322" i="1"/>
  <c r="N207" i="1"/>
  <c r="N208" i="1"/>
  <c r="N278" i="1"/>
  <c r="N279" i="1"/>
  <c r="N280" i="1"/>
  <c r="N281" i="1"/>
  <c r="N282" i="1"/>
  <c r="N283" i="1"/>
  <c r="N284" i="1"/>
  <c r="N285" i="1"/>
  <c r="N286" i="1"/>
  <c r="N287" i="1"/>
  <c r="N288" i="1"/>
  <c r="N469" i="1"/>
  <c r="N289" i="1"/>
  <c r="N128" i="1"/>
  <c r="N290" i="1"/>
  <c r="N291" i="1"/>
  <c r="N292" i="1"/>
  <c r="N293" i="1"/>
  <c r="N294" i="1"/>
  <c r="N295" i="1"/>
  <c r="N296" i="1"/>
  <c r="N297" i="1"/>
  <c r="N3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1077" i="1"/>
  <c r="N1078" i="1"/>
  <c r="N318" i="1"/>
  <c r="N319" i="1"/>
  <c r="N320" i="1"/>
  <c r="N321" i="1"/>
  <c r="N323" i="1"/>
  <c r="N324" i="1"/>
  <c r="N325" i="1"/>
  <c r="N326" i="1"/>
  <c r="N1066" i="1"/>
  <c r="N1079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1080" i="1"/>
  <c r="N1086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254" i="1"/>
  <c r="N317" i="1"/>
  <c r="N689" i="1"/>
  <c r="N377" i="1"/>
  <c r="N378" i="1"/>
  <c r="N379" i="1"/>
  <c r="N380" i="1"/>
  <c r="N381" i="1"/>
  <c r="N382" i="1"/>
  <c r="N328" i="1"/>
  <c r="N702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821" i="1"/>
  <c r="N822" i="1"/>
  <c r="N823" i="1"/>
  <c r="N824" i="1"/>
  <c r="N443" i="1"/>
  <c r="N444" i="1"/>
  <c r="N445" i="1"/>
  <c r="N446" i="1"/>
  <c r="N447" i="1"/>
  <c r="N255" i="1"/>
  <c r="N448" i="1"/>
  <c r="N275" i="1"/>
  <c r="N449" i="1"/>
  <c r="N60" i="1"/>
  <c r="N450" i="1"/>
  <c r="N178" i="1"/>
  <c r="N451" i="1"/>
  <c r="N452" i="1"/>
  <c r="N453" i="1"/>
  <c r="N454" i="1"/>
  <c r="N455" i="1"/>
  <c r="N456" i="1"/>
  <c r="N457" i="1"/>
  <c r="N566" i="1"/>
  <c r="N567" i="1"/>
  <c r="N746" i="1"/>
  <c r="N461" i="1"/>
  <c r="N462" i="1"/>
  <c r="N463" i="1"/>
  <c r="N464" i="1"/>
  <c r="N465" i="1"/>
  <c r="N466" i="1"/>
  <c r="N166" i="1"/>
  <c r="N820" i="1"/>
  <c r="N422" i="1"/>
  <c r="N470" i="1"/>
  <c r="N471" i="1"/>
  <c r="N685" i="1"/>
  <c r="N468" i="1"/>
  <c r="N474" i="1"/>
  <c r="N475" i="1"/>
  <c r="N480" i="1"/>
  <c r="N478" i="1"/>
  <c r="N479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1046" i="1"/>
  <c r="N525" i="1"/>
  <c r="N526" i="1"/>
  <c r="N527" i="1"/>
  <c r="N528" i="1"/>
  <c r="N529" i="1"/>
  <c r="N530" i="1"/>
  <c r="N531" i="1"/>
  <c r="N532" i="1"/>
  <c r="N1047" i="1"/>
  <c r="N1048" i="1"/>
  <c r="N535" i="1"/>
  <c r="N536" i="1"/>
  <c r="N82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383" i="1"/>
  <c r="N920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714" i="1"/>
  <c r="N715" i="1"/>
  <c r="N256" i="1"/>
  <c r="N257" i="1"/>
  <c r="N818" i="1"/>
  <c r="N83" i="1"/>
  <c r="N84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80" i="1"/>
  <c r="N681" i="1"/>
  <c r="N682" i="1"/>
  <c r="N683" i="1"/>
  <c r="N34" i="1"/>
  <c r="N33" i="1"/>
  <c r="N686" i="1"/>
  <c r="N687" i="1"/>
  <c r="N688" i="1"/>
  <c r="N32" i="1"/>
  <c r="N839" i="1"/>
  <c r="N691" i="1"/>
  <c r="N692" i="1"/>
  <c r="N693" i="1"/>
  <c r="N694" i="1"/>
  <c r="N695" i="1"/>
  <c r="N696" i="1"/>
  <c r="N697" i="1"/>
  <c r="N698" i="1"/>
  <c r="N699" i="1"/>
  <c r="N700" i="1"/>
  <c r="N701" i="1"/>
  <c r="N213" i="1"/>
  <c r="N372" i="1"/>
  <c r="N761" i="1"/>
  <c r="N762" i="1"/>
  <c r="N704" i="1"/>
  <c r="N705" i="1"/>
  <c r="N706" i="1"/>
  <c r="N707" i="1"/>
  <c r="N708" i="1"/>
  <c r="N709" i="1"/>
  <c r="N710" i="1"/>
  <c r="N711" i="1"/>
  <c r="N712" i="1"/>
  <c r="N713" i="1"/>
  <c r="N690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37" i="1"/>
  <c r="N747" i="1"/>
  <c r="N748" i="1"/>
  <c r="N749" i="1"/>
  <c r="N750" i="1"/>
  <c r="N751" i="1"/>
  <c r="N35" i="1"/>
  <c r="N36" i="1"/>
  <c r="N753" i="1"/>
  <c r="N754" i="1"/>
  <c r="N755" i="1"/>
  <c r="N756" i="1"/>
  <c r="N757" i="1"/>
  <c r="N758" i="1"/>
  <c r="N759" i="1"/>
  <c r="N760" i="1"/>
  <c r="N791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995" i="1"/>
  <c r="N792" i="1"/>
  <c r="N793" i="1"/>
  <c r="N794" i="1"/>
  <c r="N795" i="1"/>
  <c r="N796" i="1"/>
  <c r="N797" i="1"/>
  <c r="N798" i="1"/>
  <c r="N799" i="1"/>
  <c r="N800" i="1"/>
  <c r="N801" i="1"/>
  <c r="N802" i="1"/>
  <c r="N936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253" i="1"/>
  <c r="N476" i="1"/>
  <c r="N460" i="1"/>
  <c r="N458" i="1"/>
  <c r="N1102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375" i="1"/>
  <c r="N376" i="1"/>
  <c r="N226" i="1"/>
  <c r="N227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327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38" i="1"/>
  <c r="N524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1097" i="1"/>
  <c r="N1098" i="1"/>
  <c r="N373" i="1"/>
  <c r="N374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641" i="1"/>
  <c r="N639" i="1"/>
  <c r="N640" i="1"/>
  <c r="N637" i="1"/>
  <c r="N638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825" i="1"/>
  <c r="N826" i="1"/>
  <c r="N533" i="1"/>
  <c r="N534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442" i="1"/>
  <c r="N1100" i="1"/>
  <c r="N1101" i="1"/>
  <c r="N1127" i="1"/>
  <c r="N1128" i="1"/>
  <c r="N1067" i="1"/>
  <c r="N1068" i="1"/>
  <c r="N1069" i="1"/>
  <c r="N1070" i="1"/>
  <c r="N1071" i="1"/>
  <c r="N1072" i="1"/>
  <c r="N1073" i="1"/>
  <c r="N1074" i="1"/>
  <c r="N1075" i="1"/>
  <c r="N441" i="1"/>
  <c r="N1076" i="1"/>
  <c r="N197" i="1"/>
  <c r="N343" i="1"/>
  <c r="N752" i="1"/>
  <c r="N276" i="1"/>
  <c r="N1081" i="1"/>
  <c r="N1082" i="1"/>
  <c r="N1083" i="1"/>
  <c r="N1084" i="1"/>
  <c r="N1085" i="1"/>
  <c r="N277" i="1"/>
  <c r="N1087" i="1"/>
  <c r="N1088" i="1"/>
  <c r="N1089" i="1"/>
  <c r="N1090" i="1"/>
  <c r="N1091" i="1"/>
  <c r="N1092" i="1"/>
  <c r="N1093" i="1"/>
  <c r="N1094" i="1"/>
  <c r="N1095" i="1"/>
  <c r="N1096" i="1"/>
  <c r="N840" i="1"/>
  <c r="N841" i="1"/>
  <c r="N344" i="1"/>
  <c r="N459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819" i="1"/>
  <c r="N1118" i="1"/>
  <c r="N467" i="1"/>
  <c r="N1119" i="1"/>
  <c r="N1120" i="1"/>
  <c r="N1121" i="1"/>
  <c r="N1122" i="1"/>
  <c r="N1123" i="1"/>
  <c r="N1124" i="1"/>
  <c r="N1125" i="1"/>
  <c r="N1126" i="1"/>
  <c r="N61" i="1"/>
  <c r="N1129" i="1"/>
  <c r="N1130" i="1"/>
  <c r="N1131" i="1"/>
  <c r="N1132" i="1"/>
  <c r="N1133" i="1"/>
  <c r="N1164" i="1"/>
  <c r="N1134" i="1"/>
  <c r="N1135" i="1"/>
  <c r="N1136" i="1"/>
  <c r="N1137" i="1"/>
  <c r="N5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421" i="1"/>
  <c r="N1165" i="1"/>
  <c r="N1166" i="1"/>
  <c r="N1167" i="1"/>
  <c r="N1168" i="1"/>
  <c r="O473" i="1" l="1"/>
  <c r="O274" i="1"/>
  <c r="O475" i="1"/>
  <c r="O187" i="1"/>
  <c r="O57" i="1"/>
  <c r="G473" i="1"/>
  <c r="F473" i="1" s="1"/>
  <c r="F274" i="1"/>
  <c r="G174" i="1"/>
  <c r="F475" i="1"/>
  <c r="G187" i="1"/>
  <c r="F187" i="1" s="1"/>
  <c r="F57" i="1"/>
  <c r="O174" i="1" l="1"/>
  <c r="G175" i="1"/>
  <c r="F174" i="1"/>
  <c r="O175" i="1" l="1"/>
  <c r="O176" i="1"/>
  <c r="F175" i="1"/>
  <c r="G176" i="1"/>
  <c r="F176" i="1" s="1"/>
</calcChain>
</file>

<file path=xl/sharedStrings.xml><?xml version="1.0" encoding="utf-8"?>
<sst xmlns="http://schemas.openxmlformats.org/spreadsheetml/2006/main" count="6789" uniqueCount="1972">
  <si>
    <t>#</t>
  </si>
  <si>
    <t>Name</t>
  </si>
  <si>
    <t>Type</t>
  </si>
  <si>
    <t>Quantidades</t>
  </si>
  <si>
    <t>Region</t>
  </si>
  <si>
    <t>Classificação</t>
  </si>
  <si>
    <t>Total</t>
  </si>
  <si>
    <t>HP</t>
  </si>
  <si>
    <t>Attack</t>
  </si>
  <si>
    <t>Defense</t>
  </si>
  <si>
    <t>Special Attack</t>
  </si>
  <si>
    <t>Special Defense</t>
  </si>
  <si>
    <t>Speed</t>
  </si>
  <si>
    <t>Média dos attacks</t>
  </si>
  <si>
    <t>Código Pokemon</t>
  </si>
  <si>
    <t>Bulbasaur</t>
  </si>
  <si>
    <t>GRASS</t>
  </si>
  <si>
    <t>POISON</t>
  </si>
  <si>
    <t>Ivysaur</t>
  </si>
  <si>
    <t>Venusaur</t>
  </si>
  <si>
    <t>Mega Venusaur</t>
  </si>
  <si>
    <t>Charmander</t>
  </si>
  <si>
    <t>FIRE</t>
  </si>
  <si>
    <t>Charmeleon</t>
  </si>
  <si>
    <t>Charizard</t>
  </si>
  <si>
    <t>FLYING</t>
  </si>
  <si>
    <t>Mega Charizard X</t>
  </si>
  <si>
    <t>DRAGON</t>
  </si>
  <si>
    <t>Mega Charizard Y</t>
  </si>
  <si>
    <t>Squirtle</t>
  </si>
  <si>
    <t>WATER</t>
  </si>
  <si>
    <t>Wartortle</t>
  </si>
  <si>
    <t>Blastoise</t>
  </si>
  <si>
    <t>Mega 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</si>
  <si>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</si>
  <si>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</si>
  <si>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</si>
  <si>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</si>
  <si>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</si>
  <si>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</si>
  <si>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</si>
  <si>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</si>
  <si>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</si>
  <si>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</si>
  <si>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</si>
  <si>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</si>
  <si>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</si>
  <si>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</si>
  <si>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</si>
  <si>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</si>
  <si>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</si>
  <si>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</si>
  <si>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</si>
  <si>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</si>
  <si>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</si>
  <si>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</si>
  <si>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</si>
  <si>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</si>
  <si>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</si>
  <si>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</si>
  <si>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</si>
  <si>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</si>
  <si>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</si>
  <si>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</si>
  <si>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</si>
  <si>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</si>
  <si>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</si>
  <si>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</si>
  <si>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</si>
  <si>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</si>
  <si>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</si>
  <si>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</si>
  <si>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</si>
  <si>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</si>
  <si>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</si>
  <si>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</si>
  <si>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</si>
  <si>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</si>
  <si>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</si>
  <si>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</si>
  <si>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</si>
  <si>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</si>
  <si>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</si>
  <si>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</si>
  <si>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</si>
  <si>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</si>
  <si>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</si>
  <si>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</si>
  <si>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</si>
  <si>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</si>
  <si>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</si>
  <si>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</si>
  <si>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</si>
  <si>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</si>
  <si>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</si>
  <si>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</si>
  <si>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</si>
  <si>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</si>
  <si>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</si>
  <si>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</si>
  <si>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</si>
  <si>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</si>
  <si>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</si>
  <si>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</si>
  <si>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</si>
  <si>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</si>
  <si>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</si>
  <si>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</si>
  <si>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</si>
  <si>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</si>
  <si>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</si>
  <si>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</si>
  <si>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</si>
  <si>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</si>
  <si>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</si>
  <si>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</si>
  <si>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</si>
  <si>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</si>
  <si>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</si>
  <si>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</si>
  <si>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</si>
  <si>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</si>
  <si>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</si>
  <si>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</si>
  <si>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</si>
  <si>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</si>
  <si>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</si>
  <si>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</si>
  <si>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</si>
  <si>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</si>
  <si>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</si>
  <si>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</si>
  <si>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</si>
  <si>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</si>
  <si>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</si>
  <si>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</si>
  <si>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</si>
  <si>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</si>
  <si>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</si>
  <si>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</si>
  <si>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</si>
  <si>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</si>
  <si>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</si>
  <si>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</si>
  <si>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</si>
  <si>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</si>
  <si>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</si>
  <si>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</si>
  <si>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</si>
  <si>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</si>
  <si>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</si>
  <si>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</si>
  <si>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</si>
  <si>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</si>
  <si>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</si>
  <si>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</si>
  <si>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</si>
  <si>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</si>
  <si>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</si>
  <si>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</si>
  <si>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</si>
  <si>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</si>
  <si>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</si>
  <si>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</si>
  <si>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</si>
  <si>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Mega Pinsir</t>
  </si>
  <si>
    <t>Tauros</t>
  </si>
  <si>
    <t>Magikarp</t>
  </si>
  <si>
    <t>Gyarados</t>
  </si>
  <si>
    <t>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</si>
  <si>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</si>
  <si>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</si>
  <si>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</si>
  <si>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</si>
  <si>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</si>
  <si>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</si>
  <si>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</si>
  <si>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</si>
  <si>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</si>
  <si>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</si>
  <si>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</si>
  <si>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</si>
  <si>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</si>
  <si>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</si>
  <si>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</si>
  <si>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</si>
  <si>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</si>
  <si>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</si>
  <si>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</si>
  <si>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</si>
  <si>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</si>
  <si>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</si>
  <si>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Mega Mewtwo X</t>
  </si>
  <si>
    <t>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</si>
  <si>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</si>
  <si>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</si>
  <si>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</si>
  <si>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</si>
  <si>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</si>
  <si>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</si>
  <si>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</si>
  <si>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</si>
  <si>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</si>
  <si>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</si>
  <si>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</si>
  <si>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</si>
  <si>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</si>
  <si>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</si>
  <si>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</si>
  <si>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</si>
  <si>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</si>
  <si>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</si>
  <si>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</si>
  <si>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</si>
  <si>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</si>
  <si>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</si>
  <si>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</si>
  <si>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</si>
  <si>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</si>
  <si>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</si>
  <si>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</si>
  <si>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</si>
  <si>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</si>
  <si>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</si>
  <si>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</si>
  <si>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</si>
  <si>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</si>
  <si>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</si>
  <si>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</si>
  <si>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</si>
  <si>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</si>
  <si>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</si>
  <si>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</si>
  <si>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</si>
  <si>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</si>
  <si>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</si>
  <si>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</si>
  <si>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</si>
  <si>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</si>
  <si>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</si>
  <si>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</si>
  <si>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</si>
  <si>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</si>
  <si>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</si>
  <si>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</si>
  <si>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</si>
  <si>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</si>
  <si>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</si>
  <si>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</si>
  <si>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</si>
  <si>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</si>
  <si>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</si>
  <si>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</si>
  <si>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</si>
  <si>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</si>
  <si>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</si>
  <si>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</si>
  <si>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Mega Scizor</t>
  </si>
  <si>
    <t>Shuckle</t>
  </si>
  <si>
    <t>Heracross</t>
  </si>
  <si>
    <t>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</si>
  <si>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</si>
  <si>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</si>
  <si>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</si>
  <si>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</si>
  <si>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</si>
  <si>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</si>
  <si>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</si>
  <si>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</si>
  <si>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</si>
  <si>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</si>
  <si>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</si>
  <si>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</si>
  <si>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</si>
  <si>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</si>
  <si>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</si>
  <si>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</si>
  <si>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</si>
  <si>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</si>
  <si>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</si>
  <si>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</si>
  <si>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</si>
  <si>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</si>
  <si>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</si>
  <si>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</si>
  <si>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</si>
  <si>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</si>
  <si>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</si>
  <si>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</si>
  <si>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</si>
  <si>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</si>
  <si>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</si>
  <si>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</si>
  <si>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</si>
  <si>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</si>
  <si>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</si>
  <si>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Mega 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</si>
  <si>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</si>
  <si>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</si>
  <si>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</si>
  <si>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</si>
  <si>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</si>
  <si>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</si>
  <si>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</si>
  <si>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</si>
  <si>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</si>
  <si>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Mega 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</si>
  <si>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</si>
  <si>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</si>
  <si>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</si>
  <si>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</si>
  <si>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</si>
  <si>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</si>
  <si>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</si>
  <si>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</si>
  <si>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</si>
  <si>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</si>
  <si>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</si>
  <si>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</si>
  <si>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</si>
  <si>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</si>
  <si>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</si>
  <si>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</si>
  <si>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</si>
  <si>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</si>
  <si>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</si>
  <si>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</si>
  <si>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</si>
  <si>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</si>
  <si>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</si>
  <si>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</si>
  <si>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</si>
  <si>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</si>
  <si>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</si>
  <si>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</si>
  <si>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</si>
  <si>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</si>
  <si>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</si>
  <si>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</si>
  <si>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</si>
  <si>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</si>
  <si>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</si>
  <si>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</si>
  <si>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</si>
  <si>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</si>
  <si>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</si>
  <si>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</si>
  <si>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</si>
  <si>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</si>
  <si>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</si>
  <si>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</si>
  <si>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</si>
  <si>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</si>
  <si>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Mega Kangaskhan</t>
  </si>
  <si>
    <t>Mawile</t>
  </si>
  <si>
    <t>Mega Mawile</t>
  </si>
  <si>
    <t>Aron</t>
  </si>
  <si>
    <t>Lairon</t>
  </si>
  <si>
    <t>Aggron</t>
  </si>
  <si>
    <t>Mega Aggron</t>
  </si>
  <si>
    <t>Meditite</t>
  </si>
  <si>
    <t>Medicham</t>
  </si>
  <si>
    <t>Mega Medicham</t>
  </si>
  <si>
    <t>Electrike</t>
  </si>
  <si>
    <t>Manectric</t>
  </si>
  <si>
    <t>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</si>
  <si>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</si>
  <si>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</si>
  <si>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</si>
  <si>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</si>
  <si>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</si>
  <si>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</si>
  <si>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</si>
  <si>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</si>
  <si>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</si>
  <si>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</si>
  <si>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</si>
  <si>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</si>
  <si>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</si>
  <si>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</si>
  <si>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</si>
  <si>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</si>
  <si>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</si>
  <si>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</si>
  <si>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</si>
  <si>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</si>
  <si>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</si>
  <si>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</si>
  <si>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</si>
  <si>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Meloetta- Pirouette Forme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</si>
  <si>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</si>
  <si>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</si>
  <si>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</si>
  <si>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</si>
  <si>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</si>
  <si>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</si>
  <si>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</si>
  <si>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</si>
  <si>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</si>
  <si>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</si>
  <si>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</si>
  <si>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</si>
  <si>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</si>
  <si>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</si>
  <si>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</si>
  <si>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</si>
  <si>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</si>
  <si>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</si>
  <si>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</si>
  <si>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</si>
  <si>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</si>
  <si>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Mega Banette</t>
  </si>
  <si>
    <t>Duskull</t>
  </si>
  <si>
    <t>Dusclops</t>
  </si>
  <si>
    <t>Tropius</t>
  </si>
  <si>
    <t>Chimecho</t>
  </si>
  <si>
    <t>Absol</t>
  </si>
  <si>
    <t>Mega 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</si>
  <si>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</si>
  <si>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</si>
  <si>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</si>
  <si>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</si>
  <si>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</si>
  <si>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</si>
  <si>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</si>
  <si>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</si>
  <si>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</si>
  <si>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</si>
  <si>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</si>
  <si>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</si>
  <si>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</si>
  <si>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</si>
  <si>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</si>
  <si>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</si>
  <si>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</si>
  <si>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</si>
  <si>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</si>
  <si>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</si>
  <si>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</si>
  <si>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</si>
  <si>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</si>
  <si>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</si>
  <si>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</si>
  <si>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</si>
  <si>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Deoxys- Normal Forme</t>
  </si>
  <si>
    <t>Deoxys- Attack Forme</t>
  </si>
  <si>
    <t>Deoxys- Defense Forme</t>
  </si>
  <si>
    <t>Deoxys- 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</si>
  <si>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</si>
  <si>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</si>
  <si>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</si>
  <si>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</si>
  <si>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</si>
  <si>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</si>
  <si>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</si>
  <si>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</si>
  <si>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</si>
  <si>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</si>
  <si>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</si>
  <si>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</si>
  <si>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</si>
  <si>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</si>
  <si>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</si>
  <si>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</si>
  <si>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</si>
  <si>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</si>
  <si>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</si>
  <si>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</si>
  <si>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</si>
  <si>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</si>
  <si>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</si>
  <si>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</si>
  <si>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</si>
  <si>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</si>
  <si>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 Plant Cloak</t>
  </si>
  <si>
    <t>Wormadam- Sandy Cloak</t>
  </si>
  <si>
    <t>Wormadam- 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</si>
  <si>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</si>
  <si>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</si>
  <si>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</si>
  <si>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</si>
  <si>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</si>
  <si>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</si>
  <si>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</si>
  <si>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</si>
  <si>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</si>
  <si>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</si>
  <si>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</si>
  <si>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</si>
  <si>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</si>
  <si>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</si>
  <si>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</si>
  <si>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</si>
  <si>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</si>
  <si>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</si>
  <si>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</si>
  <si>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</si>
  <si>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</si>
  <si>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</si>
  <si>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</si>
  <si>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</si>
  <si>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</si>
  <si>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</si>
  <si>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</si>
  <si>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</si>
  <si>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</si>
  <si>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</si>
  <si>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</si>
  <si>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</si>
  <si>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Mega Garchomp</t>
  </si>
  <si>
    <t>Munchlax</t>
  </si>
  <si>
    <t>Riolu</t>
  </si>
  <si>
    <t>Lucario</t>
  </si>
  <si>
    <t>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</si>
  <si>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</si>
  <si>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</si>
  <si>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</si>
  <si>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</si>
  <si>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</si>
  <si>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</si>
  <si>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</si>
  <si>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</si>
  <si>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</si>
  <si>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</si>
  <si>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</si>
  <si>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</si>
  <si>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</si>
  <si>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</si>
  <si>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</si>
  <si>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</si>
  <si>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</si>
  <si>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</si>
  <si>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</si>
  <si>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</si>
  <si>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</si>
  <si>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</si>
  <si>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</si>
  <si>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</si>
  <si>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</si>
  <si>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</si>
  <si>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</si>
  <si>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</si>
  <si>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</si>
  <si>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</si>
  <si>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</si>
  <si>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</si>
  <si>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</si>
  <si>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</si>
  <si>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</si>
  <si>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</si>
  <si>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</si>
  <si>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</si>
  <si>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</si>
  <si>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</si>
  <si>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</si>
  <si>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</si>
  <si>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</si>
  <si>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</si>
  <si>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Giratina- Altered Forme</t>
  </si>
  <si>
    <t>Giratina- Origin Forme</t>
  </si>
  <si>
    <t>Cresselia</t>
  </si>
  <si>
    <t>Phione</t>
  </si>
  <si>
    <t>Manaphy</t>
  </si>
  <si>
    <t>Darkrai</t>
  </si>
  <si>
    <t>Shaymin- Land Forme</t>
  </si>
  <si>
    <t>Shaymin- 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</si>
  <si>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</si>
  <si>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</si>
  <si>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</si>
  <si>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</si>
  <si>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</si>
  <si>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</si>
  <si>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</si>
  <si>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</si>
  <si>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</si>
  <si>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</si>
  <si>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</si>
  <si>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</si>
  <si>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</si>
  <si>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</si>
  <si>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</si>
  <si>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</si>
  <si>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Meloetta- Aria Forme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</si>
  <si>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</si>
  <si>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</si>
  <si>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</si>
  <si>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</si>
  <si>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</si>
  <si>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</si>
  <si>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</si>
  <si>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</si>
  <si>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</si>
  <si>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</si>
  <si>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</si>
  <si>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</si>
  <si>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</si>
  <si>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</si>
  <si>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</si>
  <si>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</si>
  <si>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</si>
  <si>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</si>
  <si>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</si>
  <si>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</si>
  <si>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</si>
  <si>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</si>
  <si>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</si>
  <si>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</si>
  <si>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</si>
  <si>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</si>
  <si>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</si>
  <si>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</si>
  <si>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</si>
  <si>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</si>
  <si>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</si>
  <si>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</si>
  <si>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</si>
  <si>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</si>
  <si>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</si>
  <si>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</si>
  <si>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</si>
  <si>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</si>
  <si>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</si>
  <si>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</si>
  <si>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</si>
  <si>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</si>
  <si>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</si>
  <si>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</si>
  <si>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</si>
  <si>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</si>
  <si>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Darmanitan- Standard Mode</t>
  </si>
  <si>
    <t>Darmanitan- 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</si>
  <si>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</si>
  <si>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</si>
  <si>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</si>
  <si>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</si>
  <si>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</si>
  <si>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</si>
  <si>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</si>
  <si>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</si>
  <si>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</si>
  <si>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</si>
  <si>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</si>
  <si>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</si>
  <si>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</si>
  <si>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</si>
  <si>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</si>
  <si>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</si>
  <si>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</si>
  <si>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</si>
  <si>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</si>
  <si>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</si>
  <si>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</si>
  <si>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</si>
  <si>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</si>
  <si>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</si>
  <si>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</si>
  <si>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</si>
  <si>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</si>
  <si>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</si>
  <si>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</si>
  <si>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</si>
  <si>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</si>
  <si>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</si>
  <si>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</si>
  <si>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</si>
  <si>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</si>
  <si>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</si>
  <si>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</si>
  <si>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</si>
  <si>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</si>
  <si>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</si>
  <si>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</si>
  <si>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</si>
  <si>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</si>
  <si>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</si>
  <si>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</si>
  <si>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</si>
  <si>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</si>
  <si>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</si>
  <si>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</si>
  <si>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</si>
  <si>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</si>
  <si>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</si>
  <si>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</si>
  <si>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</si>
  <si>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</si>
  <si>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</si>
  <si>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</si>
  <si>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</si>
  <si>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</si>
  <si>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</si>
  <si>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</si>
  <si>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</si>
  <si>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</si>
  <si>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</si>
  <si>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</si>
  <si>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</si>
  <si>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</si>
  <si>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</si>
  <si>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</si>
  <si>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</si>
  <si>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</si>
  <si>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</si>
  <si>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</si>
  <si>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</si>
  <si>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</si>
  <si>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</si>
  <si>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</si>
  <si>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</si>
  <si>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</si>
  <si>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</si>
  <si>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</si>
  <si>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</si>
  <si>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</si>
  <si>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</si>
  <si>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</si>
  <si>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Tornadus- Incarnate Forme</t>
  </si>
  <si>
    <t>Tornadus- Therian Forme</t>
  </si>
  <si>
    <t>Thundurus- Incarnate Forme</t>
  </si>
  <si>
    <t>Thundurus- Therian Forme</t>
  </si>
  <si>
    <t>Reshiram</t>
  </si>
  <si>
    <t>Zekrom</t>
  </si>
  <si>
    <t>Landorus- Incarnate Forme</t>
  </si>
  <si>
    <t>Landorus- Therian Forme</t>
  </si>
  <si>
    <t>Kyurem</t>
  </si>
  <si>
    <t>White Kyurem</t>
  </si>
  <si>
    <t>Black Kyurem</t>
  </si>
  <si>
    <t>Keldeo- Ordinary Forme</t>
  </si>
  <si>
    <t>Keldeo- Resolute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</si>
  <si>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</si>
  <si>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</si>
  <si>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</si>
  <si>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</si>
  <si>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</si>
  <si>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</si>
  <si>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</si>
  <si>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</si>
  <si>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</si>
  <si>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</si>
  <si>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</si>
  <si>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</si>
  <si>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</si>
  <si>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</si>
  <si>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</si>
  <si>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</si>
  <si>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</si>
  <si>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</si>
  <si>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</si>
  <si>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</si>
  <si>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</si>
  <si>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</si>
  <si>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</si>
  <si>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</si>
  <si>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</si>
  <si>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</si>
  <si>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</si>
  <si>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</si>
  <si>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</si>
  <si>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</si>
  <si>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</si>
  <si>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</si>
  <si>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Aegislash- Blade Forme</t>
  </si>
  <si>
    <t>Aegislash- 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</si>
  <si>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</si>
  <si>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</si>
  <si>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</si>
  <si>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</si>
  <si>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</si>
  <si>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</si>
  <si>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</si>
  <si>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</si>
  <si>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</si>
  <si>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</si>
  <si>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</si>
  <si>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</si>
  <si>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</si>
  <si>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</si>
  <si>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</si>
  <si>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</si>
  <si>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</si>
  <si>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</si>
  <si>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</si>
  <si>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</si>
  <si>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</si>
  <si>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</si>
  <si>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</si>
  <si>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</si>
  <si>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</si>
  <si>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</si>
  <si>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</si>
  <si>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</si>
  <si>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Pumpkaboo- Average Size</t>
  </si>
  <si>
    <t>Pumpkaboo- Small Size</t>
  </si>
  <si>
    <t>Pumpkaboo- Large Size</t>
  </si>
  <si>
    <t>Pumpkaboo- Super Size</t>
  </si>
  <si>
    <t>Gourgeist- Average Size</t>
  </si>
  <si>
    <t>Gourgeist- Small Size</t>
  </si>
  <si>
    <t>Gourgeist- Large Size</t>
  </si>
  <si>
    <t>Gourgeist-Super Size</t>
  </si>
  <si>
    <t>Bergmite</t>
  </si>
  <si>
    <t>Avalugg</t>
  </si>
  <si>
    <t>Noibat</t>
  </si>
  <si>
    <t>Noivern</t>
  </si>
  <si>
    <t>Xerneas</t>
  </si>
  <si>
    <t>Yveltal</t>
  </si>
  <si>
    <t>Zygarde</t>
  </si>
  <si>
    <t>🔎 POKÉDEX INTERATIVA</t>
  </si>
  <si>
    <t>Pokemom:</t>
  </si>
  <si>
    <t>Região:</t>
  </si>
  <si>
    <t>Tipo:</t>
  </si>
  <si>
    <t>HP:</t>
  </si>
  <si>
    <t>Attack:</t>
  </si>
  <si>
    <t>Defense:</t>
  </si>
  <si>
    <t>Speed:</t>
  </si>
  <si>
    <t>Classificação:</t>
  </si>
  <si>
    <t>Qtd(type)</t>
  </si>
  <si>
    <t>Cat.</t>
  </si>
  <si>
    <t>Power</t>
  </si>
  <si>
    <t>Acc.</t>
  </si>
  <si>
    <t>PP</t>
  </si>
  <si>
    <t>TM</t>
  </si>
  <si>
    <t>Effect</t>
  </si>
  <si>
    <t>Prob. (%)</t>
  </si>
  <si>
    <t>Classificação do Golpe</t>
  </si>
  <si>
    <t>Absorb</t>
  </si>
  <si>
    <t>Special</t>
  </si>
  <si>
    <t>User recovers half the HP inflicted on opponent.</t>
  </si>
  <si>
    <t>Acid</t>
  </si>
  <si>
    <t>May lower opponent's Special Defense.</t>
  </si>
  <si>
    <t>Acid Armor</t>
  </si>
  <si>
    <t>Status</t>
  </si>
  <si>
    <t>Sharply raises user's Defense.</t>
  </si>
  <si>
    <t>Acid Spray</t>
  </si>
  <si>
    <t>Sharply lowers opponent's Special Defense.</t>
  </si>
  <si>
    <t>Acrobatics</t>
  </si>
  <si>
    <t>Physical</t>
  </si>
  <si>
    <t>TM62</t>
  </si>
  <si>
    <t>Stronger when the user does not have a held item.</t>
  </si>
  <si>
    <t>Acupressure</t>
  </si>
  <si>
    <t>Sharply raises a random stat.</t>
  </si>
  <si>
    <t>Aerial Ace</t>
  </si>
  <si>
    <t>∞</t>
  </si>
  <si>
    <t>TM40</t>
  </si>
  <si>
    <t>Ignores Accuracy and Evasiveness.</t>
  </si>
  <si>
    <t>Aeroblast</t>
  </si>
  <si>
    <t>High critical hit ratio.</t>
  </si>
  <si>
    <t>After You</t>
  </si>
  <si>
    <t>Gives target priority in the next turn.</t>
  </si>
  <si>
    <t>Agility</t>
  </si>
  <si>
    <t>Sharply raises user's Speed.</t>
  </si>
  <si>
    <t>Air Cutter</t>
  </si>
  <si>
    <t>Air Slash</t>
  </si>
  <si>
    <t>May cause flinching.</t>
  </si>
  <si>
    <t>Ally Switch</t>
  </si>
  <si>
    <t>TM51</t>
  </si>
  <si>
    <t>User switches with opposite teammate.</t>
  </si>
  <si>
    <t>Amnesia</t>
  </si>
  <si>
    <t>Sharply raises user's Special Defense.</t>
  </si>
  <si>
    <t>AncientPower</t>
  </si>
  <si>
    <t>May raise all user's stats at once.</t>
  </si>
  <si>
    <t>Aqua Jet</t>
  </si>
  <si>
    <t>User attacks first.</t>
  </si>
  <si>
    <t>Aqua Ring</t>
  </si>
  <si>
    <t>Restores a little HP each turn.</t>
  </si>
  <si>
    <t>Aqua Tail</t>
  </si>
  <si>
    <t>Arm Thrust</t>
  </si>
  <si>
    <t>Hits 25 times in one turn.</t>
  </si>
  <si>
    <t>Aromatherapy</t>
  </si>
  <si>
    <t>Cures all status problems in your party.</t>
  </si>
  <si>
    <t>Aromatic Mist</t>
  </si>
  <si>
    <t>Raises Special Attack of teammates.</t>
  </si>
  <si>
    <t>Assist</t>
  </si>
  <si>
    <t>In a Double Battle, user randomly attacks with a partner's move.</t>
  </si>
  <si>
    <t>Assurance</t>
  </si>
  <si>
    <t>Power doubles if opponent already took damage in the same turn.</t>
  </si>
  <si>
    <t>Astonish</t>
  </si>
  <si>
    <t>Attack Order</t>
  </si>
  <si>
    <t>Attract</t>
  </si>
  <si>
    <t>TM45</t>
  </si>
  <si>
    <t>If opponent is the opposite gender, it's less likely to attack.</t>
  </si>
  <si>
    <t>Aura Sphere</t>
  </si>
  <si>
    <t>Aurora Beam</t>
  </si>
  <si>
    <t>May lower opponent's Attack.</t>
  </si>
  <si>
    <t>Autotomize</t>
  </si>
  <si>
    <t>Halves weight and sharply raises Speed.</t>
  </si>
  <si>
    <t>Avalanche</t>
  </si>
  <si>
    <t>Power doubles if user took damage first.</t>
  </si>
  <si>
    <t>BabyDoll Eyes</t>
  </si>
  <si>
    <t>Always goes first. Lowers the target's attack.</t>
  </si>
  <si>
    <t>Barrage</t>
  </si>
  <si>
    <t>Barrier</t>
  </si>
  <si>
    <t>Baton Pass</t>
  </si>
  <si>
    <t>User switches out and gives stat changes to the incoming Pokémon.</t>
  </si>
  <si>
    <t>Beat Up</t>
  </si>
  <si>
    <t>Each Pokémon in your party attacks.</t>
  </si>
  <si>
    <t>Belch</t>
  </si>
  <si>
    <t>Requires a held Berry to attack.</t>
  </si>
  <si>
    <t>Belly Drum</t>
  </si>
  <si>
    <t>User loses 50% of its max HP, but Attack raises to maximum.</t>
  </si>
  <si>
    <t>Bestow</t>
  </si>
  <si>
    <t>Gives the user's held item to the target.</t>
  </si>
  <si>
    <t>Bide</t>
  </si>
  <si>
    <t>User takes damage for two turns then strikes back double.</t>
  </si>
  <si>
    <t>Bind</t>
  </si>
  <si>
    <t>Traps opponent, damaging them for 45 turns.</t>
  </si>
  <si>
    <t>Bite</t>
  </si>
  <si>
    <t>Blast Burn</t>
  </si>
  <si>
    <t>User must recharge next turn.</t>
  </si>
  <si>
    <t>Blaze Kick</t>
  </si>
  <si>
    <t>High critical hit ratio. May burn opponent.</t>
  </si>
  <si>
    <t>Blizzard</t>
  </si>
  <si>
    <t>TM14</t>
  </si>
  <si>
    <t>May freeze opponent.</t>
  </si>
  <si>
    <t>Block</t>
  </si>
  <si>
    <t>Opponent cannot flee or switch.</t>
  </si>
  <si>
    <t>Blue Flare</t>
  </si>
  <si>
    <t>May burn opponent.</t>
  </si>
  <si>
    <t>Body Slam</t>
  </si>
  <si>
    <t>May paralyze opponent.</t>
  </si>
  <si>
    <t>Bolt Strike</t>
  </si>
  <si>
    <t>Bone Club</t>
  </si>
  <si>
    <t>Bone Rush</t>
  </si>
  <si>
    <t>Bonemerang</t>
  </si>
  <si>
    <t>Hits twice in one turn.</t>
  </si>
  <si>
    <t>Boomburst</t>
  </si>
  <si>
    <t>Hits all Pokémon on the field.</t>
  </si>
  <si>
    <t>Bounce</t>
  </si>
  <si>
    <t>Springs up on first turn, attacks on second. May paralyze opponent.</t>
  </si>
  <si>
    <t>Brave Bird</t>
  </si>
  <si>
    <t>User receives recoil damage.</t>
  </si>
  <si>
    <t>Brick Break</t>
  </si>
  <si>
    <t>TM31</t>
  </si>
  <si>
    <t>Breaks through Reflect and Light Screen barriers.</t>
  </si>
  <si>
    <t>Brine</t>
  </si>
  <si>
    <t>Power doubles if opponent's HP is less than 50%.</t>
  </si>
  <si>
    <t>Bubble</t>
  </si>
  <si>
    <t>May lower opponent's Speed.</t>
  </si>
  <si>
    <t>BubbleBeam</t>
  </si>
  <si>
    <t>Bug Bite</t>
  </si>
  <si>
    <t>Receives the effect from the opponent's held berry.</t>
  </si>
  <si>
    <t>Bug Buzz</t>
  </si>
  <si>
    <t>Bulk Up</t>
  </si>
  <si>
    <t>TM08</t>
  </si>
  <si>
    <t>Raises user's Attack and Defense.</t>
  </si>
  <si>
    <t>Bulldoze</t>
  </si>
  <si>
    <t>TM78</t>
  </si>
  <si>
    <t>Lowers opponent's Speed.</t>
  </si>
  <si>
    <t>Bullet Punch</t>
  </si>
  <si>
    <t>Bullet Seed</t>
  </si>
  <si>
    <t>Calm Mind</t>
  </si>
  <si>
    <t>TM04</t>
  </si>
  <si>
    <t>Raises user's Special Attack and Special Defense.</t>
  </si>
  <si>
    <t>Camouflage</t>
  </si>
  <si>
    <t>Changes user's type according to the location.</t>
  </si>
  <si>
    <t>Captivate</t>
  </si>
  <si>
    <t>Sharply lowers opponent's Special Attack if opposite gender.</t>
  </si>
  <si>
    <t>Charge</t>
  </si>
  <si>
    <t>Raises user's Special Defense and next Electric move's power increases.</t>
  </si>
  <si>
    <t>Charge Beam</t>
  </si>
  <si>
    <t>TM57</t>
  </si>
  <si>
    <t>May raise user's Special Attack.</t>
  </si>
  <si>
    <t>Charm</t>
  </si>
  <si>
    <t>Sharply lowers opponent's Attack.</t>
  </si>
  <si>
    <t>Chatter</t>
  </si>
  <si>
    <t>May confuse opponent.</t>
  </si>
  <si>
    <t>Chip Away</t>
  </si>
  <si>
    <t>Ignores opponent's stat changes.</t>
  </si>
  <si>
    <t>Circle Throw</t>
  </si>
  <si>
    <t>In battles, the opponent switches. In the wild, the Pokémon runs.</t>
  </si>
  <si>
    <t>Clamp</t>
  </si>
  <si>
    <t>Clear Smog</t>
  </si>
  <si>
    <t>Removes all of the target's stat changes.</t>
  </si>
  <si>
    <t>Close Combat</t>
  </si>
  <si>
    <t>Lowers user's Defense and Special Defense.</t>
  </si>
  <si>
    <t>Coil</t>
  </si>
  <si>
    <t>Raises user's Attack, Defense and Accuracy.</t>
  </si>
  <si>
    <t>Comet Punch</t>
  </si>
  <si>
    <t>Confide</t>
  </si>
  <si>
    <t>Lowers opponent's Special Attack.</t>
  </si>
  <si>
    <t>Confuse Ray</t>
  </si>
  <si>
    <t>Confuses opponent.</t>
  </si>
  <si>
    <t>Confusion</t>
  </si>
  <si>
    <t>Constrict</t>
  </si>
  <si>
    <t>May lower opponent's Speed by one stage.</t>
  </si>
  <si>
    <t>Conversion</t>
  </si>
  <si>
    <t>Changes user's type to a type of one of its own moves.</t>
  </si>
  <si>
    <t>Conversion 2</t>
  </si>
  <si>
    <t>User changes type to become resistant to opponent's last move.</t>
  </si>
  <si>
    <t>Copycat</t>
  </si>
  <si>
    <t>Copies opponent's last move.</t>
  </si>
  <si>
    <t>Cosmic Power</t>
  </si>
  <si>
    <t>Raises user's Defense and Special Defense.</t>
  </si>
  <si>
    <t>Cotton Guard</t>
  </si>
  <si>
    <t>Drastically raises user's Defense.</t>
  </si>
  <si>
    <t>Cotton Spore</t>
  </si>
  <si>
    <t>Sharply lowers opponent's Speed.</t>
  </si>
  <si>
    <t>Counter</t>
  </si>
  <si>
    <t>When hit by a Physical Attack, user strikes back with 2x power.</t>
  </si>
  <si>
    <t>Covet</t>
  </si>
  <si>
    <t>Opponent's item is stolen by the user.</t>
  </si>
  <si>
    <t>Crabhammer</t>
  </si>
  <si>
    <t>Crafty Shield</t>
  </si>
  <si>
    <t>Protects the Pokémon from status moves.</t>
  </si>
  <si>
    <t>Cross Chop</t>
  </si>
  <si>
    <t>Cross Poison</t>
  </si>
  <si>
    <t>High critical hit ratio. May poison opponent.</t>
  </si>
  <si>
    <t>Crunch</t>
  </si>
  <si>
    <t>May lower opponent's Defense.</t>
  </si>
  <si>
    <t>Crush Claw</t>
  </si>
  <si>
    <t>Crush Grip</t>
  </si>
  <si>
    <t>More powerful when opponent has higher HP.</t>
  </si>
  <si>
    <t>Curse</t>
  </si>
  <si>
    <t>Ghosts lose 50% of max HP and curse the opponent; NonGhosts raise Attack, Defense and lower Speed.</t>
  </si>
  <si>
    <t>Cut</t>
  </si>
  <si>
    <t>HM01</t>
  </si>
  <si>
    <t>Dark Pulse</t>
  </si>
  <si>
    <t>Dark Void</t>
  </si>
  <si>
    <t>Puts all Pokémon on the field to sleep.</t>
  </si>
  <si>
    <t>Dazzling Gleam</t>
  </si>
  <si>
    <t>Defend Order</t>
  </si>
  <si>
    <t>Defense Curl</t>
  </si>
  <si>
    <t>Raises user's Defense.</t>
  </si>
  <si>
    <t>Defog</t>
  </si>
  <si>
    <t>Lowers opponent's Evasiveness and clears fog.</t>
  </si>
  <si>
    <t>Destiny Bond</t>
  </si>
  <si>
    <t>If the user faints, the opponent also faints.</t>
  </si>
  <si>
    <t>Detect</t>
  </si>
  <si>
    <t>Opponent's attack doesn't affect you, but may fail if used often.</t>
  </si>
  <si>
    <t>Dig</t>
  </si>
  <si>
    <t>TM28</t>
  </si>
  <si>
    <t>Digs underground on first turn, attacks on second. Can also escape from caves.</t>
  </si>
  <si>
    <t>Disable</t>
  </si>
  <si>
    <t>Opponent can't use its last attack for a few turns.</t>
  </si>
  <si>
    <t>Disarming Voice</t>
  </si>
  <si>
    <t>Discharge</t>
  </si>
  <si>
    <t>Dive</t>
  </si>
  <si>
    <t>HM06</t>
  </si>
  <si>
    <t>Dives underwater on first turn, attacks on second turn.</t>
  </si>
  <si>
    <t>Dizzy Punch</t>
  </si>
  <si>
    <t>Doom Desire</t>
  </si>
  <si>
    <t>Damage occurs 2 turns later.</t>
  </si>
  <si>
    <t>Double Hit</t>
  </si>
  <si>
    <t>Double Kick</t>
  </si>
  <si>
    <t>Double Team</t>
  </si>
  <si>
    <t>TM32</t>
  </si>
  <si>
    <t>Raises user's Evasiveness.</t>
  </si>
  <si>
    <t>DoubleEdge</t>
  </si>
  <si>
    <t>DoubleSlap</t>
  </si>
  <si>
    <t>Draco Meteor</t>
  </si>
  <si>
    <t>Sharply lowers user's Special Attack.</t>
  </si>
  <si>
    <t>Dragon Claw</t>
  </si>
  <si>
    <t>TM02</t>
  </si>
  <si>
    <t>Dragon Dance</t>
  </si>
  <si>
    <t>Raises user's Attack and Speed.</t>
  </si>
  <si>
    <t>Dragon Pulse</t>
  </si>
  <si>
    <t>Dragon Rage</t>
  </si>
  <si>
    <t>Always inflicts 40 HP.</t>
  </si>
  <si>
    <t>Dragon Rush</t>
  </si>
  <si>
    <t>Dragon Tail</t>
  </si>
  <si>
    <t>TM82</t>
  </si>
  <si>
    <t>DragonBreath</t>
  </si>
  <si>
    <t>Drain Punch</t>
  </si>
  <si>
    <t>Draining Kiss</t>
  </si>
  <si>
    <t>User recovers over half the HP inflicted on opponent.</t>
  </si>
  <si>
    <t>Dream Eater</t>
  </si>
  <si>
    <t>TM85</t>
  </si>
  <si>
    <t>User recovers half the HP inflicted on a sleeping opponent.</t>
  </si>
  <si>
    <t>Drill Peck</t>
  </si>
  <si>
    <t>Drill Run</t>
  </si>
  <si>
    <t>Dual Chop</t>
  </si>
  <si>
    <t>DynamicPunch</t>
  </si>
  <si>
    <t>Earth Power</t>
  </si>
  <si>
    <t>Earthquake</t>
  </si>
  <si>
    <t>TM26</t>
  </si>
  <si>
    <t>Power is doubled if opponent is underground from using Dig.</t>
  </si>
  <si>
    <t>Echoed Voice</t>
  </si>
  <si>
    <t>TM49</t>
  </si>
  <si>
    <t>Power increases each turn if multiple Pokémon in the team also use it.</t>
  </si>
  <si>
    <t>Eerie Impulse</t>
  </si>
  <si>
    <t>Sharply lowers opponent's Special Attack.</t>
  </si>
  <si>
    <t>Egg Bomb</t>
  </si>
  <si>
    <t>Electric Terrain</t>
  </si>
  <si>
    <t>Prevents all Pokémon from falling asleep for 5 turns.</t>
  </si>
  <si>
    <t>Electrify</t>
  </si>
  <si>
    <t>Changes the target's move to Electric type.</t>
  </si>
  <si>
    <t>Electro Ball</t>
  </si>
  <si>
    <t>The faster the user, the stronger the attack.</t>
  </si>
  <si>
    <t>Electroweb</t>
  </si>
  <si>
    <t>Embargo</t>
  </si>
  <si>
    <t>TM63</t>
  </si>
  <si>
    <t>Opponent cannot use items.</t>
  </si>
  <si>
    <t>Ember</t>
  </si>
  <si>
    <t>Encore</t>
  </si>
  <si>
    <t>Forces opponent to keep using its last move for 3 turns.</t>
  </si>
  <si>
    <t>Endeavor</t>
  </si>
  <si>
    <t>Reduces opponent's HP to same as user's.</t>
  </si>
  <si>
    <t>Endure</t>
  </si>
  <si>
    <t>Always left with at least 1 HP, but may fail if used consecutively.</t>
  </si>
  <si>
    <t>Energy Ball</t>
  </si>
  <si>
    <t>TM53</t>
  </si>
  <si>
    <t>Entrainment</t>
  </si>
  <si>
    <t>Makes target's ability same as user's.</t>
  </si>
  <si>
    <t>Eruption</t>
  </si>
  <si>
    <t>Stronger when the user's HP is higher.</t>
  </si>
  <si>
    <t>Explosion</t>
  </si>
  <si>
    <t>TM64</t>
  </si>
  <si>
    <t>User faints.</t>
  </si>
  <si>
    <t>Extrasensory</t>
  </si>
  <si>
    <t>ExtremeSpeed</t>
  </si>
  <si>
    <t>Facade</t>
  </si>
  <si>
    <t>TM42</t>
  </si>
  <si>
    <t>Stronger if user is Burned, Poisoned, or Paralyzed.</t>
  </si>
  <si>
    <t>Faint Attack</t>
  </si>
  <si>
    <t>Fairy Lock</t>
  </si>
  <si>
    <t>Prevents fleeing in the next turn.</t>
  </si>
  <si>
    <t>Fairy Wind</t>
  </si>
  <si>
    <t>Fake Out</t>
  </si>
  <si>
    <t>User attacks first, foe flinches. Only usable on first turn.</t>
  </si>
  <si>
    <t>Fake Tears</t>
  </si>
  <si>
    <t>False Swipe</t>
  </si>
  <si>
    <t>TM54</t>
  </si>
  <si>
    <t>Always leaves opponent with at least 1 HP.</t>
  </si>
  <si>
    <t>FeatherDance</t>
  </si>
  <si>
    <t>Feint</t>
  </si>
  <si>
    <t>Only hits if opponent uses Protect or Detect in the same turn.</t>
  </si>
  <si>
    <t>Fell Stinger</t>
  </si>
  <si>
    <t>Sharply raises user's Attack if target is KO'd.</t>
  </si>
  <si>
    <t>Fiery Dance</t>
  </si>
  <si>
    <t>Final Gambit</t>
  </si>
  <si>
    <t>Inflicts damage equal to the user's remaining HP. User faints.</t>
  </si>
  <si>
    <t>Fire Blast</t>
  </si>
  <si>
    <t>TM38</t>
  </si>
  <si>
    <t>Fire Fang</t>
  </si>
  <si>
    <t>May cause flinching and/or burn opponent.</t>
  </si>
  <si>
    <t>Fire Pledge</t>
  </si>
  <si>
    <t>Added effects appear if combined with Grass Pledge or Water Pledge.</t>
  </si>
  <si>
    <t>Fire Punch</t>
  </si>
  <si>
    <t>Fire Spin</t>
  </si>
  <si>
    <t>Fissure</t>
  </si>
  <si>
    <t>OneHitKO, if it hits.</t>
  </si>
  <si>
    <t>Flail</t>
  </si>
  <si>
    <t>The lower the user's HP, the higher the power.</t>
  </si>
  <si>
    <t>Flame Burst</t>
  </si>
  <si>
    <t>May also injure nearby Pokémon.</t>
  </si>
  <si>
    <t>Flame Charge</t>
  </si>
  <si>
    <t>TM43</t>
  </si>
  <si>
    <t>Raises user's Speed.</t>
  </si>
  <si>
    <t>Flame Wheel</t>
  </si>
  <si>
    <t>Flamethrower</t>
  </si>
  <si>
    <t>TM35</t>
  </si>
  <si>
    <t>Flare Blitz</t>
  </si>
  <si>
    <t>User receives recoil damage. May burn opponent.</t>
  </si>
  <si>
    <t>Flash</t>
  </si>
  <si>
    <t>TM70</t>
  </si>
  <si>
    <t>Lowers opponent's Accuracy.</t>
  </si>
  <si>
    <t>Flash Cannon</t>
  </si>
  <si>
    <t>TM91</t>
  </si>
  <si>
    <t>Flatter</t>
  </si>
  <si>
    <t>Confuses opponent, but raises its Special Attack by two stages.</t>
  </si>
  <si>
    <t>Fling</t>
  </si>
  <si>
    <t>TM56</t>
  </si>
  <si>
    <t>Power depends on held item.</t>
  </si>
  <si>
    <t>Flower Shield</t>
  </si>
  <si>
    <t>Raises Defense of all Grasstype Pokémon on the field.</t>
  </si>
  <si>
    <t>Fly</t>
  </si>
  <si>
    <t>HM02</t>
  </si>
  <si>
    <t>Flies up on first turn, attacks on second turn.</t>
  </si>
  <si>
    <t>Flying Press</t>
  </si>
  <si>
    <t>Deals Fighting and Flying type damage.</t>
  </si>
  <si>
    <t>Focus Blast</t>
  </si>
  <si>
    <t>TM52</t>
  </si>
  <si>
    <t>Focus Energy</t>
  </si>
  <si>
    <t>Increases critical hit ratio.</t>
  </si>
  <si>
    <t>Focus Punch</t>
  </si>
  <si>
    <t>If the user is hit before attacking, it flinches instead.</t>
  </si>
  <si>
    <t>Follow Me</t>
  </si>
  <si>
    <t>In Double Battle, the user takes all the attacks.</t>
  </si>
  <si>
    <t>Force Palm</t>
  </si>
  <si>
    <t>Foresight</t>
  </si>
  <si>
    <t>Resets opponent's Evasiveness, Normaltype and Fightingtype attacks can now hit Ghosts, and Ghosttype attacks hit Normal.</t>
  </si>
  <si>
    <t>Forest's Curse</t>
  </si>
  <si>
    <t>Turns opponents into Grass type.</t>
  </si>
  <si>
    <t>Foul Play</t>
  </si>
  <si>
    <t>Uses the opponent's Attack stat.</t>
  </si>
  <si>
    <t>Freeze Shock</t>
  </si>
  <si>
    <t>Charges on first turn, attacks on second. May paralyze opponent.</t>
  </si>
  <si>
    <t>FreezeDry</t>
  </si>
  <si>
    <t>May freeze opponent. Supereffective against Water types.</t>
  </si>
  <si>
    <t>Frenzy Plant</t>
  </si>
  <si>
    <t>Frost Breath</t>
  </si>
  <si>
    <t>TM79</t>
  </si>
  <si>
    <t>Always results in a critical hit.</t>
  </si>
  <si>
    <t>Frustration</t>
  </si>
  <si>
    <t>TM21</t>
  </si>
  <si>
    <t>Power decreases with higher Happiness.</t>
  </si>
  <si>
    <t>Fury Attack</t>
  </si>
  <si>
    <t>Fury Cutter</t>
  </si>
  <si>
    <t>Power increases with each consecutive hit.</t>
  </si>
  <si>
    <t>Fury Swipes</t>
  </si>
  <si>
    <t>Fusion Bolt</t>
  </si>
  <si>
    <t>Power increases if Fusion Flare is used in the same turn.</t>
  </si>
  <si>
    <t>Fusion Flare</t>
  </si>
  <si>
    <t>Power increases if Fusion Bolt is used in the same turn.</t>
  </si>
  <si>
    <t>Future Sight</t>
  </si>
  <si>
    <t>Gastro Acid</t>
  </si>
  <si>
    <t>Cancels out the effect of the opponent's Ability.</t>
  </si>
  <si>
    <t>Gear Grind</t>
  </si>
  <si>
    <t>Geomancy</t>
  </si>
  <si>
    <t>Charges on first turn, sharply raises user's Sp. Attack, Sp. Defense and Speed on the second.</t>
  </si>
  <si>
    <t>Giga Drain</t>
  </si>
  <si>
    <t>Giga Impact</t>
  </si>
  <si>
    <t>TM68</t>
  </si>
  <si>
    <t>Glaciate</t>
  </si>
  <si>
    <t>Glare</t>
  </si>
  <si>
    <t>Paralyzes opponent.</t>
  </si>
  <si>
    <t>Grass Knot</t>
  </si>
  <si>
    <t>TM86</t>
  </si>
  <si>
    <t>The heavier the opponent, the stronger the attack.</t>
  </si>
  <si>
    <t>Grass Pledge</t>
  </si>
  <si>
    <t>Added effects appear if preceded by Water Pledge or succeeded by Fire Pledge.</t>
  </si>
  <si>
    <t>GrassWhistle</t>
  </si>
  <si>
    <t>Puts opponent to sleep, if it hits.</t>
  </si>
  <si>
    <t>Grassy Terrain</t>
  </si>
  <si>
    <t>Restores a little HP of all Pokémon for 5 turns.</t>
  </si>
  <si>
    <t>Gravity</t>
  </si>
  <si>
    <t>Prevents moves like Fly and Bounce and the Ability Levitate for 5 turns.</t>
  </si>
  <si>
    <t>Growl</t>
  </si>
  <si>
    <t>Lowers opponent's Attack.</t>
  </si>
  <si>
    <t>Growth</t>
  </si>
  <si>
    <t>Raises user's Attack and Special Attack.</t>
  </si>
  <si>
    <t>Grudge</t>
  </si>
  <si>
    <t>If the users faints after using this move, the PP for the opponent's last move is depleted.</t>
  </si>
  <si>
    <t>Guard Split</t>
  </si>
  <si>
    <t>Averages Defense and Special Defense with the target.</t>
  </si>
  <si>
    <t>Guard Swap</t>
  </si>
  <si>
    <t>User and opponent swap Defense and Special Defense.</t>
  </si>
  <si>
    <t>Guillotine</t>
  </si>
  <si>
    <t>Gunk Shot</t>
  </si>
  <si>
    <t>May poison opponent.</t>
  </si>
  <si>
    <t>Gust</t>
  </si>
  <si>
    <t>Hits Pokémon using Fly/Bounce with double power.</t>
  </si>
  <si>
    <t>Gyro Ball</t>
  </si>
  <si>
    <t>TM74</t>
  </si>
  <si>
    <t>The slower the opponent, the stronger the attack.</t>
  </si>
  <si>
    <t>Hail</t>
  </si>
  <si>
    <t>TM07</t>
  </si>
  <si>
    <t>NonIce types are damaged for 5 turns.</t>
  </si>
  <si>
    <t>Hammer Arm</t>
  </si>
  <si>
    <t>Lowers user's Speed.</t>
  </si>
  <si>
    <t>Harden</t>
  </si>
  <si>
    <t>Haze</t>
  </si>
  <si>
    <t>Resets all stat changes.</t>
  </si>
  <si>
    <t>Head Charge</t>
  </si>
  <si>
    <t>Head Smash</t>
  </si>
  <si>
    <t>Headbutt</t>
  </si>
  <si>
    <t>Heal Bell</t>
  </si>
  <si>
    <t>Heals the user's party's status conditions.</t>
  </si>
  <si>
    <t>Heal Block</t>
  </si>
  <si>
    <t>Prevents the opponent from restoring HP for 5 turns.</t>
  </si>
  <si>
    <t>Heal Order</t>
  </si>
  <si>
    <t>Recovers half of the user's max HP.</t>
  </si>
  <si>
    <t>Heal Pulse</t>
  </si>
  <si>
    <t>Restores half the target's max HP.</t>
  </si>
  <si>
    <t>Healing Wish</t>
  </si>
  <si>
    <t>The user faints and the next Pokémon released is fully healed.</t>
  </si>
  <si>
    <t>Heart Stamp</t>
  </si>
  <si>
    <t>Heart Swap</t>
  </si>
  <si>
    <t>Stat changes are swapped with the opponent.</t>
  </si>
  <si>
    <t>Heat Crash</t>
  </si>
  <si>
    <t>The heavier the user, the stronger the attack.</t>
  </si>
  <si>
    <t>Heat Wave</t>
  </si>
  <si>
    <t>Heavy Slam</t>
  </si>
  <si>
    <t>Helping Hand</t>
  </si>
  <si>
    <t>In Double Battles, boosts the power of the partner's move.</t>
  </si>
  <si>
    <t>Hex</t>
  </si>
  <si>
    <t>Inflicts more damage if the target has a status condition.</t>
  </si>
  <si>
    <t>Hi Jump Kick</t>
  </si>
  <si>
    <t>If it misses, the user loses half their HP.</t>
  </si>
  <si>
    <t>Hidden Power</t>
  </si>
  <si>
    <t>TM10</t>
  </si>
  <si>
    <t>Type and power depends on user's IVs.</t>
  </si>
  <si>
    <t>Hone Claws</t>
  </si>
  <si>
    <t>TM01</t>
  </si>
  <si>
    <t>Raises user's Attack and Accuracy.</t>
  </si>
  <si>
    <t>Horn Attack</t>
  </si>
  <si>
    <t>Horn Drill</t>
  </si>
  <si>
    <t>Horn Leech</t>
  </si>
  <si>
    <t>Howl</t>
  </si>
  <si>
    <t>Raises user's Attack.</t>
  </si>
  <si>
    <t>Hurricane</t>
  </si>
  <si>
    <t>Hydro Cannon</t>
  </si>
  <si>
    <t>Hydro Pump</t>
  </si>
  <si>
    <t>Hyper Beam</t>
  </si>
  <si>
    <t>TM15</t>
  </si>
  <si>
    <t>Hyper Fang</t>
  </si>
  <si>
    <t>Hyper Voice</t>
  </si>
  <si>
    <t>Hypnosis</t>
  </si>
  <si>
    <t>Put opponent to sleep, if it hits.</t>
  </si>
  <si>
    <t>Ice Ball</t>
  </si>
  <si>
    <t>Doubles in power each turn for 5 turns.</t>
  </si>
  <si>
    <t>Ice Beam</t>
  </si>
  <si>
    <t>TM13</t>
  </si>
  <si>
    <t>Ice Burn</t>
  </si>
  <si>
    <t>Charges on first turn, attacks on second. May burn opponent.</t>
  </si>
  <si>
    <t>Ice Fang</t>
  </si>
  <si>
    <t>May cause flinching and/or freeze opponent.</t>
  </si>
  <si>
    <t>Ice Punch</t>
  </si>
  <si>
    <t>Ice Shard</t>
  </si>
  <si>
    <t>Icicle Crash</t>
  </si>
  <si>
    <t>Icicle Spear</t>
  </si>
  <si>
    <t>Icy Wind</t>
  </si>
  <si>
    <t>Imprison</t>
  </si>
  <si>
    <t>Opponent is unable to use moves that the user also knows.</t>
  </si>
  <si>
    <t>Incinerate</t>
  </si>
  <si>
    <t>TM59</t>
  </si>
  <si>
    <t>Destroys the target's held berry.</t>
  </si>
  <si>
    <t>Inferno</t>
  </si>
  <si>
    <t>Burns opponent.</t>
  </si>
  <si>
    <t>Infestation</t>
  </si>
  <si>
    <t>Ingrain</t>
  </si>
  <si>
    <t>User restores HP each turn. User cannot escape/switch.</t>
  </si>
  <si>
    <t>Ion Deluge</t>
  </si>
  <si>
    <t>Changes Normaltype moves to Electrictype.</t>
  </si>
  <si>
    <t>Iron Defense</t>
  </si>
  <si>
    <t>Iron Head</t>
  </si>
  <si>
    <t>Iron Tail</t>
  </si>
  <si>
    <t>Judgment</t>
  </si>
  <si>
    <t>Type depends on the Arceus Plate being held.</t>
  </si>
  <si>
    <t>Jump Kick</t>
  </si>
  <si>
    <t>Karate Chop</t>
  </si>
  <si>
    <t>Kinesis</t>
  </si>
  <si>
    <t>King's Shield</t>
  </si>
  <si>
    <t>Protects against attacks, and lowers opponent's Attack on contact moves.</t>
  </si>
  <si>
    <t>Knock Off</t>
  </si>
  <si>
    <t>Opponent cannot use its hold item for the duration of the battle.</t>
  </si>
  <si>
    <t>Land's Wrath</t>
  </si>
  <si>
    <t>Last Resort</t>
  </si>
  <si>
    <t>Can only be used after all other moves are used.</t>
  </si>
  <si>
    <t>Lava Plume</t>
  </si>
  <si>
    <t>Leaf Blade</t>
  </si>
  <si>
    <t>Leaf Storm</t>
  </si>
  <si>
    <t>Leaf Tornado</t>
  </si>
  <si>
    <t>May lower opponent's Accuracy.</t>
  </si>
  <si>
    <t>Leech Life</t>
  </si>
  <si>
    <t>Leech Seed</t>
  </si>
  <si>
    <t>User steals HP from opponent each turn.</t>
  </si>
  <si>
    <t>Leer</t>
  </si>
  <si>
    <t>Lowers opponent's Defense.</t>
  </si>
  <si>
    <t>Lick</t>
  </si>
  <si>
    <t>Light Screen</t>
  </si>
  <si>
    <t>TM16</t>
  </si>
  <si>
    <t>Halves damage from Special attacks for 5 turns.</t>
  </si>
  <si>
    <t>LockOn</t>
  </si>
  <si>
    <t>The next move the user uses is guaranteed to hit.</t>
  </si>
  <si>
    <t>Lovely Kiss</t>
  </si>
  <si>
    <t>Puts the opponent to sleep, if it hits.</t>
  </si>
  <si>
    <t>Low Kick</t>
  </si>
  <si>
    <t>Low Sweep</t>
  </si>
  <si>
    <t>TM47</t>
  </si>
  <si>
    <t>Lucky Chant</t>
  </si>
  <si>
    <t>Opponent cannot land critical hits for 5 turns.</t>
  </si>
  <si>
    <t>Lunar Dance</t>
  </si>
  <si>
    <t>The user faints but the next Pokémon released is fully healed.</t>
  </si>
  <si>
    <t>Luster Purge</t>
  </si>
  <si>
    <t>Mach Punch</t>
  </si>
  <si>
    <t>Magic Coat</t>
  </si>
  <si>
    <t>Any special move is reflected back to the attacker.</t>
  </si>
  <si>
    <t>Magic Room</t>
  </si>
  <si>
    <t>Suppresses the effects of held items for five turns.</t>
  </si>
  <si>
    <t>Magical Leaf</t>
  </si>
  <si>
    <t>Magma Storm</t>
  </si>
  <si>
    <t>Magnet Bomb</t>
  </si>
  <si>
    <t>Magnet Rise</t>
  </si>
  <si>
    <t>User becomes immune to Groundtype moves for 5 turns.</t>
  </si>
  <si>
    <t>Magnetic Flux</t>
  </si>
  <si>
    <t>Raises Defense and Sp. Defense of Plus/Minus Pokémon.</t>
  </si>
  <si>
    <t>Magnitude</t>
  </si>
  <si>
    <t>Hits with random power.</t>
  </si>
  <si>
    <t>Mat Block</t>
  </si>
  <si>
    <t>Protects teammates from damaging moves.</t>
  </si>
  <si>
    <t>Me First</t>
  </si>
  <si>
    <t>User copies the opponent's attack with 1.5× power.</t>
  </si>
  <si>
    <t>Mean Look</t>
  </si>
  <si>
    <t>Opponent cannot escape/switch.</t>
  </si>
  <si>
    <t>Meditate</t>
  </si>
  <si>
    <t>Mega Drain</t>
  </si>
  <si>
    <t>Mega Kick</t>
  </si>
  <si>
    <t>Mega Punch</t>
  </si>
  <si>
    <t>Megahorn</t>
  </si>
  <si>
    <t>Memento</t>
  </si>
  <si>
    <t>User faints, sharply lowers opponent's Attack and Special Attack.</t>
  </si>
  <si>
    <t>Metal Burst</t>
  </si>
  <si>
    <t>Deals damage equal to 1.5x opponent's attack.</t>
  </si>
  <si>
    <t>Metal Claw</t>
  </si>
  <si>
    <t>May raise user's Attack.</t>
  </si>
  <si>
    <t>Metal Sound</t>
  </si>
  <si>
    <t>Meteor Mash</t>
  </si>
  <si>
    <t>Metronome</t>
  </si>
  <si>
    <t>User performs any move in the game at random.</t>
  </si>
  <si>
    <t>Milk Drink</t>
  </si>
  <si>
    <t>User recoves 50% of its maximum HP.</t>
  </si>
  <si>
    <t>Mimic</t>
  </si>
  <si>
    <t>Copies the opponent's last move.</t>
  </si>
  <si>
    <t>Mind Reader</t>
  </si>
  <si>
    <t>User's next attack is guaranteed to hit.</t>
  </si>
  <si>
    <t>Minimize</t>
  </si>
  <si>
    <t>Sharply raises user's Evasiveness.</t>
  </si>
  <si>
    <t>Miracle Eye</t>
  </si>
  <si>
    <t>Resets opponent's Evasiveness, removes Dark's Psychic immunity.</t>
  </si>
  <si>
    <t>Mirror Coat</t>
  </si>
  <si>
    <t>When hit by a Special Attack, user strikes back with 2x power.</t>
  </si>
  <si>
    <t>Mirror Move</t>
  </si>
  <si>
    <t>User performs the opponent's last move.</t>
  </si>
  <si>
    <t>Mirror Shot</t>
  </si>
  <si>
    <t>Mist</t>
  </si>
  <si>
    <t>User's stats cannot be changed for a period of time.</t>
  </si>
  <si>
    <t>Mist Ball</t>
  </si>
  <si>
    <t>May lower opponent's Special Attack.</t>
  </si>
  <si>
    <t>Misty Terrain</t>
  </si>
  <si>
    <t>Protects the field from status conditions for 5 turns.</t>
  </si>
  <si>
    <t>Moonblast</t>
  </si>
  <si>
    <t>Moonlight</t>
  </si>
  <si>
    <t>User recovers HP. Amount varies with the weather.</t>
  </si>
  <si>
    <t>Morning Sun</t>
  </si>
  <si>
    <t>Mud Bomb</t>
  </si>
  <si>
    <t>Mud Shot</t>
  </si>
  <si>
    <t>Mud Sport</t>
  </si>
  <si>
    <t>Weakens the power of Electrictype moves.</t>
  </si>
  <si>
    <t>MudSlap</t>
  </si>
  <si>
    <t>Muddy Water</t>
  </si>
  <si>
    <t>Mystical Fire</t>
  </si>
  <si>
    <t>Nasty Plot</t>
  </si>
  <si>
    <t>Sharply raises user's Special Attack.</t>
  </si>
  <si>
    <t>Natural Gift</t>
  </si>
  <si>
    <t>Power and type depend on the user's held berry.</t>
  </si>
  <si>
    <t>Nature Power</t>
  </si>
  <si>
    <t>Uses a certain move based on the current terrain.</t>
  </si>
  <si>
    <t>Needle Arm</t>
  </si>
  <si>
    <t>Night Daze</t>
  </si>
  <si>
    <t>Night Shade</t>
  </si>
  <si>
    <t>Inflicts damage equal to user's level.</t>
  </si>
  <si>
    <t>Night Slash</t>
  </si>
  <si>
    <t>Nightmare</t>
  </si>
  <si>
    <t>The sleeping opponent loses 25% of its max HP each turn.</t>
  </si>
  <si>
    <t>Noble Roar</t>
  </si>
  <si>
    <t>Lowers opponent's Attack and Special Attack.</t>
  </si>
  <si>
    <t>Nuzzle</t>
  </si>
  <si>
    <t>Oblivion Wing</t>
  </si>
  <si>
    <t>User recovers most of the HP inflicted on opponent.</t>
  </si>
  <si>
    <t>Octazooka</t>
  </si>
  <si>
    <t>Odor Sleuth</t>
  </si>
  <si>
    <t>Ominous Wind</t>
  </si>
  <si>
    <t>Outrage</t>
  </si>
  <si>
    <t>User attacks for 23 turns but then becomes confused.</t>
  </si>
  <si>
    <t>Overheat</t>
  </si>
  <si>
    <t>TM50</t>
  </si>
  <si>
    <t>Pain Split</t>
  </si>
  <si>
    <t>The user's and opponent's HP becomes the average of both.</t>
  </si>
  <si>
    <t>Parabolic Charge</t>
  </si>
  <si>
    <t>Parting Shot</t>
  </si>
  <si>
    <t>Lowers opponent's Attack and Special Attack then switches out.</t>
  </si>
  <si>
    <t>Pay Day</t>
  </si>
  <si>
    <t>A small amount of money is gained after the battle resolves.</t>
  </si>
  <si>
    <t>Payback</t>
  </si>
  <si>
    <t>TM66</t>
  </si>
  <si>
    <t>Power doubles if the user was attacked first.</t>
  </si>
  <si>
    <t>Peck</t>
  </si>
  <si>
    <t>Perish Song</t>
  </si>
  <si>
    <t>Any Pokémon in play when this attack is used faints in 3 turns.</t>
  </si>
  <si>
    <t>Petal Blizzard</t>
  </si>
  <si>
    <t>Petal Dance</t>
  </si>
  <si>
    <t>Phantom Force</t>
  </si>
  <si>
    <t>Disappears on first turn, attacks on second. Can strike through Protect/Detect.</t>
  </si>
  <si>
    <t>Pin Missile</t>
  </si>
  <si>
    <t>Play Nice</t>
  </si>
  <si>
    <t>Lowers opponent's Attack. Always hits.</t>
  </si>
  <si>
    <t>Play Rough</t>
  </si>
  <si>
    <t>Pluck</t>
  </si>
  <si>
    <t>TM88</t>
  </si>
  <si>
    <t>If the opponent is holding a berry, its effect is stolen by user.</t>
  </si>
  <si>
    <t>Poison Fang</t>
  </si>
  <si>
    <t>May badly poison opponent.</t>
  </si>
  <si>
    <t>Poison Gas</t>
  </si>
  <si>
    <t>Poisons opponent.</t>
  </si>
  <si>
    <t>Poison Jab</t>
  </si>
  <si>
    <t>TM84</t>
  </si>
  <si>
    <t>May poison the opponent.</t>
  </si>
  <si>
    <t>Poison Sting</t>
  </si>
  <si>
    <t>Poison Tail</t>
  </si>
  <si>
    <t>PoisonPowder</t>
  </si>
  <si>
    <t>Pound</t>
  </si>
  <si>
    <t>Powder</t>
  </si>
  <si>
    <t>Damages Pokémon using Fire type moves.</t>
  </si>
  <si>
    <t>Powder Snow</t>
  </si>
  <si>
    <t>Power Gem</t>
  </si>
  <si>
    <t>Power Split</t>
  </si>
  <si>
    <t>Averages Attack and Special Attack with the target.</t>
  </si>
  <si>
    <t>Power Swap</t>
  </si>
  <si>
    <t>User and opponent swap Attack and Special Attack.</t>
  </si>
  <si>
    <t>Power Trick</t>
  </si>
  <si>
    <t>User's own Attack and Defense switch.</t>
  </si>
  <si>
    <t>Power Whip</t>
  </si>
  <si>
    <t>PowerUp Punch</t>
  </si>
  <si>
    <t>Raises Attack.</t>
  </si>
  <si>
    <t>Present</t>
  </si>
  <si>
    <t>Either deals damage or heals.</t>
  </si>
  <si>
    <t>Protect</t>
  </si>
  <si>
    <t>TM17</t>
  </si>
  <si>
    <t>User is not affected by opponent's move.</t>
  </si>
  <si>
    <t>Psybeam</t>
  </si>
  <si>
    <t>Psych Up</t>
  </si>
  <si>
    <t>TM77</t>
  </si>
  <si>
    <t>Copies the opponent's stat changes.</t>
  </si>
  <si>
    <t>Psychic</t>
  </si>
  <si>
    <t>TM29</t>
  </si>
  <si>
    <t>Psycho Boost</t>
  </si>
  <si>
    <t>Psycho Cut</t>
  </si>
  <si>
    <t>Psycho Shift</t>
  </si>
  <si>
    <t>Gives the opponent the user's status condition, if it hits.</t>
  </si>
  <si>
    <t>Psyshock</t>
  </si>
  <si>
    <t>TM03</t>
  </si>
  <si>
    <t>Inflicts damage based on the target's Defense, not Special Defense.</t>
  </si>
  <si>
    <t>Psystrike</t>
  </si>
  <si>
    <t>Psywave</t>
  </si>
  <si>
    <t>Inflicts damage 50150% of user's level.</t>
  </si>
  <si>
    <t>Punishment</t>
  </si>
  <si>
    <t>Power increases when opponent's stats have been raised.</t>
  </si>
  <si>
    <t>Pursuit</t>
  </si>
  <si>
    <t>Double power if the opponent is switching out.</t>
  </si>
  <si>
    <t>Quash</t>
  </si>
  <si>
    <t>TM60</t>
  </si>
  <si>
    <t>Makes the target act last this turn.</t>
  </si>
  <si>
    <t>Quick Attack</t>
  </si>
  <si>
    <t>Quick Guard</t>
  </si>
  <si>
    <t>Fast moves won't damage the user or its teammates.</t>
  </si>
  <si>
    <t>Quiver Dance</t>
  </si>
  <si>
    <t>Raises user's Special Attack, Special Defense and Speed.</t>
  </si>
  <si>
    <t>Rage</t>
  </si>
  <si>
    <t>Raises user's Attack when hit.</t>
  </si>
  <si>
    <t>Rage Powder</t>
  </si>
  <si>
    <t>Forces attacks to hit user, not teammates.</t>
  </si>
  <si>
    <t>Rain Dance</t>
  </si>
  <si>
    <t>TM18</t>
  </si>
  <si>
    <t>Makes it rain for 5 turns.</t>
  </si>
  <si>
    <t>Rapid Spin</t>
  </si>
  <si>
    <t>Removes effects of trap moves.</t>
  </si>
  <si>
    <t>Razor Leaf</t>
  </si>
  <si>
    <t>Razor Shell</t>
  </si>
  <si>
    <t>Razor Wind</t>
  </si>
  <si>
    <t>Charges on first turn, attacks on second. High critical hit ratio.</t>
  </si>
  <si>
    <t>Recover</t>
  </si>
  <si>
    <t>User recovers 50% of its max HP.</t>
  </si>
  <si>
    <t>Recycle</t>
  </si>
  <si>
    <t>User's used hold item is restored.</t>
  </si>
  <si>
    <t>Reflect</t>
  </si>
  <si>
    <t>TM33</t>
  </si>
  <si>
    <t>Halves damage from Physical attacks for 5 turns.</t>
  </si>
  <si>
    <t>Reflect Type</t>
  </si>
  <si>
    <t>User becomes the target's type.</t>
  </si>
  <si>
    <t>Refresh</t>
  </si>
  <si>
    <t>Cures paralysis, poison, and burns.</t>
  </si>
  <si>
    <t>Relic Song</t>
  </si>
  <si>
    <t>May put the target to sleep.</t>
  </si>
  <si>
    <t>Rest</t>
  </si>
  <si>
    <t>TM44</t>
  </si>
  <si>
    <t>User sleeps for 2 turns, but user is fully healed.</t>
  </si>
  <si>
    <t>Retaliate</t>
  </si>
  <si>
    <t>TM67</t>
  </si>
  <si>
    <t>Inflicts double damage if a teammate fainted on the last turn.</t>
  </si>
  <si>
    <t>Return</t>
  </si>
  <si>
    <t>TM27</t>
  </si>
  <si>
    <t>Power increases with user's Happiness.</t>
  </si>
  <si>
    <t>Revenge</t>
  </si>
  <si>
    <t>Power increases if user was hit first.</t>
  </si>
  <si>
    <t>Reversal</t>
  </si>
  <si>
    <t>Roar</t>
  </si>
  <si>
    <t>TM05</t>
  </si>
  <si>
    <t>Roar of Time</t>
  </si>
  <si>
    <t>Rock Blast</t>
  </si>
  <si>
    <t>Rock Climb</t>
  </si>
  <si>
    <t>Rock Polish</t>
  </si>
  <si>
    <t>TM69</t>
  </si>
  <si>
    <t>Rock Slide</t>
  </si>
  <si>
    <t>TM80</t>
  </si>
  <si>
    <t>Rock Smash</t>
  </si>
  <si>
    <t>TM94</t>
  </si>
  <si>
    <t>Rock Throw</t>
  </si>
  <si>
    <t>Rock Tomb</t>
  </si>
  <si>
    <t>TM39</t>
  </si>
  <si>
    <t>Rock Wrecker</t>
  </si>
  <si>
    <t>Role Play</t>
  </si>
  <si>
    <t>User copies the opponent's Ability.</t>
  </si>
  <si>
    <t>Rolling Kick</t>
  </si>
  <si>
    <t>Rollout</t>
  </si>
  <si>
    <t>Roost</t>
  </si>
  <si>
    <t>User recovers 50% of its max HP. Flyingtype users are not immune to Groundtype moves immediately following this move.</t>
  </si>
  <si>
    <t>Rototiller</t>
  </si>
  <si>
    <t>Raises Attack and Special Attack of Grasstypes.</t>
  </si>
  <si>
    <t>Round</t>
  </si>
  <si>
    <t>TM48</t>
  </si>
  <si>
    <t>Sacred Fire</t>
  </si>
  <si>
    <t>Sacred Sword</t>
  </si>
  <si>
    <t>Safeguard</t>
  </si>
  <si>
    <t>TM20</t>
  </si>
  <si>
    <t>The user's party is protected from status conditions.</t>
  </si>
  <si>
    <t>Sand Tomb</t>
  </si>
  <si>
    <t>SandAttack</t>
  </si>
  <si>
    <t>Sandstorm</t>
  </si>
  <si>
    <t>TM37</t>
  </si>
  <si>
    <t>Creates a sandstorm for 5 turns.</t>
  </si>
  <si>
    <t>Scald</t>
  </si>
  <si>
    <t>TM55</t>
  </si>
  <si>
    <t>Scary Face</t>
  </si>
  <si>
    <t>Scratch</t>
  </si>
  <si>
    <t>Screech</t>
  </si>
  <si>
    <t>Sharply lowers opponent's Defense.</t>
  </si>
  <si>
    <t>Searing Shot</t>
  </si>
  <si>
    <t>Secret Power</t>
  </si>
  <si>
    <t>Effects of the attack vary with the location.</t>
  </si>
  <si>
    <t>Secret Sword</t>
  </si>
  <si>
    <t>Seed Bomb</t>
  </si>
  <si>
    <t>Seed Flare</t>
  </si>
  <si>
    <t>Seismic Toss</t>
  </si>
  <si>
    <t>Selfdestruct</t>
  </si>
  <si>
    <t>Shadow Ball</t>
  </si>
  <si>
    <t>TM30</t>
  </si>
  <si>
    <t>Shadow Claw</t>
  </si>
  <si>
    <t>TM65</t>
  </si>
  <si>
    <t>Shadow Force</t>
  </si>
  <si>
    <t>Shadow Punch</t>
  </si>
  <si>
    <t>Shadow Sneak</t>
  </si>
  <si>
    <t>Sharpen</t>
  </si>
  <si>
    <t>Sheer Cold</t>
  </si>
  <si>
    <t>Shell Smash</t>
  </si>
  <si>
    <t>Sharply raises user's Attack, Special Attack and Speed but lowers Defense and Special Defense.</t>
  </si>
  <si>
    <t>Shift Gear</t>
  </si>
  <si>
    <t>Raises user's Attack and sharply raises Speed.</t>
  </si>
  <si>
    <t>Shock Wave</t>
  </si>
  <si>
    <t>Signal Beam</t>
  </si>
  <si>
    <t>Silver Wind</t>
  </si>
  <si>
    <t>May raise all stats of user at once.</t>
  </si>
  <si>
    <t>Simple Beam</t>
  </si>
  <si>
    <t>Changes target's ability to Simple.</t>
  </si>
  <si>
    <t>Sing</t>
  </si>
  <si>
    <t>Sketch</t>
  </si>
  <si>
    <t>Permanently copies the opponent's last move.</t>
  </si>
  <si>
    <t>Skill Swap</t>
  </si>
  <si>
    <t>The user swaps Abilities with the opponent.</t>
  </si>
  <si>
    <t>Skull Bash</t>
  </si>
  <si>
    <t>Raises Defense on first turn, attacks on second.</t>
  </si>
  <si>
    <t>Sky Attack</t>
  </si>
  <si>
    <t>Charges on first turn, attacks on second. May cause flinching.</t>
  </si>
  <si>
    <t>Sky Drop</t>
  </si>
  <si>
    <t>TM58</t>
  </si>
  <si>
    <t>Takes opponent into the air on first turn, drops them on second turn.</t>
  </si>
  <si>
    <t>Sky Uppercut</t>
  </si>
  <si>
    <t>Hits the opponent, even during Fly.</t>
  </si>
  <si>
    <t>Slack Off</t>
  </si>
  <si>
    <t>Slam</t>
  </si>
  <si>
    <t>Slash</t>
  </si>
  <si>
    <t>Sleep Powder</t>
  </si>
  <si>
    <t>Sleep Talk</t>
  </si>
  <si>
    <t>User performs one of its own moves while sleeping.</t>
  </si>
  <si>
    <t>Sludge</t>
  </si>
  <si>
    <t>Sludge Bomb</t>
  </si>
  <si>
    <t>TM36</t>
  </si>
  <si>
    <t>Sludge Wave</t>
  </si>
  <si>
    <t>TM34</t>
  </si>
  <si>
    <t>Smack Down</t>
  </si>
  <si>
    <t>TM23</t>
  </si>
  <si>
    <t>Makes Flyingtype Pokémon vulnerable to Ground moves.</t>
  </si>
  <si>
    <t>SmellingSalt</t>
  </si>
  <si>
    <t>Power increases when used on a paralyzed opponent, but cures it.</t>
  </si>
  <si>
    <t>Smog</t>
  </si>
  <si>
    <t>SmokeScreen</t>
  </si>
  <si>
    <t>Snarl</t>
  </si>
  <si>
    <t>TM95</t>
  </si>
  <si>
    <t>Snatch</t>
  </si>
  <si>
    <t>Steals the effects of the opponent's next move.</t>
  </si>
  <si>
    <t>Snore</t>
  </si>
  <si>
    <t>Can only be used if asleep. May cause flinching.</t>
  </si>
  <si>
    <t>Soak</t>
  </si>
  <si>
    <t>Changes the target's type to water.</t>
  </si>
  <si>
    <t>Softboiled</t>
  </si>
  <si>
    <t>SolarBeam</t>
  </si>
  <si>
    <t>TM22</t>
  </si>
  <si>
    <t>Charges on first turn, attacks on second.</t>
  </si>
  <si>
    <t>SonicBoom</t>
  </si>
  <si>
    <t>Always inflicts 20 HP.</t>
  </si>
  <si>
    <t>Spacial Rend</t>
  </si>
  <si>
    <t>Spark</t>
  </si>
  <si>
    <t>Spider Web</t>
  </si>
  <si>
    <t>Spike Cannon</t>
  </si>
  <si>
    <t>Spikes</t>
  </si>
  <si>
    <t>Hurts opponents when they switch into battle.</t>
  </si>
  <si>
    <t>Spiky Shield</t>
  </si>
  <si>
    <t>Protects user and inflicts damage on contact moves.</t>
  </si>
  <si>
    <t>Spit Up</t>
  </si>
  <si>
    <t>Power depends on how many times the user performed Stockpile.</t>
  </si>
  <si>
    <t>Spite</t>
  </si>
  <si>
    <t>The opponent's last move loses 25 PP.</t>
  </si>
  <si>
    <t>Splash</t>
  </si>
  <si>
    <t>Doesn't do ANYTHING.</t>
  </si>
  <si>
    <t>Spore</t>
  </si>
  <si>
    <t>Puts the opponent to sleep.</t>
  </si>
  <si>
    <t>Stealth Rock</t>
  </si>
  <si>
    <t>Damages opponent switching into battle.</t>
  </si>
  <si>
    <t>Steamroller</t>
  </si>
  <si>
    <t>Steel Wing</t>
  </si>
  <si>
    <t>May raise user's Defense.</t>
  </si>
  <si>
    <t>Sticky Web</t>
  </si>
  <si>
    <t>Lowers opponent's Speed when switching into battle.</t>
  </si>
  <si>
    <t>Stockpile</t>
  </si>
  <si>
    <t>Stores energy for use with Spit Up and Swallow.</t>
  </si>
  <si>
    <t>Stomp</t>
  </si>
  <si>
    <t>Stone Edge</t>
  </si>
  <si>
    <t>TM71</t>
  </si>
  <si>
    <t>Stored Power</t>
  </si>
  <si>
    <t>Power increases when user's stats have been raised.</t>
  </si>
  <si>
    <t>Storm Throw</t>
  </si>
  <si>
    <t>Strength</t>
  </si>
  <si>
    <t>HM04</t>
  </si>
  <si>
    <t>String Shot</t>
  </si>
  <si>
    <t>Struggle</t>
  </si>
  <si>
    <t>Only usable when all PP are gone. Hurts the user.</t>
  </si>
  <si>
    <t>Struggle Bug</t>
  </si>
  <si>
    <t>TM76</t>
  </si>
  <si>
    <t>Stun Spore</t>
  </si>
  <si>
    <t>Submission</t>
  </si>
  <si>
    <t>Substitute</t>
  </si>
  <si>
    <t>TM90</t>
  </si>
  <si>
    <t>Uses HP to creates a decoy that takes hits.</t>
  </si>
  <si>
    <t>Sucker Punch</t>
  </si>
  <si>
    <t>User attacks first, but only works if opponent is readying an attack.</t>
  </si>
  <si>
    <t>Sunny Day</t>
  </si>
  <si>
    <t>TM11</t>
  </si>
  <si>
    <t>Makes it sunny for 5 turns.</t>
  </si>
  <si>
    <t>Super Fang</t>
  </si>
  <si>
    <t>Always takes off half of the opponent's HP.</t>
  </si>
  <si>
    <t>Superpower</t>
  </si>
  <si>
    <t>Lowers user's Attack and Defense.</t>
  </si>
  <si>
    <t>Supersonic</t>
  </si>
  <si>
    <t>Surf</t>
  </si>
  <si>
    <t>HM03</t>
  </si>
  <si>
    <t>Swagger</t>
  </si>
  <si>
    <t>TM87</t>
  </si>
  <si>
    <t>Opponent becomes confused, but its Attack is raised two stages.</t>
  </si>
  <si>
    <t>Swallow</t>
  </si>
  <si>
    <t>The more times the user has performed Stockpile, the more HP is recovered.</t>
  </si>
  <si>
    <t>Sweet Kiss</t>
  </si>
  <si>
    <t>Sweet Scent</t>
  </si>
  <si>
    <t>Lowers opponent's Evasiveness.</t>
  </si>
  <si>
    <t>Swift</t>
  </si>
  <si>
    <t>Switcheroo</t>
  </si>
  <si>
    <t>Swaps held items with the opponent.</t>
  </si>
  <si>
    <t>Swords Dance</t>
  </si>
  <si>
    <t>TM75</t>
  </si>
  <si>
    <t>Sharply raises user's Attack.</t>
  </si>
  <si>
    <t>Synchronoise</t>
  </si>
  <si>
    <t>Hits any Pokémon that shares a type with the user.</t>
  </si>
  <si>
    <t>Synthesis</t>
  </si>
  <si>
    <t>Tackle</t>
  </si>
  <si>
    <t>Tail Glow</t>
  </si>
  <si>
    <t>Drastically raises user's Special Attack.</t>
  </si>
  <si>
    <t>Tail Slap</t>
  </si>
  <si>
    <t>Tail Whip</t>
  </si>
  <si>
    <t>Tailwind</t>
  </si>
  <si>
    <t>Doubles Speed for 4 turns.</t>
  </si>
  <si>
    <t>Take Down</t>
  </si>
  <si>
    <t>Taunt</t>
  </si>
  <si>
    <t>TM12</t>
  </si>
  <si>
    <t>Opponent can only use moves that attack.</t>
  </si>
  <si>
    <t>Techno Blast</t>
  </si>
  <si>
    <t>If the user is holding a plate, the damage inflicted will match it.</t>
  </si>
  <si>
    <t>Teeter Dance</t>
  </si>
  <si>
    <t>Confuses all Pokémon.</t>
  </si>
  <si>
    <t>Telekinesis</t>
  </si>
  <si>
    <t>TM19</t>
  </si>
  <si>
    <t>Ignores opponent's Evasiveness for three turns, add Ground immunity.</t>
  </si>
  <si>
    <t>Teleport</t>
  </si>
  <si>
    <t>Allows user to switch out. In the wild, the battle ends.</t>
  </si>
  <si>
    <t>Thief</t>
  </si>
  <si>
    <t>TM46</t>
  </si>
  <si>
    <t>Also steals opponent's held item.</t>
  </si>
  <si>
    <t>Thrash</t>
  </si>
  <si>
    <t>Thunder</t>
  </si>
  <si>
    <t>TM25</t>
  </si>
  <si>
    <t>Thunder Fang</t>
  </si>
  <si>
    <t>May cause flinching and/or paralyze opponent.</t>
  </si>
  <si>
    <t>Thunder Wave</t>
  </si>
  <si>
    <t>TM73</t>
  </si>
  <si>
    <t>ThunderPunch</t>
  </si>
  <si>
    <t>ThunderShock</t>
  </si>
  <si>
    <t>Thunderbolt</t>
  </si>
  <si>
    <t>TM24</t>
  </si>
  <si>
    <t>Tickle</t>
  </si>
  <si>
    <t>Lowers opponent's Attack and Defense.</t>
  </si>
  <si>
    <t>TopsyTurvy</t>
  </si>
  <si>
    <t>Reverses stat changes of opponent.</t>
  </si>
  <si>
    <t>Torment</t>
  </si>
  <si>
    <t>TM41</t>
  </si>
  <si>
    <t>Opponent cannot use the same move in a row.</t>
  </si>
  <si>
    <t>Toxic</t>
  </si>
  <si>
    <t>TM06</t>
  </si>
  <si>
    <t>Badly poisons opponent.</t>
  </si>
  <si>
    <t>Toxic Spikes</t>
  </si>
  <si>
    <t>Poisons opponents when they switch into battle.</t>
  </si>
  <si>
    <t>Transform</t>
  </si>
  <si>
    <t>User takes on the form and attacks of the opponent.</t>
  </si>
  <si>
    <t>Tri Attack</t>
  </si>
  <si>
    <t>May paralyze, burn or freeze opponent.</t>
  </si>
  <si>
    <t>Trick</t>
  </si>
  <si>
    <t>Trick Room</t>
  </si>
  <si>
    <t>TM92</t>
  </si>
  <si>
    <t>Slower Pokémon move first in the turn for 5 turns.</t>
  </si>
  <si>
    <t>TrickorTreat</t>
  </si>
  <si>
    <t>Turns opponents into Ghost type.</t>
  </si>
  <si>
    <t>Triple Kick</t>
  </si>
  <si>
    <t>Hits thrice in one turn at increasing power.</t>
  </si>
  <si>
    <t>Trump Card</t>
  </si>
  <si>
    <t>The lower the PP, the higher the power.</t>
  </si>
  <si>
    <t>Twineedle</t>
  </si>
  <si>
    <t>Hits twice in one turn. May poison opponent.</t>
  </si>
  <si>
    <t>Twister</t>
  </si>
  <si>
    <t>May cause flinching. Hits Pokémon using Fly/Bounce with double power.</t>
  </si>
  <si>
    <t>Uturn</t>
  </si>
  <si>
    <t>TM89</t>
  </si>
  <si>
    <t>User switches out immediately after attacking.</t>
  </si>
  <si>
    <t>Uproar</t>
  </si>
  <si>
    <t>User attacks for 3 turns and prevents sleep.</t>
  </si>
  <si>
    <t>Vcreate</t>
  </si>
  <si>
    <t>Lowers user's Defense, Special Defense and Speed.</t>
  </si>
  <si>
    <t>Vacuum Wave</t>
  </si>
  <si>
    <t>Venom Drench</t>
  </si>
  <si>
    <t>Lowers poisoned opponent's Special Attack and Speed.</t>
  </si>
  <si>
    <t>Venoshock</t>
  </si>
  <si>
    <t>TM09</t>
  </si>
  <si>
    <t>Inflicts double damage if the target is poisoned.</t>
  </si>
  <si>
    <t>ViceGrip</t>
  </si>
  <si>
    <t>Vine Whip</t>
  </si>
  <si>
    <t>Vital Throw</t>
  </si>
  <si>
    <t>User attacks last, but ignores Accuracy and Evasiveness.</t>
  </si>
  <si>
    <t>Volt Switch</t>
  </si>
  <si>
    <t>TM72</t>
  </si>
  <si>
    <t>User must switch out after attacking.</t>
  </si>
  <si>
    <t>Volt Tackle</t>
  </si>
  <si>
    <t>User receives recoil damage. May paralyze opponent.</t>
  </si>
  <si>
    <t>WakeUp Slap</t>
  </si>
  <si>
    <t>Power doubles if used on a sleeping opponent, but wakes it up.</t>
  </si>
  <si>
    <t>Water Gun</t>
  </si>
  <si>
    <t>Water Pledge</t>
  </si>
  <si>
    <t>Added effects appear if preceded by Fire Pledge or succeeded by Grass Pledge.</t>
  </si>
  <si>
    <t>Water Pulse</t>
  </si>
  <si>
    <t>Water Shuriken</t>
  </si>
  <si>
    <t>Water Sport</t>
  </si>
  <si>
    <t>Weakens the power of Firetype moves.</t>
  </si>
  <si>
    <t>Water Spout</t>
  </si>
  <si>
    <t>The higher the user's HP, the higher the damage caused.</t>
  </si>
  <si>
    <t>Waterfall</t>
  </si>
  <si>
    <t>HM05</t>
  </si>
  <si>
    <t>Weather Ball</t>
  </si>
  <si>
    <t>Move's power and type changes with the weather.</t>
  </si>
  <si>
    <t>Whirlpool</t>
  </si>
  <si>
    <t>Whirlwind</t>
  </si>
  <si>
    <t>Wide Guard</t>
  </si>
  <si>
    <t>Protects the user's team from multitarget attacks.</t>
  </si>
  <si>
    <t>Wild Charge</t>
  </si>
  <si>
    <t>TM93</t>
  </si>
  <si>
    <t>WillOWisp</t>
  </si>
  <si>
    <t>TM61</t>
  </si>
  <si>
    <t>Wing Attack</t>
  </si>
  <si>
    <t>Wish</t>
  </si>
  <si>
    <t>The user recovers HP in the following turn.</t>
  </si>
  <si>
    <t>Withdraw</t>
  </si>
  <si>
    <t>Wonder Room</t>
  </si>
  <si>
    <t>Swaps every Pokémon's Defense and Special Defense for 5 turns.</t>
  </si>
  <si>
    <t>Wood Hammer</t>
  </si>
  <si>
    <t>Work Up</t>
  </si>
  <si>
    <t>TM83</t>
  </si>
  <si>
    <t>Worry Seed</t>
  </si>
  <si>
    <t>Changes the opponent's Ability to Insomnia.</t>
  </si>
  <si>
    <t>Wrap</t>
  </si>
  <si>
    <t>Wring Out</t>
  </si>
  <si>
    <t>The higher the opponent's HP, the higher the damage.</t>
  </si>
  <si>
    <t>XScissor</t>
  </si>
  <si>
    <t>TM81</t>
  </si>
  <si>
    <t>Yawn</t>
  </si>
  <si>
    <t>Puts the opponent to sleep in the following turn.</t>
  </si>
  <si>
    <t>Zap Cannon</t>
  </si>
  <si>
    <t>Zen Headbutt</t>
  </si>
  <si>
    <t>Evolving from</t>
  </si>
  <si>
    <t>Evolving to</t>
  </si>
  <si>
    <t>Level</t>
  </si>
  <si>
    <t>Condition</t>
  </si>
  <si>
    <t>Evolution Type</t>
  </si>
  <si>
    <t>Texto das Evoluções</t>
  </si>
  <si>
    <t>Attack &gt; Defense</t>
  </si>
  <si>
    <t>Attack &lt; Defense</t>
  </si>
  <si>
    <t>Attack = Defense</t>
  </si>
  <si>
    <t>Random, based on personality</t>
  </si>
  <si>
    <t>with empty spot in party</t>
  </si>
  <si>
    <t>Male</t>
  </si>
  <si>
    <t>Wormadam</t>
  </si>
  <si>
    <t>Female, outside</t>
  </si>
  <si>
    <t>Plant Cloak</t>
  </si>
  <si>
    <t>Female, in caves</t>
  </si>
  <si>
    <t>Sandy Cloak</t>
  </si>
  <si>
    <t>Female, in buildings</t>
  </si>
  <si>
    <t>Trash Cloak</t>
  </si>
  <si>
    <t>Female</t>
  </si>
  <si>
    <t>Darmanitan</t>
  </si>
  <si>
    <t>Standard Mode</t>
  </si>
  <si>
    <t>with a Dark type Pokémon in party</t>
  </si>
  <si>
    <t>holding 3DS upside down</t>
  </si>
  <si>
    <t>Daytime</t>
  </si>
  <si>
    <t>Nighttime</t>
  </si>
  <si>
    <t>during rain</t>
  </si>
  <si>
    <t>Thunderstone</t>
  </si>
  <si>
    <t>Stone</t>
  </si>
  <si>
    <t>Moon Stone</t>
  </si>
  <si>
    <t>Fire Stone</t>
  </si>
  <si>
    <t>Leaf Stone</t>
  </si>
  <si>
    <t>Sun Stone</t>
  </si>
  <si>
    <t>Water Stone</t>
  </si>
  <si>
    <t>Shiny Stone</t>
  </si>
  <si>
    <t>Dusk Stone</t>
  </si>
  <si>
    <t>Dawn Stone (Male)</t>
  </si>
  <si>
    <t>Dawn Stone (Female)</t>
  </si>
  <si>
    <t>Aegislash(Blade Forme)</t>
  </si>
  <si>
    <t>Aegislash(Shield Forme)</t>
  </si>
  <si>
    <t>King's Rock</t>
  </si>
  <si>
    <t>Trade</t>
  </si>
  <si>
    <t>Metal Coat</t>
  </si>
  <si>
    <t>Protector</t>
  </si>
  <si>
    <t>Dragon Scale</t>
  </si>
  <si>
    <t>Electrizer</t>
  </si>
  <si>
    <t>Magmarizer</t>
  </si>
  <si>
    <t>Up-Grade</t>
  </si>
  <si>
    <t>Dubious Disc</t>
  </si>
  <si>
    <t>Prism Scale</t>
  </si>
  <si>
    <t>Reaper Cloth</t>
  </si>
  <si>
    <t>Deepseatooth</t>
  </si>
  <si>
    <t>Deepseascale</t>
  </si>
  <si>
    <t>Trade with Shelmet</t>
  </si>
  <si>
    <t>Trade with Karrablast</t>
  </si>
  <si>
    <t>Trade holding Sachet</t>
  </si>
  <si>
    <t>Trade holding Whipped Dream</t>
  </si>
  <si>
    <t>Pumpkaboo</t>
  </si>
  <si>
    <t>Gourgeist</t>
  </si>
  <si>
    <t>Average Size</t>
  </si>
  <si>
    <t>in Mt. Coronet or Chargestone Cave</t>
  </si>
  <si>
    <t>Other</t>
  </si>
  <si>
    <t>after Rollout learned</t>
  </si>
  <si>
    <t>Daytime (holding Oval Stone)</t>
  </si>
  <si>
    <t>after AncientPower learned</t>
  </si>
  <si>
    <t>after Mimic learned</t>
  </si>
  <si>
    <t>near mossy rock in Eterna Forest or Pinwheel Forest</t>
  </si>
  <si>
    <t>near icy rock in Route 217 or Twist Mountain</t>
  </si>
  <si>
    <t>maximum Affection in Pokémon Amie and knows a Fairy-type move</t>
  </si>
  <si>
    <t>after Double Hit learned</t>
  </si>
  <si>
    <t>Nighttime (holding Razor Fang)</t>
  </si>
  <si>
    <t>Nighttime (holding Razor Claw)</t>
  </si>
  <si>
    <t>with Remoraid in party</t>
  </si>
  <si>
    <t>Beauty</t>
  </si>
  <si>
    <t>Happiness</t>
  </si>
  <si>
    <t>Effectiveness</t>
  </si>
  <si>
    <t>Multiplier</t>
  </si>
  <si>
    <t>Formalização dos Elementos</t>
  </si>
  <si>
    <t>Normal</t>
  </si>
  <si>
    <t>Not Very Effective</t>
  </si>
  <si>
    <t>No Effect</t>
  </si>
  <si>
    <t>Super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</si>
</sst>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04040"/>
      <name val="Trebuchet MS"/>
      <family val="2"/>
    </font>
    <font>
      <u/>
      <sz val="11"/>
      <color theme="10"/>
      <name val="Calibri"/>
      <family val="2"/>
      <scheme val="minor"/>
    </font>
    <font>
      <b/>
      <sz val="16"/>
      <color rgb="FFFFFFFF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rgb="FF3F3F3F"/>
      <name val="Calibri"/>
      <scheme val="minor"/>
    </font>
    <font>
      <b/>
      <sz val="16"/>
      <color theme="2"/>
      <name val="Calibri"/>
      <family val="2"/>
      <scheme val="minor"/>
    </font>
    <font>
      <b/>
      <sz val="16"/>
      <color theme="2"/>
      <name val="Trebuchet MS"/>
      <family val="2"/>
    </font>
    <font>
      <sz val="16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Trebuchet MS"/>
      <family val="2"/>
    </font>
    <font>
      <b/>
      <sz val="10"/>
      <color rgb="FF000000"/>
      <name val="Trebuchet MS"/>
      <family val="2"/>
    </font>
    <font>
      <b/>
      <sz val="18"/>
      <color rgb="FFDAEEF3"/>
      <name val="Calibri"/>
      <scheme val="minor"/>
    </font>
    <font>
      <b/>
      <sz val="12"/>
      <color theme="3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7E0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/>
      <diagonal/>
    </border>
    <border>
      <left style="medium">
        <color rgb="FFD6D6D6"/>
      </left>
      <right/>
      <top/>
      <bottom style="medium">
        <color rgb="FFC4C4C4"/>
      </bottom>
      <diagonal/>
    </border>
    <border>
      <left/>
      <right/>
      <top style="medium">
        <color rgb="FFC4C4C4"/>
      </top>
      <bottom style="medium">
        <color rgb="FFC4C4C4"/>
      </bottom>
      <diagonal/>
    </border>
    <border>
      <left/>
      <right/>
      <top style="medium">
        <color rgb="FFC4C4C4"/>
      </top>
      <bottom/>
      <diagonal/>
    </border>
    <border>
      <left/>
      <right/>
      <top/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/>
      <diagonal/>
    </border>
    <border>
      <left/>
      <right style="medium">
        <color rgb="FFD6D6D6"/>
      </right>
      <top/>
      <bottom style="medium">
        <color rgb="FFC4C4C4"/>
      </bottom>
      <diagonal/>
    </border>
    <border>
      <left/>
      <right/>
      <top style="thin">
        <color theme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4" borderId="12" applyNumberFormat="0" applyAlignment="0" applyProtection="0"/>
  </cellStyleXfs>
  <cellXfs count="76">
    <xf numFmtId="0" fontId="0" fillId="0" borderId="0" xfId="0"/>
    <xf numFmtId="0" fontId="1" fillId="3" borderId="0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quotePrefix="1" applyNumberFormat="1" applyAlignment="1">
      <alignment horizontal="left"/>
    </xf>
    <xf numFmtId="0" fontId="0" fillId="0" borderId="11" xfId="0" applyFont="1" applyBorder="1"/>
    <xf numFmtId="0" fontId="0" fillId="0" borderId="0" xfId="0" applyFont="1"/>
    <xf numFmtId="0" fontId="0" fillId="0" borderId="0" xfId="0" applyAlignment="1">
      <alignment wrapText="1"/>
    </xf>
    <xf numFmtId="0" fontId="2" fillId="3" borderId="0" xfId="0" applyFont="1" applyFill="1" applyBorder="1" applyAlignment="1">
      <alignment horizontal="left" vertical="center" indent="1"/>
    </xf>
    <xf numFmtId="0" fontId="2" fillId="3" borderId="5" xfId="0" applyFont="1" applyFill="1" applyBorder="1" applyAlignment="1">
      <alignment horizontal="left" vertical="center" indent="1"/>
    </xf>
    <xf numFmtId="0" fontId="2" fillId="3" borderId="8" xfId="0" applyFont="1" applyFill="1" applyBorder="1" applyAlignment="1">
      <alignment horizontal="left" vertical="center" indent="1"/>
    </xf>
    <xf numFmtId="0" fontId="2" fillId="3" borderId="5" xfId="1" applyFont="1" applyFill="1" applyBorder="1" applyAlignment="1">
      <alignment horizontal="left" vertical="center" indent="1"/>
    </xf>
    <xf numFmtId="0" fontId="2" fillId="3" borderId="11" xfId="0" applyFont="1" applyFill="1" applyBorder="1" applyAlignment="1">
      <alignment horizontal="left" vertical="center" indent="1"/>
    </xf>
    <xf numFmtId="0" fontId="2" fillId="3" borderId="6" xfId="1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indent="1"/>
    </xf>
    <xf numFmtId="0" fontId="2" fillId="3" borderId="9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6" fillId="4" borderId="12" xfId="2" applyAlignment="1">
      <alignment horizontal="center"/>
    </xf>
    <xf numFmtId="0" fontId="5" fillId="3" borderId="5" xfId="1" applyFont="1" applyFill="1" applyBorder="1" applyAlignment="1">
      <alignment horizontal="left" vertical="center" indent="1"/>
    </xf>
    <xf numFmtId="0" fontId="5" fillId="3" borderId="8" xfId="0" applyFont="1" applyFill="1" applyBorder="1" applyAlignment="1">
      <alignment horizontal="left" vertical="center" indent="1"/>
    </xf>
    <xf numFmtId="0" fontId="5" fillId="3" borderId="6" xfId="1" applyFont="1" applyFill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 indent="1"/>
    </xf>
    <xf numFmtId="0" fontId="7" fillId="5" borderId="0" xfId="0" applyFont="1" applyFill="1"/>
    <xf numFmtId="0" fontId="8" fillId="5" borderId="8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wrapText="1" indent="1"/>
    </xf>
    <xf numFmtId="0" fontId="9" fillId="5" borderId="0" xfId="0" applyFont="1" applyFill="1"/>
    <xf numFmtId="0" fontId="10" fillId="0" borderId="0" xfId="0" applyFont="1"/>
    <xf numFmtId="0" fontId="11" fillId="3" borderId="2" xfId="1" applyFont="1" applyFill="1" applyBorder="1" applyAlignment="1">
      <alignment horizontal="left" vertical="center" indent="1"/>
    </xf>
    <xf numFmtId="0" fontId="11" fillId="3" borderId="5" xfId="1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horizontal="right" vertical="center" wrapText="1" indent="1"/>
    </xf>
    <xf numFmtId="0" fontId="12" fillId="3" borderId="8" xfId="0" applyFont="1" applyFill="1" applyBorder="1" applyAlignment="1">
      <alignment horizontal="left" vertical="center" wrapText="1" indent="1"/>
    </xf>
    <xf numFmtId="0" fontId="11" fillId="3" borderId="3" xfId="1" applyFont="1" applyFill="1" applyBorder="1" applyAlignment="1">
      <alignment horizontal="left" vertical="center" indent="1"/>
    </xf>
    <xf numFmtId="0" fontId="11" fillId="3" borderId="6" xfId="1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right" vertical="center" wrapText="1" indent="1"/>
    </xf>
    <xf numFmtId="0" fontId="12" fillId="3" borderId="9" xfId="0" applyFont="1" applyFill="1" applyBorder="1" applyAlignment="1">
      <alignment horizontal="left" vertical="center" wrapText="1" indent="1"/>
    </xf>
    <xf numFmtId="0" fontId="11" fillId="3" borderId="4" xfId="1" applyFont="1" applyFill="1" applyBorder="1" applyAlignment="1">
      <alignment horizontal="left" vertical="center" indent="1"/>
    </xf>
    <xf numFmtId="0" fontId="12" fillId="3" borderId="7" xfId="0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right" vertical="center" wrapText="1" indent="1"/>
    </xf>
    <xf numFmtId="0" fontId="12" fillId="3" borderId="10" xfId="0" applyFont="1" applyFill="1" applyBorder="1" applyAlignment="1">
      <alignment horizontal="left" vertical="center" wrapText="1" indent="1"/>
    </xf>
    <xf numFmtId="0" fontId="13" fillId="3" borderId="5" xfId="0" applyFont="1" applyFill="1" applyBorder="1" applyAlignment="1">
      <alignment horizontal="right" vertical="center" wrapText="1" indent="1"/>
    </xf>
    <xf numFmtId="0" fontId="14" fillId="3" borderId="8" xfId="0" applyFont="1" applyFill="1" applyBorder="1" applyAlignment="1">
      <alignment horizontal="left" vertical="center" wrapText="1" indent="1"/>
    </xf>
    <xf numFmtId="0" fontId="14" fillId="3" borderId="9" xfId="0" applyFont="1" applyFill="1" applyBorder="1" applyAlignment="1">
      <alignment horizontal="left" vertical="center" wrapText="1" indent="1"/>
    </xf>
    <xf numFmtId="0" fontId="14" fillId="3" borderId="4" xfId="0" applyFont="1" applyFill="1" applyBorder="1" applyAlignment="1">
      <alignment horizontal="left" vertical="center" indent="1"/>
    </xf>
    <xf numFmtId="0" fontId="14" fillId="3" borderId="7" xfId="0" applyFont="1" applyFill="1" applyBorder="1" applyAlignment="1">
      <alignment horizontal="left" vertical="center" indent="1"/>
    </xf>
    <xf numFmtId="0" fontId="13" fillId="3" borderId="6" xfId="0" applyFont="1" applyFill="1" applyBorder="1" applyAlignment="1">
      <alignment horizontal="right" vertical="center" wrapText="1" indent="1"/>
    </xf>
    <xf numFmtId="0" fontId="13" fillId="3" borderId="7" xfId="0" applyFont="1" applyFill="1" applyBorder="1" applyAlignment="1">
      <alignment horizontal="right" vertical="center" wrapText="1" indent="1"/>
    </xf>
    <xf numFmtId="0" fontId="14" fillId="3" borderId="10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right" vertical="center" indent="1"/>
    </xf>
    <xf numFmtId="0" fontId="5" fillId="3" borderId="6" xfId="0" applyFont="1" applyFill="1" applyBorder="1" applyAlignment="1">
      <alignment horizontal="right" vertical="center" indent="1"/>
    </xf>
    <xf numFmtId="0" fontId="11" fillId="3" borderId="5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right" vertical="center" indent="1"/>
    </xf>
    <xf numFmtId="0" fontId="11" fillId="3" borderId="0" xfId="1" applyFont="1" applyFill="1" applyBorder="1" applyAlignment="1">
      <alignment horizontal="right" vertical="center" indent="1"/>
    </xf>
    <xf numFmtId="0" fontId="14" fillId="3" borderId="0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16" fillId="7" borderId="18" xfId="0" applyFont="1" applyFill="1" applyBorder="1"/>
    <xf numFmtId="0" fontId="1" fillId="7" borderId="14" xfId="0" applyFont="1" applyFill="1" applyBorder="1" applyAlignment="1">
      <alignment horizontal="left"/>
    </xf>
    <xf numFmtId="0" fontId="1" fillId="7" borderId="14" xfId="0" applyFont="1" applyFill="1" applyBorder="1" applyAlignment="1">
      <alignment horizontal="left" wrapText="1"/>
    </xf>
    <xf numFmtId="0" fontId="1" fillId="7" borderId="15" xfId="0" applyFont="1" applyFill="1" applyBorder="1"/>
    <xf numFmtId="0" fontId="16" fillId="7" borderId="19" xfId="0" applyFont="1" applyFill="1" applyBorder="1"/>
    <xf numFmtId="0" fontId="1" fillId="7" borderId="16" xfId="0" applyFont="1" applyFill="1" applyBorder="1"/>
    <xf numFmtId="0" fontId="15" fillId="6" borderId="17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</cellXfs>
  <cellStyles count="3">
    <cellStyle name="Hiperlink" xfId="1" builtinId="8"/>
    <cellStyle name="Normal" xfId="0" builtinId="0"/>
    <cellStyle name="Saída" xfId="2" builtinId="21"/>
  </cellStyles>
  <dxfs count="130">
    <dxf>
      <numFmt numFmtId="0" formatCode="General"/>
    </dxf>
    <dxf>
      <font>
        <sz val="16"/>
      </font>
    </dxf>
    <dxf>
      <font>
        <color theme="2"/>
      </font>
      <fill>
        <patternFill patternType="solid"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theme="7" tint="0.39997558519241921"/>
      </font>
      <fill>
        <patternFill patternType="solid">
          <bgColor theme="2" tint="-0.89999084444715716"/>
        </patternFill>
      </fill>
    </dxf>
    <dxf>
      <font>
        <color rgb="FF7030A0"/>
      </font>
      <fill>
        <patternFill patternType="solid">
          <bgColor theme="7" tint="0.79998168889431442"/>
        </patternFill>
      </fill>
    </dxf>
    <dxf>
      <font>
        <color theme="4" tint="0.79998168889431442"/>
      </font>
      <fill>
        <patternFill patternType="solid">
          <bgColor theme="4" tint="0.59999389629810485"/>
        </patternFill>
      </fill>
    </dxf>
    <dxf>
      <font>
        <color theme="1" tint="0.499984740745262"/>
      </font>
      <fill>
        <patternFill patternType="solid">
          <bgColor theme="1" tint="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7" tint="0.59999389629810485"/>
      </font>
      <fill>
        <patternFill patternType="solid">
          <bgColor rgb="FFD909E0"/>
        </patternFill>
      </fill>
    </dxf>
    <dxf>
      <font>
        <color theme="5" tint="0.59999389629810485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theme="9" tint="0.79998168889431442"/>
      </font>
      <fill>
        <patternFill patternType="solid"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0.59999389629810485"/>
      </font>
      <fill>
        <patternFill patternType="solid">
          <bgColor rgb="FF00B050"/>
        </patternFill>
      </fill>
    </dxf>
    <dxf>
      <font>
        <color theme="7" tint="0.39997558519241921"/>
      </font>
      <fill>
        <patternFill patternType="solid">
          <bgColor rgb="FF002060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3" tint="0.79998168889431442"/>
      </font>
      <fill>
        <patternFill patternType="solid">
          <bgColor rgb="FF00B0F0"/>
        </patternFill>
      </fill>
    </dxf>
    <dxf>
      <font>
        <color theme="5" tint="0.79998168889431442"/>
      </font>
      <fill>
        <patternFill patternType="solid">
          <bgColor theme="7" tint="0.39997558519241921"/>
        </patternFill>
      </fill>
    </dxf>
    <dxf>
      <font>
        <color theme="6" tint="0.79998168889431442"/>
      </font>
      <fill>
        <patternFill patternType="solid">
          <bgColor theme="6" tint="0.39997558519241921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6D6D6"/>
        </right>
        <top style="medium">
          <color rgb="FFC4C4C4"/>
        </top>
        <bottom style="medium">
          <color rgb="FFC4C4C4"/>
        </bottom>
        <vertical/>
        <horizontal/>
      </border>
    </dxf>
    <dxf>
      <font>
        <b/>
        <color rgb="FF000000"/>
      </font>
      <fill>
        <patternFill patternType="solid">
          <fgColor indexed="64"/>
          <bgColor rgb="FFE7E7E0"/>
        </patternFill>
      </fill>
      <alignment horizontal="righ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color rgb="FF000000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color rgb="FF000000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rgb="FFD6D6D6"/>
        </left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2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 patternType="solid">
          <bgColor theme="0" tint="-0.34998626667073579"/>
        </patternFill>
      </fill>
    </dxf>
    <dxf>
      <font>
        <color theme="5" tint="0.79998168889431442"/>
      </font>
      <fill>
        <patternFill patternType="solid">
          <bgColor rgb="FFE41EE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7E7E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 style="medium">
          <color rgb="FFD6D6D6"/>
        </right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numFmt numFmtId="0" formatCode="General"/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medium">
          <color rgb="FFC4C4C4"/>
        </top>
        <bottom style="medium">
          <color rgb="FFC4C4C4"/>
        </bottom>
        <vertical/>
        <horizontal/>
      </border>
    </dxf>
    <dxf>
      <border outline="0">
        <left style="medium">
          <color rgb="FFD6D6D6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Trebuchet MS"/>
        <family val="2"/>
        <scheme val="none"/>
      </font>
      <fill>
        <patternFill patternType="solid">
          <fgColor indexed="64"/>
          <bgColor rgb="FFE7E7E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2"/>
        <name val="Trebuchet MS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rgb="FFD6D6D6"/>
        </left>
        <right style="medium">
          <color rgb="FFD6D6D6"/>
        </right>
        <top/>
        <bottom/>
      </border>
    </dxf>
    <dxf>
      <font>
        <color theme="3" tint="0.79998168889431442"/>
      </font>
      <fill>
        <patternFill patternType="solid">
          <bgColor theme="4" tint="0.39997558519241921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39997558519241921"/>
      </font>
      <fill>
        <patternFill patternType="solid">
          <bgColor theme="2" tint="-0.89999084444715716"/>
        </patternFill>
      </fill>
    </dxf>
    <dxf>
      <font>
        <color rgb="FF7030A0"/>
      </font>
      <fill>
        <patternFill patternType="solid">
          <bgColor theme="7" tint="0.79998168889431442"/>
        </patternFill>
      </fill>
    </dxf>
    <dxf>
      <font>
        <color theme="4" tint="0.79998168889431442"/>
      </font>
      <fill>
        <patternFill patternType="solid">
          <bgColor theme="4" tint="0.59999389629810485"/>
        </patternFill>
      </fill>
    </dxf>
    <dxf>
      <font>
        <color theme="1" tint="0.499984740745262"/>
      </font>
      <fill>
        <patternFill patternType="solid">
          <bgColor theme="1" tint="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7" tint="0.59999389629810485"/>
      </font>
      <fill>
        <patternFill patternType="solid">
          <bgColor rgb="FFD909E0"/>
        </patternFill>
      </fill>
    </dxf>
    <dxf>
      <font>
        <color theme="5" tint="0.59999389629810485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theme="9" tint="0.79998168889431442"/>
      </font>
      <fill>
        <patternFill patternType="solid"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0.59999389629810485"/>
      </font>
      <fill>
        <patternFill patternType="solid">
          <bgColor rgb="FF00B050"/>
        </patternFill>
      </fill>
    </dxf>
    <dxf>
      <font>
        <color theme="7" tint="0.39997558519241921"/>
      </font>
      <fill>
        <patternFill patternType="solid">
          <bgColor rgb="FF002060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3" tint="0.79998168889431442"/>
      </font>
      <fill>
        <patternFill patternType="solid">
          <bgColor rgb="FF00B0F0"/>
        </patternFill>
      </fill>
    </dxf>
    <dxf>
      <font>
        <color theme="5" tint="0.79998168889431442"/>
      </font>
      <fill>
        <patternFill patternType="solid">
          <bgColor theme="7" tint="0.39997558519241921"/>
        </patternFill>
      </fill>
    </dxf>
    <dxf>
      <font>
        <color theme="6" tint="0.79998168889431442"/>
      </font>
      <fill>
        <patternFill patternType="solid">
          <bgColor theme="6" tint="0.39997558519241921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 patternType="solid">
          <bgColor rgb="FFFFEB9C"/>
        </patternFill>
      </fill>
    </dxf>
    <dxf>
      <font>
        <color theme="7" tint="0.39997558519241921"/>
      </font>
      <fill>
        <patternFill patternType="solid">
          <bgColor theme="2" tint="-0.89999084444715716"/>
        </patternFill>
      </fill>
    </dxf>
    <dxf>
      <font>
        <color rgb="FF7030A0"/>
      </font>
      <fill>
        <patternFill patternType="solid">
          <bgColor theme="7" tint="0.79998168889431442"/>
        </patternFill>
      </fill>
    </dxf>
    <dxf>
      <font>
        <color theme="4" tint="0.79998168889431442"/>
      </font>
      <fill>
        <patternFill patternType="solid">
          <bgColor theme="4" tint="0.59999389629810485"/>
        </patternFill>
      </fill>
    </dxf>
    <dxf>
      <font>
        <color theme="1" tint="0.499984740745262"/>
      </font>
      <fill>
        <patternFill patternType="solid">
          <bgColor theme="1" tint="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7" tint="0.59999389629810485"/>
      </font>
      <fill>
        <patternFill patternType="solid">
          <bgColor rgb="FFD909E0"/>
        </patternFill>
      </fill>
    </dxf>
    <dxf>
      <font>
        <color theme="5" tint="0.59999389629810485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theme="9" tint="0.79998168889431442"/>
      </font>
      <fill>
        <patternFill patternType="solid"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0.59999389629810485"/>
      </font>
      <fill>
        <patternFill patternType="solid">
          <bgColor rgb="FF00B050"/>
        </patternFill>
      </fill>
    </dxf>
    <dxf>
      <font>
        <color theme="7" tint="0.39997558519241921"/>
      </font>
      <fill>
        <patternFill patternType="solid">
          <bgColor rgb="FF002060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3" tint="0.79998168889431442"/>
      </font>
      <fill>
        <patternFill patternType="solid">
          <bgColor rgb="FF00B0F0"/>
        </patternFill>
      </fill>
    </dxf>
    <dxf>
      <font>
        <color theme="5" tint="0.79998168889431442"/>
      </font>
      <fill>
        <patternFill patternType="solid">
          <bgColor theme="7" tint="0.39997558519241921"/>
        </patternFill>
      </fill>
    </dxf>
    <dxf>
      <font>
        <color theme="6" tint="0.79998168889431442"/>
      </font>
      <fill>
        <patternFill patternType="solid">
          <bgColor theme="6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/>
    </dxf>
    <dxf>
      <font>
        <color theme="4" tint="0.79998168889431442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39997558519241921"/>
      </font>
      <fill>
        <patternFill patternType="solid">
          <bgColor theme="2" tint="-0.89999084444715716"/>
        </patternFill>
      </fill>
    </dxf>
    <dxf>
      <font>
        <color rgb="FF7030A0"/>
      </font>
      <fill>
        <patternFill patternType="solid">
          <bgColor theme="7" tint="0.79998168889431442"/>
        </patternFill>
      </fill>
    </dxf>
    <dxf>
      <font>
        <color theme="4" tint="0.79998168889431442"/>
      </font>
      <fill>
        <patternFill patternType="solid">
          <bgColor theme="4" tint="0.59999389629810485"/>
        </patternFill>
      </fill>
    </dxf>
    <dxf>
      <font>
        <color theme="1" tint="0.499984740745262"/>
      </font>
      <fill>
        <patternFill patternType="solid">
          <bgColor theme="1" tint="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7" tint="0.59999389629810485"/>
      </font>
      <fill>
        <patternFill patternType="solid">
          <bgColor rgb="FFD909E0"/>
        </patternFill>
      </fill>
    </dxf>
    <dxf>
      <font>
        <color theme="5" tint="0.59999389629810485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theme="9" tint="0.79998168889431442"/>
      </font>
      <fill>
        <patternFill patternType="solid"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0.59999389629810485"/>
      </font>
      <fill>
        <patternFill patternType="solid">
          <bgColor rgb="FF00B050"/>
        </patternFill>
      </fill>
    </dxf>
    <dxf>
      <font>
        <color theme="7" tint="0.39997558519241921"/>
      </font>
      <fill>
        <patternFill patternType="solid">
          <bgColor rgb="FF002060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theme="0" tint="-0.14999847407452621"/>
      </font>
      <fill>
        <patternFill patternType="solid">
          <bgColor theme="0" tint="-0.34998626667073579"/>
        </patternFill>
      </fill>
    </dxf>
    <dxf>
      <font>
        <color theme="3" tint="0.79998168889431442"/>
      </font>
      <fill>
        <patternFill patternType="solid">
          <bgColor rgb="FF00B0F0"/>
        </patternFill>
      </fill>
    </dxf>
    <dxf>
      <font>
        <color theme="5" tint="0.79998168889431442"/>
      </font>
      <fill>
        <patternFill patternType="solid">
          <bgColor theme="7" tint="0.39997558519241921"/>
        </patternFill>
      </fill>
    </dxf>
    <dxf>
      <font>
        <color theme="6" tint="0.79998168889431442"/>
      </font>
      <fill>
        <patternFill patternType="solid">
          <bgColor theme="6" tint="0.39997558519241921"/>
        </patternFill>
      </fill>
    </dxf>
  </dxfs>
  <tableStyles count="0" defaultTableStyle="TableStyleMedium2" defaultPivotStyle="PivotStyleLight16"/>
  <colors>
    <mruColors>
      <color rgb="FFE7E7E0"/>
      <color rgb="FFE41EEB"/>
      <color rgb="FFD909E0"/>
      <color rgb="FFC40A10"/>
      <color rgb="FFAD6C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A9C1-4CE5-462D-A4F8-6F48E0835A96}" name="Tabela1" displayName="Tabela1" ref="A1:O1168" totalsRowShown="0">
  <autoFilter ref="A1:O1168" xr:uid="{2FB0A9C1-4CE5-462D-A4F8-6F48E0835A96}"/>
  <sortState xmlns:xlrd2="http://schemas.microsoft.com/office/spreadsheetml/2017/richdata2" ref="A2:O1168">
    <sortCondition ref="A1:A1168"/>
  </sortState>
  <tableColumns count="15">
    <tableColumn id="1" xr3:uid="{937E6150-D023-4433-BD35-D1E9247A6ED0}" name="#" dataDxfId="105"/>
    <tableColumn id="2" xr3:uid="{95933E6E-15BC-4B7A-8E4A-D839D054475B}" name="Name" dataDxfId="104"/>
    <tableColumn id="3" xr3:uid="{3B77E5CF-61D2-4350-89B6-EB0702191AD9}" name="Type"/>
    <tableColumn id="14" xr3:uid="{69DCE335-A580-4213-8B85-6367FAA3ADCF}" name="Quantidades" dataDxfId="103">
      <calculatedColumnFormula>COUNTIF($C$2:$C$1168,Tabela1[[#This Row],[Type]])</calculatedColumnFormula>
    </tableColumn>
    <tableColumn id="15" xr3:uid="{6333F0BA-064A-49BD-B000-24040ED08A30}" name="Region" dataDxfId="102">
      <calculatedColumnFormula>IF(A2&lt;=151,"Kanto",IF(A2&lt;=251,"Johto",IF(A2&lt;=386,"Hoenn",IF(A2&lt;=493,"Sinnoh",IF(A2&lt;=649,"Unova",IF(A2&lt;=721,"Kalos",IF(A2&lt;=809,"Alola",IF(A2&lt;=905,"Galar","Paldea"))))))))</calculatedColumnFormula>
    </tableColumn>
    <tableColumn id="12" xr3:uid="{98A12D7B-831F-479A-A4FE-8CCD0F1008AA}" name="Classificação" dataDxfId="101">
      <calculatedColumnFormula>IF(G2&gt;=600,"Lendário",IF(G2&gt;=500,"Forte","Normal"))</calculatedColumnFormula>
    </tableColumn>
    <tableColumn id="4" xr3:uid="{727B3698-4D87-48E8-A1D1-A865E4EE35F3}" name="Total" dataDxfId="100"/>
    <tableColumn id="5" xr3:uid="{2C0600C4-FD3D-4A11-BC01-A3F3C75BB490}" name="HP" dataDxfId="99"/>
    <tableColumn id="6" xr3:uid="{42371101-6ADD-46CB-83CD-A507F6C975B8}" name="Attack" dataDxfId="98"/>
    <tableColumn id="7" xr3:uid="{E059DE3C-A2A5-4B8E-A002-57E663CA6404}" name="Defense" dataDxfId="97"/>
    <tableColumn id="8" xr3:uid="{49AC4C92-DD31-4B8D-9EEE-96E0908C348A}" name="Special Attack" dataDxfId="96"/>
    <tableColumn id="9" xr3:uid="{D0A783D5-386C-4603-9B89-C6D6FB00AD84}" name="Special Defense" dataDxfId="95"/>
    <tableColumn id="10" xr3:uid="{803DF58E-C4DA-41F8-ADB8-D7CE846B7933}" name="Speed" dataDxfId="94"/>
    <tableColumn id="11" xr3:uid="{D5D76D7B-47BE-4944-A8E7-3FE81553E2E2}" name="Média dos attacks" dataDxfId="93">
      <calculatedColumnFormula>AVERAGE($I$2:$I$1168)</calculatedColumnFormula>
    </tableColumn>
    <tableColumn id="13" xr3:uid="{3DAD2B24-D3DE-4C3F-B296-66F79FA81935}" name="Código Pokemon" dataDxfId="92">
      <calculatedColumnFormula>CONCATENATE(A2,"-",B2)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60D8F1-62D0-4B60-A729-5A9DDA923EA3}" name="Tabela3" displayName="Tabela3" ref="A1:K608" insertRowShift="1" totalsRowShown="0" headerRowDxfId="47" dataDxfId="46" tableBorderDxfId="45">
  <autoFilter ref="A1:K608" xr:uid="{2660D8F1-62D0-4B60-A729-5A9DDA923EA3}"/>
  <tableColumns count="11">
    <tableColumn id="1" xr3:uid="{0233DE30-72E3-45E3-B145-3E76D81B7B45}" name="Name" dataDxfId="44"/>
    <tableColumn id="2" xr3:uid="{52E6C36A-4B90-4F60-A199-4F54FAD96B79}" name="Type" dataDxfId="43"/>
    <tableColumn id="11" xr3:uid="{1A36CDEF-FD9E-49F8-9B25-C13855381BAC}" name="Qtd(type)" dataDxfId="42" dataCellStyle="Hiperlink">
      <calculatedColumnFormula>COUNTIF($B$2:$B$608,Tabela3[[#This Row],[Type]])</calculatedColumnFormula>
    </tableColumn>
    <tableColumn id="3" xr3:uid="{B826A596-8528-44E2-BC6D-58D0A47A8505}" name="Cat." dataDxfId="41"/>
    <tableColumn id="4" xr3:uid="{528A9533-F30A-44C4-9C37-886BC64F42F0}" name="Power" dataDxfId="40"/>
    <tableColumn id="5" xr3:uid="{B49BBF13-06EA-4AE7-85EA-CD337A7001F8}" name="Acc." dataDxfId="39"/>
    <tableColumn id="6" xr3:uid="{74E9995A-056B-4E86-8AD7-A028B81A008F}" name="PP" dataDxfId="38"/>
    <tableColumn id="7" xr3:uid="{EAF32F66-7027-4143-A3B7-B260A84665AA}" name="TM" dataDxfId="37"/>
    <tableColumn id="8" xr3:uid="{3CA3BBCC-9C21-4BC1-BDC4-234068F8B7D8}" name="Effect" dataDxfId="36"/>
    <tableColumn id="9" xr3:uid="{5CD678A1-213E-4B2B-958B-EF6AE4371469}" name="Prob. (%)" dataDxfId="35"/>
    <tableColumn id="10" xr3:uid="{A2AB4CCB-DD80-49FB-8D52-3DCBE4A4ACA8}" name="Classificação do Golpe" dataDxfId="3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2C156C-2CC8-4F4B-9A87-E0D8749697E6}" name="Tabela4" displayName="Tabela4" ref="A1:F389" totalsRowShown="0" headerRowDxfId="28">
  <autoFilter ref="A1:F389" xr:uid="{0F2C156C-2CC8-4F4B-9A87-E0D8749697E6}"/>
  <tableColumns count="6">
    <tableColumn id="1" xr3:uid="{5CB27C56-3192-48D9-9606-96FFBCAF4FEB}" name="Evolving from" dataDxfId="27" dataCellStyle="Hiperlink"/>
    <tableColumn id="2" xr3:uid="{F809E209-1117-49A7-81D5-26F039EB9E04}" name="Evolving to" dataDxfId="26" dataCellStyle="Hiperlink"/>
    <tableColumn id="3" xr3:uid="{F0A9C99D-A69F-46A9-BE0C-4D34D3B35CAE}" name="Level" dataDxfId="25" dataCellStyle="Hiperlink"/>
    <tableColumn id="4" xr3:uid="{F34702B5-AFA6-4260-A9B3-1D6DAA77BD20}" name="Condition" dataDxfId="24"/>
    <tableColumn id="5" xr3:uid="{0F4A947C-24B3-43D1-B5B2-5ECA3AB9894F}" name="Evolution Type" dataDxfId="23"/>
    <tableColumn id="6" xr3:uid="{C0193A6A-C970-44E5-8BF9-D95B10591352}" name="Texto das Evoluções" dataDxfId="22" dataCellStyle="Saída">
      <calculatedColumnFormula>"O Pokémon " &amp; A2 &amp;
" evolui para " &amp;
B2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83CFA-EE94-4E35-97E4-16CF761018F6}" name="Tabela2" displayName="Tabela2" ref="A1:E325" insertRowShift="1" totalsRowShown="0" headerRowDxfId="1">
  <autoFilter ref="A1:E325" xr:uid="{B5183CFA-EE94-4E35-97E4-16CF761018F6}"/>
  <tableColumns count="5">
    <tableColumn id="1" xr3:uid="{4787773A-E77B-4F15-BAC9-B57F16D8055C}" name="Attack"/>
    <tableColumn id="2" xr3:uid="{E296ABBF-EAC3-4BC0-9998-21FB6C682D92}" name="Defense"/>
    <tableColumn id="3" xr3:uid="{53A684A1-7E4A-4D3C-8244-644E657C5137}" name="Effectiveness"/>
    <tableColumn id="4" xr3:uid="{757367E0-FED8-4446-AF74-0600D1572336}" name="Multiplier"/>
    <tableColumn id="5" xr3:uid="{C23F09EA-DD90-405B-8BEC-375FE52847A8}" name="Formalização dos Elementos" dataDxfId="0">
      <calculatedColumnFormula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pokemondb.net/pokedex/karrablast" TargetMode="External"/><Relationship Id="rId1827" Type="http://schemas.openxmlformats.org/officeDocument/2006/relationships/hyperlink" Target="http://pokemondb.net/pokedex/amaura" TargetMode="External"/><Relationship Id="rId21" Type="http://schemas.openxmlformats.org/officeDocument/2006/relationships/hyperlink" Target="http://pokemondb.net/type/fire" TargetMode="External"/><Relationship Id="rId170" Type="http://schemas.openxmlformats.org/officeDocument/2006/relationships/hyperlink" Target="http://pokemondb.net/pokedex/machamp" TargetMode="External"/><Relationship Id="rId268" Type="http://schemas.openxmlformats.org/officeDocument/2006/relationships/hyperlink" Target="http://pokemondb.net/type/ground" TargetMode="External"/><Relationship Id="rId475" Type="http://schemas.openxmlformats.org/officeDocument/2006/relationships/hyperlink" Target="http://pokemondb.net/type/rock" TargetMode="External"/><Relationship Id="rId682" Type="http://schemas.openxmlformats.org/officeDocument/2006/relationships/hyperlink" Target="http://pokemondb.net/type/normal" TargetMode="External"/><Relationship Id="rId128" Type="http://schemas.openxmlformats.org/officeDocument/2006/relationships/hyperlink" Target="http://pokemondb.net/type/poison" TargetMode="External"/><Relationship Id="rId335" Type="http://schemas.openxmlformats.org/officeDocument/2006/relationships/hyperlink" Target="http://pokemondb.net/type/water" TargetMode="External"/><Relationship Id="rId542" Type="http://schemas.openxmlformats.org/officeDocument/2006/relationships/hyperlink" Target="http://pokemondb.net/type/bug" TargetMode="External"/><Relationship Id="rId987" Type="http://schemas.openxmlformats.org/officeDocument/2006/relationships/hyperlink" Target="http://pokemondb.net/pokedex/kyogre" TargetMode="External"/><Relationship Id="rId1172" Type="http://schemas.openxmlformats.org/officeDocument/2006/relationships/hyperlink" Target="http://pokemondb.net/type/poison" TargetMode="External"/><Relationship Id="rId402" Type="http://schemas.openxmlformats.org/officeDocument/2006/relationships/hyperlink" Target="http://pokemondb.net/type/fire" TargetMode="External"/><Relationship Id="rId847" Type="http://schemas.openxmlformats.org/officeDocument/2006/relationships/hyperlink" Target="http://pokemondb.net/type/psychic" TargetMode="External"/><Relationship Id="rId1032" Type="http://schemas.openxmlformats.org/officeDocument/2006/relationships/hyperlink" Target="http://pokemondb.net/type/flying" TargetMode="External"/><Relationship Id="rId1477" Type="http://schemas.openxmlformats.org/officeDocument/2006/relationships/hyperlink" Target="http://pokemondb.net/pokedex/trubbish" TargetMode="External"/><Relationship Id="rId1684" Type="http://schemas.openxmlformats.org/officeDocument/2006/relationships/hyperlink" Target="http://pokemondb.net/type/dragon" TargetMode="External"/><Relationship Id="rId1891" Type="http://schemas.openxmlformats.org/officeDocument/2006/relationships/hyperlink" Target="http://pokemondb.net/type/flying" TargetMode="External"/><Relationship Id="rId707" Type="http://schemas.openxmlformats.org/officeDocument/2006/relationships/hyperlink" Target="http://pokemondb.net/type/grass" TargetMode="External"/><Relationship Id="rId914" Type="http://schemas.openxmlformats.org/officeDocument/2006/relationships/hyperlink" Target="http://pokemondb.net/pokedex/kecleon" TargetMode="External"/><Relationship Id="rId1337" Type="http://schemas.openxmlformats.org/officeDocument/2006/relationships/hyperlink" Target="http://pokemondb.net/type/grass" TargetMode="External"/><Relationship Id="rId1544" Type="http://schemas.openxmlformats.org/officeDocument/2006/relationships/hyperlink" Target="http://pokemondb.net/pokedex/galvantula" TargetMode="External"/><Relationship Id="rId1751" Type="http://schemas.openxmlformats.org/officeDocument/2006/relationships/hyperlink" Target="http://pokemondb.net/type/normal" TargetMode="External"/><Relationship Id="rId43" Type="http://schemas.openxmlformats.org/officeDocument/2006/relationships/hyperlink" Target="http://pokemondb.net/pokedex/beedrill" TargetMode="External"/><Relationship Id="rId1404" Type="http://schemas.openxmlformats.org/officeDocument/2006/relationships/hyperlink" Target="http://pokemondb.net/type/bug" TargetMode="External"/><Relationship Id="rId1611" Type="http://schemas.openxmlformats.org/officeDocument/2006/relationships/hyperlink" Target="http://pokemondb.net/type/steel" TargetMode="External"/><Relationship Id="rId1849" Type="http://schemas.openxmlformats.org/officeDocument/2006/relationships/hyperlink" Target="http://pokemondb.net/type/dragon" TargetMode="External"/><Relationship Id="rId192" Type="http://schemas.openxmlformats.org/officeDocument/2006/relationships/hyperlink" Target="http://pokemondb.net/type/ground" TargetMode="External"/><Relationship Id="rId1709" Type="http://schemas.openxmlformats.org/officeDocument/2006/relationships/hyperlink" Target="http://pokemondb.net/type/grass" TargetMode="External"/><Relationship Id="rId1916" Type="http://schemas.openxmlformats.org/officeDocument/2006/relationships/hyperlink" Target="http://pokemondb.net/pokedex/aegislash" TargetMode="External"/><Relationship Id="rId497" Type="http://schemas.openxmlformats.org/officeDocument/2006/relationships/hyperlink" Target="http://pokemondb.net/type/water" TargetMode="External"/><Relationship Id="rId357" Type="http://schemas.openxmlformats.org/officeDocument/2006/relationships/hyperlink" Target="http://pokemondb.net/type/water" TargetMode="External"/><Relationship Id="rId1194" Type="http://schemas.openxmlformats.org/officeDocument/2006/relationships/hyperlink" Target="http://pokemondb.net/type/ice" TargetMode="External"/><Relationship Id="rId217" Type="http://schemas.openxmlformats.org/officeDocument/2006/relationships/hyperlink" Target="http://pokemondb.net/type/flying" TargetMode="External"/><Relationship Id="rId564" Type="http://schemas.openxmlformats.org/officeDocument/2006/relationships/hyperlink" Target="http://pokemondb.net/type/fire" TargetMode="External"/><Relationship Id="rId771" Type="http://schemas.openxmlformats.org/officeDocument/2006/relationships/hyperlink" Target="http://pokemondb.net/pokedex/azurill" TargetMode="External"/><Relationship Id="rId869" Type="http://schemas.openxmlformats.org/officeDocument/2006/relationships/hyperlink" Target="http://pokemondb.net/pokedex/zangoose" TargetMode="External"/><Relationship Id="rId1499" Type="http://schemas.openxmlformats.org/officeDocument/2006/relationships/hyperlink" Target="http://pokemondb.net/pokedex/reuniclus" TargetMode="External"/><Relationship Id="rId424" Type="http://schemas.openxmlformats.org/officeDocument/2006/relationships/hyperlink" Target="http://pokemondb.net/type/flying" TargetMode="External"/><Relationship Id="rId631" Type="http://schemas.openxmlformats.org/officeDocument/2006/relationships/hyperlink" Target="http://pokemondb.net/pokedex/larvitar" TargetMode="External"/><Relationship Id="rId729" Type="http://schemas.openxmlformats.org/officeDocument/2006/relationships/hyperlink" Target="http://pokemondb.net/type/fairy" TargetMode="External"/><Relationship Id="rId1054" Type="http://schemas.openxmlformats.org/officeDocument/2006/relationships/hyperlink" Target="http://pokemondb.net/pokedex/roserade" TargetMode="External"/><Relationship Id="rId1261" Type="http://schemas.openxmlformats.org/officeDocument/2006/relationships/hyperlink" Target="http://pokemondb.net/pokedex/mesprit" TargetMode="External"/><Relationship Id="rId1359" Type="http://schemas.openxmlformats.org/officeDocument/2006/relationships/hyperlink" Target="http://pokemondb.net/pokedex/blitzle" TargetMode="External"/><Relationship Id="rId936" Type="http://schemas.openxmlformats.org/officeDocument/2006/relationships/hyperlink" Target="http://pokemondb.net/type/ice" TargetMode="External"/><Relationship Id="rId1121" Type="http://schemas.openxmlformats.org/officeDocument/2006/relationships/hyperlink" Target="http://pokemondb.net/type/psychic" TargetMode="External"/><Relationship Id="rId1219" Type="http://schemas.openxmlformats.org/officeDocument/2006/relationships/hyperlink" Target="http://pokemondb.net/type/flying" TargetMode="External"/><Relationship Id="rId1566" Type="http://schemas.openxmlformats.org/officeDocument/2006/relationships/hyperlink" Target="http://pokemondb.net/type/psychic" TargetMode="External"/><Relationship Id="rId1773" Type="http://schemas.openxmlformats.org/officeDocument/2006/relationships/hyperlink" Target="http://pokemondb.net/pokedex/honedge" TargetMode="External"/><Relationship Id="rId65" Type="http://schemas.openxmlformats.org/officeDocument/2006/relationships/hyperlink" Target="http://pokemondb.net/pokedex/ekans" TargetMode="External"/><Relationship Id="rId1426" Type="http://schemas.openxmlformats.org/officeDocument/2006/relationships/hyperlink" Target="http://pokemondb.net/pokedex/basculin" TargetMode="External"/><Relationship Id="rId1633" Type="http://schemas.openxmlformats.org/officeDocument/2006/relationships/hyperlink" Target="http://pokemondb.net/type/steel" TargetMode="External"/><Relationship Id="rId1840" Type="http://schemas.openxmlformats.org/officeDocument/2006/relationships/hyperlink" Target="http://pokemondb.net/type/fairy" TargetMode="External"/><Relationship Id="rId1700" Type="http://schemas.openxmlformats.org/officeDocument/2006/relationships/hyperlink" Target="http://pokemondb.net/type/fighting" TargetMode="External"/><Relationship Id="rId281" Type="http://schemas.openxmlformats.org/officeDocument/2006/relationships/hyperlink" Target="http://pokemondb.net/pokedex/rhyhorn" TargetMode="External"/><Relationship Id="rId141" Type="http://schemas.openxmlformats.org/officeDocument/2006/relationships/hyperlink" Target="http://pokemondb.net/type/water" TargetMode="External"/><Relationship Id="rId379" Type="http://schemas.openxmlformats.org/officeDocument/2006/relationships/hyperlink" Target="http://pokemondb.net/pokedex/dragonair" TargetMode="External"/><Relationship Id="rId586" Type="http://schemas.openxmlformats.org/officeDocument/2006/relationships/hyperlink" Target="http://pokemondb.net/type/steel" TargetMode="External"/><Relationship Id="rId793" Type="http://schemas.openxmlformats.org/officeDocument/2006/relationships/hyperlink" Target="http://pokemondb.net/type/rock" TargetMode="External"/><Relationship Id="rId7" Type="http://schemas.openxmlformats.org/officeDocument/2006/relationships/hyperlink" Target="http://pokemondb.net/pokedex/venusaur" TargetMode="External"/><Relationship Id="rId239" Type="http://schemas.openxmlformats.org/officeDocument/2006/relationships/hyperlink" Target="http://pokemondb.net/type/ghost" TargetMode="External"/><Relationship Id="rId446" Type="http://schemas.openxmlformats.org/officeDocument/2006/relationships/hyperlink" Target="http://pokemondb.net/type/fairy" TargetMode="External"/><Relationship Id="rId653" Type="http://schemas.openxmlformats.org/officeDocument/2006/relationships/hyperlink" Target="http://pokemondb.net/pokedex/grovyle" TargetMode="External"/><Relationship Id="rId1076" Type="http://schemas.openxmlformats.org/officeDocument/2006/relationships/hyperlink" Target="http://pokemondb.net/type/bug" TargetMode="External"/><Relationship Id="rId1283" Type="http://schemas.openxmlformats.org/officeDocument/2006/relationships/hyperlink" Target="http://pokemondb.net/type/psychic" TargetMode="External"/><Relationship Id="rId1490" Type="http://schemas.openxmlformats.org/officeDocument/2006/relationships/hyperlink" Target="http://pokemondb.net/type/psychic" TargetMode="External"/><Relationship Id="rId306" Type="http://schemas.openxmlformats.org/officeDocument/2006/relationships/hyperlink" Target="http://pokemondb.net/type/water" TargetMode="External"/><Relationship Id="rId860" Type="http://schemas.openxmlformats.org/officeDocument/2006/relationships/hyperlink" Target="http://pokemondb.net/pokedex/cacturne" TargetMode="External"/><Relationship Id="rId958" Type="http://schemas.openxmlformats.org/officeDocument/2006/relationships/hyperlink" Target="http://pokemondb.net/type/water" TargetMode="External"/><Relationship Id="rId1143" Type="http://schemas.openxmlformats.org/officeDocument/2006/relationships/hyperlink" Target="http://pokemondb.net/type/flying" TargetMode="External"/><Relationship Id="rId1588" Type="http://schemas.openxmlformats.org/officeDocument/2006/relationships/hyperlink" Target="http://pokemondb.net/pokedex/cryogonal" TargetMode="External"/><Relationship Id="rId1795" Type="http://schemas.openxmlformats.org/officeDocument/2006/relationships/hyperlink" Target="http://pokemondb.net/type/psychic" TargetMode="External"/><Relationship Id="rId87" Type="http://schemas.openxmlformats.org/officeDocument/2006/relationships/hyperlink" Target="http://pokemondb.net/type/poison" TargetMode="External"/><Relationship Id="rId513" Type="http://schemas.openxmlformats.org/officeDocument/2006/relationships/hyperlink" Target="http://pokemondb.net/type/ghost" TargetMode="External"/><Relationship Id="rId720" Type="http://schemas.openxmlformats.org/officeDocument/2006/relationships/hyperlink" Target="http://pokemondb.net/type/flying" TargetMode="External"/><Relationship Id="rId818" Type="http://schemas.openxmlformats.org/officeDocument/2006/relationships/hyperlink" Target="http://pokemondb.net/type/bug" TargetMode="External"/><Relationship Id="rId1350" Type="http://schemas.openxmlformats.org/officeDocument/2006/relationships/hyperlink" Target="http://pokemondb.net/pokedex/pidove" TargetMode="External"/><Relationship Id="rId1448" Type="http://schemas.openxmlformats.org/officeDocument/2006/relationships/hyperlink" Target="http://pokemondb.net/type/rock" TargetMode="External"/><Relationship Id="rId1655" Type="http://schemas.openxmlformats.org/officeDocument/2006/relationships/hyperlink" Target="http://pokemondb.net/pokedex/virizion" TargetMode="External"/><Relationship Id="rId1003" Type="http://schemas.openxmlformats.org/officeDocument/2006/relationships/hyperlink" Target="http://pokemondb.net/pokedex/deoxys" TargetMode="External"/><Relationship Id="rId1210" Type="http://schemas.openxmlformats.org/officeDocument/2006/relationships/hyperlink" Target="http://pokemondb.net/type/rock" TargetMode="External"/><Relationship Id="rId1308" Type="http://schemas.openxmlformats.org/officeDocument/2006/relationships/hyperlink" Target="http://pokemondb.net/pokedex/pignite" TargetMode="External"/><Relationship Id="rId1862" Type="http://schemas.openxmlformats.org/officeDocument/2006/relationships/hyperlink" Target="http://pokemondb.net/pokedex/pumpkaboo" TargetMode="External"/><Relationship Id="rId1515" Type="http://schemas.openxmlformats.org/officeDocument/2006/relationships/hyperlink" Target="http://pokemondb.net/type/grass" TargetMode="External"/><Relationship Id="rId1722" Type="http://schemas.openxmlformats.org/officeDocument/2006/relationships/hyperlink" Target="http://pokemondb.net/pokedex/greninja" TargetMode="External"/><Relationship Id="rId14" Type="http://schemas.openxmlformats.org/officeDocument/2006/relationships/hyperlink" Target="http://pokemondb.net/pokedex/charmeleon" TargetMode="External"/><Relationship Id="rId163" Type="http://schemas.openxmlformats.org/officeDocument/2006/relationships/hyperlink" Target="http://pokemondb.net/pokedex/alakazam" TargetMode="External"/><Relationship Id="rId370" Type="http://schemas.openxmlformats.org/officeDocument/2006/relationships/hyperlink" Target="http://pokemondb.net/type/flying" TargetMode="External"/><Relationship Id="rId230" Type="http://schemas.openxmlformats.org/officeDocument/2006/relationships/hyperlink" Target="http://pokemondb.net/pokedex/shellder" TargetMode="External"/><Relationship Id="rId468" Type="http://schemas.openxmlformats.org/officeDocument/2006/relationships/hyperlink" Target="http://pokemondb.net/pokedex/marill" TargetMode="External"/><Relationship Id="rId675" Type="http://schemas.openxmlformats.org/officeDocument/2006/relationships/hyperlink" Target="http://pokemondb.net/pokedex/poochyena" TargetMode="External"/><Relationship Id="rId882" Type="http://schemas.openxmlformats.org/officeDocument/2006/relationships/hyperlink" Target="http://pokemondb.net/pokedex/whiscash" TargetMode="External"/><Relationship Id="rId1098" Type="http://schemas.openxmlformats.org/officeDocument/2006/relationships/hyperlink" Target="http://pokemondb.net/type/ground" TargetMode="External"/><Relationship Id="rId328" Type="http://schemas.openxmlformats.org/officeDocument/2006/relationships/hyperlink" Target="http://pokemondb.net/type/water" TargetMode="External"/><Relationship Id="rId535" Type="http://schemas.openxmlformats.org/officeDocument/2006/relationships/hyperlink" Target="http://pokemondb.net/type/fairy" TargetMode="External"/><Relationship Id="rId742" Type="http://schemas.openxmlformats.org/officeDocument/2006/relationships/hyperlink" Target="http://pokemondb.net/type/grass" TargetMode="External"/><Relationship Id="rId1165" Type="http://schemas.openxmlformats.org/officeDocument/2006/relationships/hyperlink" Target="http://pokemondb.net/type/fighting" TargetMode="External"/><Relationship Id="rId1372" Type="http://schemas.openxmlformats.org/officeDocument/2006/relationships/hyperlink" Target="http://pokemondb.net/pokedex/swoobat" TargetMode="External"/><Relationship Id="rId602" Type="http://schemas.openxmlformats.org/officeDocument/2006/relationships/hyperlink" Target="http://pokemondb.net/pokedex/donphan" TargetMode="External"/><Relationship Id="rId1025" Type="http://schemas.openxmlformats.org/officeDocument/2006/relationships/hyperlink" Target="http://pokemondb.net/type/water" TargetMode="External"/><Relationship Id="rId1232" Type="http://schemas.openxmlformats.org/officeDocument/2006/relationships/hyperlink" Target="http://pokemondb.net/type/ground" TargetMode="External"/><Relationship Id="rId1677" Type="http://schemas.openxmlformats.org/officeDocument/2006/relationships/hyperlink" Target="http://pokemondb.net/pokedex/landorus" TargetMode="External"/><Relationship Id="rId1884" Type="http://schemas.openxmlformats.org/officeDocument/2006/relationships/hyperlink" Target="http://pokemondb.net/type/ice" TargetMode="External"/><Relationship Id="rId907" Type="http://schemas.openxmlformats.org/officeDocument/2006/relationships/hyperlink" Target="http://pokemondb.net/type/bug" TargetMode="External"/><Relationship Id="rId1537" Type="http://schemas.openxmlformats.org/officeDocument/2006/relationships/hyperlink" Target="http://pokemondb.net/type/water" TargetMode="External"/><Relationship Id="rId1744" Type="http://schemas.openxmlformats.org/officeDocument/2006/relationships/hyperlink" Target="http://pokemondb.net/type/bug" TargetMode="External"/><Relationship Id="rId36" Type="http://schemas.openxmlformats.org/officeDocument/2006/relationships/hyperlink" Target="http://pokemondb.net/type/flying" TargetMode="External"/><Relationship Id="rId1604" Type="http://schemas.openxmlformats.org/officeDocument/2006/relationships/hyperlink" Target="http://pokemondb.net/type/ground" TargetMode="External"/><Relationship Id="rId185" Type="http://schemas.openxmlformats.org/officeDocument/2006/relationships/hyperlink" Target="http://pokemondb.net/type/water" TargetMode="External"/><Relationship Id="rId1811" Type="http://schemas.openxmlformats.org/officeDocument/2006/relationships/hyperlink" Target="http://pokemondb.net/pokedex/clauncher" TargetMode="External"/><Relationship Id="rId1909" Type="http://schemas.openxmlformats.org/officeDocument/2006/relationships/hyperlink" Target="http://pokemondb.net/pokedex/kyurem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type/grass" TargetMode="External"/><Relationship Id="rId252" Type="http://schemas.openxmlformats.org/officeDocument/2006/relationships/hyperlink" Target="http://pokemondb.net/type/psychic" TargetMode="External"/><Relationship Id="rId1187" Type="http://schemas.openxmlformats.org/officeDocument/2006/relationships/hyperlink" Target="http://pokemondb.net/pokedex/lumineon" TargetMode="External"/><Relationship Id="rId112" Type="http://schemas.openxmlformats.org/officeDocument/2006/relationships/hyperlink" Target="http://pokemondb.net/type/grass" TargetMode="External"/><Relationship Id="rId557" Type="http://schemas.openxmlformats.org/officeDocument/2006/relationships/hyperlink" Target="http://pokemondb.net/pokedex/teddiursa" TargetMode="External"/><Relationship Id="rId764" Type="http://schemas.openxmlformats.org/officeDocument/2006/relationships/hyperlink" Target="http://pokemondb.net/type/normal" TargetMode="External"/><Relationship Id="rId971" Type="http://schemas.openxmlformats.org/officeDocument/2006/relationships/hyperlink" Target="http://pokemondb.net/type/psychic" TargetMode="External"/><Relationship Id="rId1394" Type="http://schemas.openxmlformats.org/officeDocument/2006/relationships/hyperlink" Target="http://pokemondb.net/type/water" TargetMode="External"/><Relationship Id="rId1699" Type="http://schemas.openxmlformats.org/officeDocument/2006/relationships/hyperlink" Target="http://pokemondb.net/type/normal" TargetMode="External"/><Relationship Id="rId417" Type="http://schemas.openxmlformats.org/officeDocument/2006/relationships/hyperlink" Target="http://pokemondb.net/type/normal" TargetMode="External"/><Relationship Id="rId624" Type="http://schemas.openxmlformats.org/officeDocument/2006/relationships/hyperlink" Target="http://pokemondb.net/type/normal" TargetMode="External"/><Relationship Id="rId831" Type="http://schemas.openxmlformats.org/officeDocument/2006/relationships/hyperlink" Target="http://pokemondb.net/type/dark" TargetMode="External"/><Relationship Id="rId1047" Type="http://schemas.openxmlformats.org/officeDocument/2006/relationships/hyperlink" Target="http://pokemondb.net/pokedex/luxio" TargetMode="External"/><Relationship Id="rId1254" Type="http://schemas.openxmlformats.org/officeDocument/2006/relationships/hyperlink" Target="http://pokemondb.net/type/ice" TargetMode="External"/><Relationship Id="rId1461" Type="http://schemas.openxmlformats.org/officeDocument/2006/relationships/hyperlink" Target="http://pokemondb.net/pokedex/yamask" TargetMode="External"/><Relationship Id="rId929" Type="http://schemas.openxmlformats.org/officeDocument/2006/relationships/hyperlink" Target="http://pokemondb.net/type/psychic" TargetMode="External"/><Relationship Id="rId1114" Type="http://schemas.openxmlformats.org/officeDocument/2006/relationships/hyperlink" Target="http://pokemondb.net/type/dark" TargetMode="External"/><Relationship Id="rId1321" Type="http://schemas.openxmlformats.org/officeDocument/2006/relationships/hyperlink" Target="http://pokemondb.net/type/normal" TargetMode="External"/><Relationship Id="rId1559" Type="http://schemas.openxmlformats.org/officeDocument/2006/relationships/hyperlink" Target="http://pokemondb.net/pokedex/tynamo" TargetMode="External"/><Relationship Id="rId1766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normal" TargetMode="External"/><Relationship Id="rId1419" Type="http://schemas.openxmlformats.org/officeDocument/2006/relationships/hyperlink" Target="http://pokemondb.net/type/grass" TargetMode="External"/><Relationship Id="rId1626" Type="http://schemas.openxmlformats.org/officeDocument/2006/relationships/hyperlink" Target="http://pokemondb.net/pokedex/mandibuzz" TargetMode="External"/><Relationship Id="rId1833" Type="http://schemas.openxmlformats.org/officeDocument/2006/relationships/hyperlink" Target="http://pokemondb.net/pokedex/sylveon" TargetMode="External"/><Relationship Id="rId1900" Type="http://schemas.openxmlformats.org/officeDocument/2006/relationships/hyperlink" Target="http://pokemondb.net/type/ground" TargetMode="External"/><Relationship Id="rId274" Type="http://schemas.openxmlformats.org/officeDocument/2006/relationships/hyperlink" Target="http://pokemondb.net/type/fighting" TargetMode="External"/><Relationship Id="rId481" Type="http://schemas.openxmlformats.org/officeDocument/2006/relationships/hyperlink" Target="http://pokemondb.net/pokedex/skiploom" TargetMode="External"/><Relationship Id="rId134" Type="http://schemas.openxmlformats.org/officeDocument/2006/relationships/hyperlink" Target="http://pokemondb.net/pokedex/dugtrio" TargetMode="External"/><Relationship Id="rId579" Type="http://schemas.openxmlformats.org/officeDocument/2006/relationships/hyperlink" Target="http://pokemondb.net/pokedex/delibird" TargetMode="External"/><Relationship Id="rId786" Type="http://schemas.openxmlformats.org/officeDocument/2006/relationships/hyperlink" Target="http://pokemondb.net/type/steel" TargetMode="External"/><Relationship Id="rId993" Type="http://schemas.openxmlformats.org/officeDocument/2006/relationships/hyperlink" Target="http://pokemondb.net/type/flying" TargetMode="External"/><Relationship Id="rId341" Type="http://schemas.openxmlformats.org/officeDocument/2006/relationships/hyperlink" Target="http://pokemondb.net/pokedex/vaporeon" TargetMode="External"/><Relationship Id="rId439" Type="http://schemas.openxmlformats.org/officeDocument/2006/relationships/hyperlink" Target="http://pokemondb.net/type/electric" TargetMode="External"/><Relationship Id="rId646" Type="http://schemas.openxmlformats.org/officeDocument/2006/relationships/hyperlink" Target="http://pokemondb.net/type/fire" TargetMode="External"/><Relationship Id="rId1069" Type="http://schemas.openxmlformats.org/officeDocument/2006/relationships/hyperlink" Target="http://pokemondb.net/pokedex/wormadam" TargetMode="External"/><Relationship Id="rId1276" Type="http://schemas.openxmlformats.org/officeDocument/2006/relationships/hyperlink" Target="http://pokemondb.net/pokedex/giratina" TargetMode="External"/><Relationship Id="rId1483" Type="http://schemas.openxmlformats.org/officeDocument/2006/relationships/hyperlink" Target="http://pokemondb.net/pokedex/zoroark" TargetMode="External"/><Relationship Id="rId201" Type="http://schemas.openxmlformats.org/officeDocument/2006/relationships/hyperlink" Target="http://pokemondb.net/type/water" TargetMode="External"/><Relationship Id="rId506" Type="http://schemas.openxmlformats.org/officeDocument/2006/relationships/hyperlink" Target="http://pokemondb.net/pokedex/murkrow" TargetMode="External"/><Relationship Id="rId853" Type="http://schemas.openxmlformats.org/officeDocument/2006/relationships/hyperlink" Target="http://pokemondb.net/type/ground" TargetMode="External"/><Relationship Id="rId1136" Type="http://schemas.openxmlformats.org/officeDocument/2006/relationships/hyperlink" Target="http://pokemondb.net/pokedex/mime-jr" TargetMode="External"/><Relationship Id="rId1690" Type="http://schemas.openxmlformats.org/officeDocument/2006/relationships/hyperlink" Target="http://pokemondb.net/type/water" TargetMode="External"/><Relationship Id="rId1788" Type="http://schemas.openxmlformats.org/officeDocument/2006/relationships/hyperlink" Target="http://pokemondb.net/type/fairy" TargetMode="External"/><Relationship Id="rId713" Type="http://schemas.openxmlformats.org/officeDocument/2006/relationships/hyperlink" Target="http://pokemondb.net/type/normal" TargetMode="External"/><Relationship Id="rId920" Type="http://schemas.openxmlformats.org/officeDocument/2006/relationships/hyperlink" Target="http://pokemondb.net/type/ghost" TargetMode="External"/><Relationship Id="rId1343" Type="http://schemas.openxmlformats.org/officeDocument/2006/relationships/hyperlink" Target="http://pokemondb.net/type/water" TargetMode="External"/><Relationship Id="rId1550" Type="http://schemas.openxmlformats.org/officeDocument/2006/relationships/hyperlink" Target="http://pokemondb.net/pokedex/ferrothorn" TargetMode="External"/><Relationship Id="rId1648" Type="http://schemas.openxmlformats.org/officeDocument/2006/relationships/hyperlink" Target="http://pokemondb.net/type/fire" TargetMode="External"/><Relationship Id="rId1203" Type="http://schemas.openxmlformats.org/officeDocument/2006/relationships/hyperlink" Target="http://pokemondb.net/pokedex/magnezone" TargetMode="External"/><Relationship Id="rId1410" Type="http://schemas.openxmlformats.org/officeDocument/2006/relationships/hyperlink" Target="http://pokemondb.net/type/bug" TargetMode="External"/><Relationship Id="rId1508" Type="http://schemas.openxmlformats.org/officeDocument/2006/relationships/hyperlink" Target="http://pokemondb.net/type/ice" TargetMode="External"/><Relationship Id="rId1855" Type="http://schemas.openxmlformats.org/officeDocument/2006/relationships/hyperlink" Target="http://pokemondb.net/type/grass" TargetMode="External"/><Relationship Id="rId1715" Type="http://schemas.openxmlformats.org/officeDocument/2006/relationships/hyperlink" Target="http://pokemondb.net/pokedex/delphox" TargetMode="External"/><Relationship Id="rId1922" Type="http://schemas.openxmlformats.org/officeDocument/2006/relationships/hyperlink" Target="http://pokemondb.net/pokedex/gourgeist" TargetMode="External"/><Relationship Id="rId296" Type="http://schemas.openxmlformats.org/officeDocument/2006/relationships/hyperlink" Target="http://pokemondb.net/type/water" TargetMode="External"/><Relationship Id="rId156" Type="http://schemas.openxmlformats.org/officeDocument/2006/relationships/hyperlink" Target="http://pokemondb.net/pokedex/poliwrath" TargetMode="External"/><Relationship Id="rId363" Type="http://schemas.openxmlformats.org/officeDocument/2006/relationships/hyperlink" Target="http://pokemondb.net/type/flying" TargetMode="External"/><Relationship Id="rId570" Type="http://schemas.openxmlformats.org/officeDocument/2006/relationships/hyperlink" Target="http://pokemondb.net/type/ice" TargetMode="External"/><Relationship Id="rId223" Type="http://schemas.openxmlformats.org/officeDocument/2006/relationships/hyperlink" Target="http://pokemondb.net/pokedex/dewgong" TargetMode="External"/><Relationship Id="rId430" Type="http://schemas.openxmlformats.org/officeDocument/2006/relationships/hyperlink" Target="http://pokemondb.net/type/poison" TargetMode="External"/><Relationship Id="rId668" Type="http://schemas.openxmlformats.org/officeDocument/2006/relationships/hyperlink" Target="http://pokemondb.net/type/water" TargetMode="External"/><Relationship Id="rId875" Type="http://schemas.openxmlformats.org/officeDocument/2006/relationships/hyperlink" Target="http://pokemondb.net/type/psychic" TargetMode="External"/><Relationship Id="rId1060" Type="http://schemas.openxmlformats.org/officeDocument/2006/relationships/hyperlink" Target="http://pokemondb.net/type/rock" TargetMode="External"/><Relationship Id="rId1298" Type="http://schemas.openxmlformats.org/officeDocument/2006/relationships/hyperlink" Target="http://pokemondb.net/type/psychic" TargetMode="External"/><Relationship Id="rId528" Type="http://schemas.openxmlformats.org/officeDocument/2006/relationships/hyperlink" Target="http://pokemondb.net/pokedex/gligar" TargetMode="External"/><Relationship Id="rId735" Type="http://schemas.openxmlformats.org/officeDocument/2006/relationships/hyperlink" Target="http://pokemondb.net/pokedex/surskit" TargetMode="External"/><Relationship Id="rId942" Type="http://schemas.openxmlformats.org/officeDocument/2006/relationships/hyperlink" Target="http://pokemondb.net/pokedex/sealeo" TargetMode="External"/><Relationship Id="rId1158" Type="http://schemas.openxmlformats.org/officeDocument/2006/relationships/hyperlink" Target="http://pokemondb.net/pokedex/munchlax" TargetMode="External"/><Relationship Id="rId1365" Type="http://schemas.openxmlformats.org/officeDocument/2006/relationships/hyperlink" Target="http://pokemondb.net/pokedex/boldore" TargetMode="External"/><Relationship Id="rId1572" Type="http://schemas.openxmlformats.org/officeDocument/2006/relationships/hyperlink" Target="http://pokemondb.net/pokedex/lampent" TargetMode="External"/><Relationship Id="rId1018" Type="http://schemas.openxmlformats.org/officeDocument/2006/relationships/hyperlink" Target="http://pokemondb.net/type/fire" TargetMode="External"/><Relationship Id="rId1225" Type="http://schemas.openxmlformats.org/officeDocument/2006/relationships/hyperlink" Target="http://pokemondb.net/pokedex/glaceon" TargetMode="External"/><Relationship Id="rId1432" Type="http://schemas.openxmlformats.org/officeDocument/2006/relationships/hyperlink" Target="http://pokemondb.net/type/ground" TargetMode="External"/><Relationship Id="rId1877" Type="http://schemas.openxmlformats.org/officeDocument/2006/relationships/hyperlink" Target="http://pokemondb.net/pokedex/gourgeist" TargetMode="External"/><Relationship Id="rId71" Type="http://schemas.openxmlformats.org/officeDocument/2006/relationships/hyperlink" Target="http://pokemondb.net/pokedex/raichu" TargetMode="External"/><Relationship Id="rId802" Type="http://schemas.openxmlformats.org/officeDocument/2006/relationships/hyperlink" Target="http://pokemondb.net/type/fighting" TargetMode="External"/><Relationship Id="rId1737" Type="http://schemas.openxmlformats.org/officeDocument/2006/relationships/hyperlink" Target="http://pokemondb.net/type/fire" TargetMode="External"/><Relationship Id="rId29" Type="http://schemas.openxmlformats.org/officeDocument/2006/relationships/hyperlink" Target="http://pokemondb.net/type/water" TargetMode="External"/><Relationship Id="rId178" Type="http://schemas.openxmlformats.org/officeDocument/2006/relationships/hyperlink" Target="http://pokemondb.net/pokedex/victreebel" TargetMode="External"/><Relationship Id="rId1804" Type="http://schemas.openxmlformats.org/officeDocument/2006/relationships/hyperlink" Target="http://pokemondb.net/type/water" TargetMode="External"/><Relationship Id="rId385" Type="http://schemas.openxmlformats.org/officeDocument/2006/relationships/hyperlink" Target="http://pokemondb.net/type/psychic" TargetMode="External"/><Relationship Id="rId592" Type="http://schemas.openxmlformats.org/officeDocument/2006/relationships/hyperlink" Target="http://pokemondb.net/type/dark" TargetMode="External"/><Relationship Id="rId245" Type="http://schemas.openxmlformats.org/officeDocument/2006/relationships/hyperlink" Target="http://pokemondb.net/type/poison" TargetMode="External"/><Relationship Id="rId452" Type="http://schemas.openxmlformats.org/officeDocument/2006/relationships/hyperlink" Target="http://pokemondb.net/pokedex/natu" TargetMode="External"/><Relationship Id="rId897" Type="http://schemas.openxmlformats.org/officeDocument/2006/relationships/hyperlink" Target="http://pokemondb.net/type/rock" TargetMode="External"/><Relationship Id="rId1082" Type="http://schemas.openxmlformats.org/officeDocument/2006/relationships/hyperlink" Target="http://pokemondb.net/type/bug" TargetMode="External"/><Relationship Id="rId105" Type="http://schemas.openxmlformats.org/officeDocument/2006/relationships/hyperlink" Target="http://pokemondb.net/pokedex/zubat" TargetMode="External"/><Relationship Id="rId312" Type="http://schemas.openxmlformats.org/officeDocument/2006/relationships/hyperlink" Target="http://pokemondb.net/type/bug" TargetMode="External"/><Relationship Id="rId757" Type="http://schemas.openxmlformats.org/officeDocument/2006/relationships/hyperlink" Target="http://pokemondb.net/type/flying" TargetMode="External"/><Relationship Id="rId964" Type="http://schemas.openxmlformats.org/officeDocument/2006/relationships/hyperlink" Target="http://pokemondb.net/type/dragon" TargetMode="External"/><Relationship Id="rId1387" Type="http://schemas.openxmlformats.org/officeDocument/2006/relationships/hyperlink" Target="http://pokemondb.net/type/fighting" TargetMode="External"/><Relationship Id="rId1594" Type="http://schemas.openxmlformats.org/officeDocument/2006/relationships/hyperlink" Target="http://pokemondb.net/pokedex/stunfisk" TargetMode="External"/><Relationship Id="rId93" Type="http://schemas.openxmlformats.org/officeDocument/2006/relationships/hyperlink" Target="http://pokemondb.net/pokedex/clefable" TargetMode="External"/><Relationship Id="rId617" Type="http://schemas.openxmlformats.org/officeDocument/2006/relationships/hyperlink" Target="http://pokemondb.net/pokedex/elekid" TargetMode="External"/><Relationship Id="rId824" Type="http://schemas.openxmlformats.org/officeDocument/2006/relationships/hyperlink" Target="http://pokemondb.net/pokedex/swalot" TargetMode="External"/><Relationship Id="rId1247" Type="http://schemas.openxmlformats.org/officeDocument/2006/relationships/hyperlink" Target="http://pokemondb.net/type/electric" TargetMode="External"/><Relationship Id="rId1454" Type="http://schemas.openxmlformats.org/officeDocument/2006/relationships/hyperlink" Target="http://pokemondb.net/type/fighting" TargetMode="External"/><Relationship Id="rId1661" Type="http://schemas.openxmlformats.org/officeDocument/2006/relationships/hyperlink" Target="http://pokemondb.net/type/flying" TargetMode="External"/><Relationship Id="rId1899" Type="http://schemas.openxmlformats.org/officeDocument/2006/relationships/hyperlink" Target="http://pokemondb.net/type/dragon" TargetMode="External"/><Relationship Id="rId1107" Type="http://schemas.openxmlformats.org/officeDocument/2006/relationships/hyperlink" Target="http://pokemondb.net/pokedex/buneary" TargetMode="External"/><Relationship Id="rId1314" Type="http://schemas.openxmlformats.org/officeDocument/2006/relationships/hyperlink" Target="http://pokemondb.net/pokedex/oshawott" TargetMode="External"/><Relationship Id="rId1521" Type="http://schemas.openxmlformats.org/officeDocument/2006/relationships/hyperlink" Target="http://pokemondb.net/type/flying" TargetMode="External"/><Relationship Id="rId1759" Type="http://schemas.openxmlformats.org/officeDocument/2006/relationships/hyperlink" Target="http://pokemondb.net/type/grass" TargetMode="External"/><Relationship Id="rId1619" Type="http://schemas.openxmlformats.org/officeDocument/2006/relationships/hyperlink" Target="http://pokemondb.net/type/flying" TargetMode="External"/><Relationship Id="rId1826" Type="http://schemas.openxmlformats.org/officeDocument/2006/relationships/hyperlink" Target="http://pokemondb.net/type/dragon" TargetMode="External"/><Relationship Id="rId20" Type="http://schemas.openxmlformats.org/officeDocument/2006/relationships/hyperlink" Target="http://pokemondb.net/type/dragon" TargetMode="External"/><Relationship Id="rId267" Type="http://schemas.openxmlformats.org/officeDocument/2006/relationships/hyperlink" Target="http://pokemondb.net/pokedex/cubone" TargetMode="External"/><Relationship Id="rId474" Type="http://schemas.openxmlformats.org/officeDocument/2006/relationships/hyperlink" Target="http://pokemondb.net/pokedex/sudowoodo" TargetMode="External"/><Relationship Id="rId127" Type="http://schemas.openxmlformats.org/officeDocument/2006/relationships/hyperlink" Target="http://pokemondb.net/type/bug" TargetMode="External"/><Relationship Id="rId681" Type="http://schemas.openxmlformats.org/officeDocument/2006/relationships/hyperlink" Target="http://pokemondb.net/pokedex/linoone" TargetMode="External"/><Relationship Id="rId779" Type="http://schemas.openxmlformats.org/officeDocument/2006/relationships/hyperlink" Target="http://pokemondb.net/type/normal" TargetMode="External"/><Relationship Id="rId986" Type="http://schemas.openxmlformats.org/officeDocument/2006/relationships/hyperlink" Target="http://pokemondb.net/type/psychic" TargetMode="External"/><Relationship Id="rId334" Type="http://schemas.openxmlformats.org/officeDocument/2006/relationships/hyperlink" Target="http://pokemondb.net/pokedex/lapras" TargetMode="External"/><Relationship Id="rId541" Type="http://schemas.openxmlformats.org/officeDocument/2006/relationships/hyperlink" Target="http://pokemondb.net/pokedex/scizor" TargetMode="External"/><Relationship Id="rId639" Type="http://schemas.openxmlformats.org/officeDocument/2006/relationships/hyperlink" Target="http://pokemondb.net/type/dark" TargetMode="External"/><Relationship Id="rId1171" Type="http://schemas.openxmlformats.org/officeDocument/2006/relationships/hyperlink" Target="http://pokemondb.net/pokedex/skorupi" TargetMode="External"/><Relationship Id="rId1269" Type="http://schemas.openxmlformats.org/officeDocument/2006/relationships/hyperlink" Target="http://pokemondb.net/type/water" TargetMode="External"/><Relationship Id="rId1476" Type="http://schemas.openxmlformats.org/officeDocument/2006/relationships/hyperlink" Target="http://pokemondb.net/type/flying" TargetMode="External"/><Relationship Id="rId401" Type="http://schemas.openxmlformats.org/officeDocument/2006/relationships/hyperlink" Target="http://pokemondb.net/pokedex/typhlosion" TargetMode="External"/><Relationship Id="rId846" Type="http://schemas.openxmlformats.org/officeDocument/2006/relationships/hyperlink" Target="http://pokemondb.net/pokedex/grumpig" TargetMode="External"/><Relationship Id="rId1031" Type="http://schemas.openxmlformats.org/officeDocument/2006/relationships/hyperlink" Target="http://pokemondb.net/type/normal" TargetMode="External"/><Relationship Id="rId1129" Type="http://schemas.openxmlformats.org/officeDocument/2006/relationships/hyperlink" Target="http://pokemondb.net/type/steel" TargetMode="External"/><Relationship Id="rId1683" Type="http://schemas.openxmlformats.org/officeDocument/2006/relationships/hyperlink" Target="http://pokemondb.net/pokedex/kyurem" TargetMode="External"/><Relationship Id="rId1890" Type="http://schemas.openxmlformats.org/officeDocument/2006/relationships/hyperlink" Target="http://pokemondb.net/pokedex/noivern" TargetMode="External"/><Relationship Id="rId706" Type="http://schemas.openxmlformats.org/officeDocument/2006/relationships/hyperlink" Target="http://pokemondb.net/pokedex/nuzleaf" TargetMode="External"/><Relationship Id="rId913" Type="http://schemas.openxmlformats.org/officeDocument/2006/relationships/hyperlink" Target="http://pokemondb.net/type/normal" TargetMode="External"/><Relationship Id="rId1336" Type="http://schemas.openxmlformats.org/officeDocument/2006/relationships/hyperlink" Target="http://pokemondb.net/pokedex/simisage" TargetMode="External"/><Relationship Id="rId1543" Type="http://schemas.openxmlformats.org/officeDocument/2006/relationships/hyperlink" Target="http://pokemondb.net/type/electric" TargetMode="External"/><Relationship Id="rId1750" Type="http://schemas.openxmlformats.org/officeDocument/2006/relationships/hyperlink" Target="http://pokemondb.net/type/fire" TargetMode="External"/><Relationship Id="rId42" Type="http://schemas.openxmlformats.org/officeDocument/2006/relationships/hyperlink" Target="http://pokemondb.net/type/poison" TargetMode="External"/><Relationship Id="rId1403" Type="http://schemas.openxmlformats.org/officeDocument/2006/relationships/hyperlink" Target="http://pokemondb.net/pokedex/swadloon" TargetMode="External"/><Relationship Id="rId1610" Type="http://schemas.openxmlformats.org/officeDocument/2006/relationships/hyperlink" Target="http://pokemondb.net/type/dark" TargetMode="External"/><Relationship Id="rId1848" Type="http://schemas.openxmlformats.org/officeDocument/2006/relationships/hyperlink" Target="http://pokemondb.net/pokedex/goodra" TargetMode="External"/><Relationship Id="rId191" Type="http://schemas.openxmlformats.org/officeDocument/2006/relationships/hyperlink" Target="http://pokemondb.net/type/rock" TargetMode="External"/><Relationship Id="rId1708" Type="http://schemas.openxmlformats.org/officeDocument/2006/relationships/hyperlink" Target="http://pokemondb.net/pokedex/chesnaught" TargetMode="External"/><Relationship Id="rId1915" Type="http://schemas.openxmlformats.org/officeDocument/2006/relationships/hyperlink" Target="http://pokemondb.net/pokedex/meloetta" TargetMode="External"/><Relationship Id="rId289" Type="http://schemas.openxmlformats.org/officeDocument/2006/relationships/hyperlink" Target="http://pokemondb.net/pokedex/tangela" TargetMode="External"/><Relationship Id="rId496" Type="http://schemas.openxmlformats.org/officeDocument/2006/relationships/hyperlink" Target="http://pokemondb.net/pokedex/wooper" TargetMode="External"/><Relationship Id="rId149" Type="http://schemas.openxmlformats.org/officeDocument/2006/relationships/hyperlink" Target="http://pokemondb.net/type/fire" TargetMode="External"/><Relationship Id="rId356" Type="http://schemas.openxmlformats.org/officeDocument/2006/relationships/hyperlink" Target="http://pokemondb.net/type/rock" TargetMode="External"/><Relationship Id="rId563" Type="http://schemas.openxmlformats.org/officeDocument/2006/relationships/hyperlink" Target="http://pokemondb.net/pokedex/magcargo" TargetMode="External"/><Relationship Id="rId770" Type="http://schemas.openxmlformats.org/officeDocument/2006/relationships/hyperlink" Target="http://pokemondb.net/type/fighting" TargetMode="External"/><Relationship Id="rId1193" Type="http://schemas.openxmlformats.org/officeDocument/2006/relationships/hyperlink" Target="http://pokemondb.net/type/grass" TargetMode="External"/><Relationship Id="rId216" Type="http://schemas.openxmlformats.org/officeDocument/2006/relationships/hyperlink" Target="http://pokemondb.net/type/normal" TargetMode="External"/><Relationship Id="rId423" Type="http://schemas.openxmlformats.org/officeDocument/2006/relationships/hyperlink" Target="http://pokemondb.net/type/bug" TargetMode="External"/><Relationship Id="rId868" Type="http://schemas.openxmlformats.org/officeDocument/2006/relationships/hyperlink" Target="http://pokemondb.net/type/flying" TargetMode="External"/><Relationship Id="rId1053" Type="http://schemas.openxmlformats.org/officeDocument/2006/relationships/hyperlink" Target="http://pokemondb.net/type/poison" TargetMode="External"/><Relationship Id="rId1260" Type="http://schemas.openxmlformats.org/officeDocument/2006/relationships/hyperlink" Target="http://pokemondb.net/type/psychic" TargetMode="External"/><Relationship Id="rId1498" Type="http://schemas.openxmlformats.org/officeDocument/2006/relationships/hyperlink" Target="http://pokemondb.net/type/psychic" TargetMode="External"/><Relationship Id="rId630" Type="http://schemas.openxmlformats.org/officeDocument/2006/relationships/hyperlink" Target="http://pokemondb.net/type/water" TargetMode="External"/><Relationship Id="rId728" Type="http://schemas.openxmlformats.org/officeDocument/2006/relationships/hyperlink" Target="http://pokemondb.net/type/psychic" TargetMode="External"/><Relationship Id="rId935" Type="http://schemas.openxmlformats.org/officeDocument/2006/relationships/hyperlink" Target="http://pokemondb.net/pokedex/snorunt" TargetMode="External"/><Relationship Id="rId1358" Type="http://schemas.openxmlformats.org/officeDocument/2006/relationships/hyperlink" Target="http://pokemondb.net/type/flying" TargetMode="External"/><Relationship Id="rId1565" Type="http://schemas.openxmlformats.org/officeDocument/2006/relationships/hyperlink" Target="http://pokemondb.net/pokedex/elgyem" TargetMode="External"/><Relationship Id="rId1772" Type="http://schemas.openxmlformats.org/officeDocument/2006/relationships/hyperlink" Target="http://pokemondb.net/type/psychic" TargetMode="External"/><Relationship Id="rId64" Type="http://schemas.openxmlformats.org/officeDocument/2006/relationships/hyperlink" Target="http://pokemondb.net/type/flying" TargetMode="External"/><Relationship Id="rId1120" Type="http://schemas.openxmlformats.org/officeDocument/2006/relationships/hyperlink" Target="http://pokemondb.net/pokedex/chingling" TargetMode="External"/><Relationship Id="rId1218" Type="http://schemas.openxmlformats.org/officeDocument/2006/relationships/hyperlink" Target="http://pokemondb.net/type/fairy" TargetMode="External"/><Relationship Id="rId1425" Type="http://schemas.openxmlformats.org/officeDocument/2006/relationships/hyperlink" Target="http://pokemondb.net/type/grass" TargetMode="External"/><Relationship Id="rId1632" Type="http://schemas.openxmlformats.org/officeDocument/2006/relationships/hyperlink" Target="http://pokemondb.net/type/bug" TargetMode="External"/><Relationship Id="rId280" Type="http://schemas.openxmlformats.org/officeDocument/2006/relationships/hyperlink" Target="http://pokemondb.net/type/poison" TargetMode="External"/><Relationship Id="rId140" Type="http://schemas.openxmlformats.org/officeDocument/2006/relationships/hyperlink" Target="http://pokemondb.net/pokedex/psyduck" TargetMode="External"/><Relationship Id="rId378" Type="http://schemas.openxmlformats.org/officeDocument/2006/relationships/hyperlink" Target="http://pokemondb.net/type/dragon" TargetMode="External"/><Relationship Id="rId585" Type="http://schemas.openxmlformats.org/officeDocument/2006/relationships/hyperlink" Target="http://pokemondb.net/pokedex/skarmory" TargetMode="External"/><Relationship Id="rId792" Type="http://schemas.openxmlformats.org/officeDocument/2006/relationships/hyperlink" Target="http://pokemondb.net/type/steel" TargetMode="External"/><Relationship Id="rId6" Type="http://schemas.openxmlformats.org/officeDocument/2006/relationships/hyperlink" Target="http://pokemondb.net/type/poison" TargetMode="External"/><Relationship Id="rId238" Type="http://schemas.openxmlformats.org/officeDocument/2006/relationships/hyperlink" Target="http://pokemondb.net/pokedex/haunter" TargetMode="External"/><Relationship Id="rId445" Type="http://schemas.openxmlformats.org/officeDocument/2006/relationships/hyperlink" Target="http://pokemondb.net/type/normal" TargetMode="External"/><Relationship Id="rId652" Type="http://schemas.openxmlformats.org/officeDocument/2006/relationships/hyperlink" Target="http://pokemondb.net/type/grass" TargetMode="External"/><Relationship Id="rId1075" Type="http://schemas.openxmlformats.org/officeDocument/2006/relationships/hyperlink" Target="http://pokemondb.net/pokedex/mothim" TargetMode="External"/><Relationship Id="rId1282" Type="http://schemas.openxmlformats.org/officeDocument/2006/relationships/hyperlink" Target="http://pokemondb.net/pokedex/cresselia" TargetMode="External"/><Relationship Id="rId305" Type="http://schemas.openxmlformats.org/officeDocument/2006/relationships/hyperlink" Target="http://pokemondb.net/pokedex/starmie" TargetMode="External"/><Relationship Id="rId512" Type="http://schemas.openxmlformats.org/officeDocument/2006/relationships/hyperlink" Target="http://pokemondb.net/pokedex/misdreavus" TargetMode="External"/><Relationship Id="rId957" Type="http://schemas.openxmlformats.org/officeDocument/2006/relationships/hyperlink" Target="http://pokemondb.net/pokedex/luvdisc" TargetMode="External"/><Relationship Id="rId1142" Type="http://schemas.openxmlformats.org/officeDocument/2006/relationships/hyperlink" Target="http://pokemondb.net/type/normal" TargetMode="External"/><Relationship Id="rId1587" Type="http://schemas.openxmlformats.org/officeDocument/2006/relationships/hyperlink" Target="http://pokemondb.net/type/ice" TargetMode="External"/><Relationship Id="rId1794" Type="http://schemas.openxmlformats.org/officeDocument/2006/relationships/hyperlink" Target="http://pokemondb.net/type/dark" TargetMode="External"/><Relationship Id="rId86" Type="http://schemas.openxmlformats.org/officeDocument/2006/relationships/hyperlink" Target="http://pokemondb.net/pokedex/nidorino" TargetMode="External"/><Relationship Id="rId817" Type="http://schemas.openxmlformats.org/officeDocument/2006/relationships/hyperlink" Target="http://pokemondb.net/pokedex/illumise" TargetMode="External"/><Relationship Id="rId1002" Type="http://schemas.openxmlformats.org/officeDocument/2006/relationships/hyperlink" Target="http://pokemondb.net/type/psychic" TargetMode="External"/><Relationship Id="rId1447" Type="http://schemas.openxmlformats.org/officeDocument/2006/relationships/hyperlink" Target="http://pokemondb.net/type/bug" TargetMode="External"/><Relationship Id="rId1654" Type="http://schemas.openxmlformats.org/officeDocument/2006/relationships/hyperlink" Target="http://pokemondb.net/type/fighting" TargetMode="External"/><Relationship Id="rId1861" Type="http://schemas.openxmlformats.org/officeDocument/2006/relationships/hyperlink" Target="http://pokemondb.net/type/grass" TargetMode="External"/><Relationship Id="rId1307" Type="http://schemas.openxmlformats.org/officeDocument/2006/relationships/hyperlink" Target="http://pokemondb.net/type/fire" TargetMode="External"/><Relationship Id="rId1514" Type="http://schemas.openxmlformats.org/officeDocument/2006/relationships/hyperlink" Target="http://pokemondb.net/type/normal" TargetMode="External"/><Relationship Id="rId1721" Type="http://schemas.openxmlformats.org/officeDocument/2006/relationships/hyperlink" Target="http://pokemondb.net/type/water" TargetMode="External"/><Relationship Id="rId13" Type="http://schemas.openxmlformats.org/officeDocument/2006/relationships/hyperlink" Target="http://pokemondb.net/type/fire" TargetMode="External"/><Relationship Id="rId1819" Type="http://schemas.openxmlformats.org/officeDocument/2006/relationships/hyperlink" Target="http://pokemondb.net/type/electric" TargetMode="External"/><Relationship Id="rId162" Type="http://schemas.openxmlformats.org/officeDocument/2006/relationships/hyperlink" Target="http://pokemondb.net/type/psychic" TargetMode="External"/><Relationship Id="rId467" Type="http://schemas.openxmlformats.org/officeDocument/2006/relationships/hyperlink" Target="http://pokemondb.net/type/grass" TargetMode="External"/><Relationship Id="rId1097" Type="http://schemas.openxmlformats.org/officeDocument/2006/relationships/hyperlink" Target="http://pokemondb.net/type/water" TargetMode="External"/><Relationship Id="rId674" Type="http://schemas.openxmlformats.org/officeDocument/2006/relationships/hyperlink" Target="http://pokemondb.net/type/ground" TargetMode="External"/><Relationship Id="rId881" Type="http://schemas.openxmlformats.org/officeDocument/2006/relationships/hyperlink" Target="http://pokemondb.net/type/ground" TargetMode="External"/><Relationship Id="rId979" Type="http://schemas.openxmlformats.org/officeDocument/2006/relationships/hyperlink" Target="http://pokemondb.net/pokedex/registeel" TargetMode="External"/><Relationship Id="rId327" Type="http://schemas.openxmlformats.org/officeDocument/2006/relationships/hyperlink" Target="http://pokemondb.net/pokedex/magikarp" TargetMode="External"/><Relationship Id="rId534" Type="http://schemas.openxmlformats.org/officeDocument/2006/relationships/hyperlink" Target="http://pokemondb.net/pokedex/snubbull" TargetMode="External"/><Relationship Id="rId741" Type="http://schemas.openxmlformats.org/officeDocument/2006/relationships/hyperlink" Target="http://pokemondb.net/pokedex/shroomish" TargetMode="External"/><Relationship Id="rId839" Type="http://schemas.openxmlformats.org/officeDocument/2006/relationships/hyperlink" Target="http://pokemondb.net/pokedex/camerupt" TargetMode="External"/><Relationship Id="rId1164" Type="http://schemas.openxmlformats.org/officeDocument/2006/relationships/hyperlink" Target="http://pokemondb.net/type/steel" TargetMode="External"/><Relationship Id="rId1371" Type="http://schemas.openxmlformats.org/officeDocument/2006/relationships/hyperlink" Target="http://pokemondb.net/type/flying" TargetMode="External"/><Relationship Id="rId1469" Type="http://schemas.openxmlformats.org/officeDocument/2006/relationships/hyperlink" Target="http://pokemondb.net/type/water" TargetMode="External"/><Relationship Id="rId601" Type="http://schemas.openxmlformats.org/officeDocument/2006/relationships/hyperlink" Target="http://pokemondb.net/type/ground" TargetMode="External"/><Relationship Id="rId1024" Type="http://schemas.openxmlformats.org/officeDocument/2006/relationships/hyperlink" Target="http://pokemondb.net/pokedex/empoleon" TargetMode="External"/><Relationship Id="rId1231" Type="http://schemas.openxmlformats.org/officeDocument/2006/relationships/hyperlink" Target="http://pokemondb.net/type/ice" TargetMode="External"/><Relationship Id="rId1676" Type="http://schemas.openxmlformats.org/officeDocument/2006/relationships/hyperlink" Target="http://pokemondb.net/type/flying" TargetMode="External"/><Relationship Id="rId1883" Type="http://schemas.openxmlformats.org/officeDocument/2006/relationships/hyperlink" Target="http://pokemondb.net/pokedex/bergmite" TargetMode="External"/><Relationship Id="rId906" Type="http://schemas.openxmlformats.org/officeDocument/2006/relationships/hyperlink" Target="http://pokemondb.net/type/rock" TargetMode="External"/><Relationship Id="rId1329" Type="http://schemas.openxmlformats.org/officeDocument/2006/relationships/hyperlink" Target="http://pokemondb.net/type/normal" TargetMode="External"/><Relationship Id="rId1536" Type="http://schemas.openxmlformats.org/officeDocument/2006/relationships/hyperlink" Target="http://pokemondb.net/pokedex/jellicent" TargetMode="External"/><Relationship Id="rId1743" Type="http://schemas.openxmlformats.org/officeDocument/2006/relationships/hyperlink" Target="http://pokemondb.net/pokedex/vivillon" TargetMode="External"/><Relationship Id="rId35" Type="http://schemas.openxmlformats.org/officeDocument/2006/relationships/hyperlink" Target="http://pokemondb.net/type/bug" TargetMode="External"/><Relationship Id="rId1603" Type="http://schemas.openxmlformats.org/officeDocument/2006/relationships/hyperlink" Target="http://pokemondb.net/pokedex/golett" TargetMode="External"/><Relationship Id="rId1810" Type="http://schemas.openxmlformats.org/officeDocument/2006/relationships/hyperlink" Target="http://pokemondb.net/type/dragon" TargetMode="External"/><Relationship Id="rId184" Type="http://schemas.openxmlformats.org/officeDocument/2006/relationships/hyperlink" Target="http://pokemondb.net/pokedex/tentacruel" TargetMode="External"/><Relationship Id="rId391" Type="http://schemas.openxmlformats.org/officeDocument/2006/relationships/hyperlink" Target="http://pokemondb.net/pokedex/chikorita" TargetMode="External"/><Relationship Id="rId1908" Type="http://schemas.openxmlformats.org/officeDocument/2006/relationships/hyperlink" Target="http://pokemondb.net/pokedex/landorus" TargetMode="External"/><Relationship Id="rId251" Type="http://schemas.openxmlformats.org/officeDocument/2006/relationships/hyperlink" Target="http://pokemondb.net/pokedex/hypno" TargetMode="External"/><Relationship Id="rId489" Type="http://schemas.openxmlformats.org/officeDocument/2006/relationships/hyperlink" Target="http://pokemondb.net/pokedex/sunkern" TargetMode="External"/><Relationship Id="rId696" Type="http://schemas.openxmlformats.org/officeDocument/2006/relationships/hyperlink" Target="http://pokemondb.net/type/water" TargetMode="External"/><Relationship Id="rId349" Type="http://schemas.openxmlformats.org/officeDocument/2006/relationships/hyperlink" Target="http://pokemondb.net/pokedex/omanyte" TargetMode="External"/><Relationship Id="rId556" Type="http://schemas.openxmlformats.org/officeDocument/2006/relationships/hyperlink" Target="http://pokemondb.net/type/ice" TargetMode="External"/><Relationship Id="rId763" Type="http://schemas.openxmlformats.org/officeDocument/2006/relationships/hyperlink" Target="http://pokemondb.net/pokedex/loudred" TargetMode="External"/><Relationship Id="rId1186" Type="http://schemas.openxmlformats.org/officeDocument/2006/relationships/hyperlink" Target="http://pokemondb.net/type/water" TargetMode="External"/><Relationship Id="rId1393" Type="http://schemas.openxmlformats.org/officeDocument/2006/relationships/hyperlink" Target="http://pokemondb.net/pokedex/seismitoad" TargetMode="External"/><Relationship Id="rId111" Type="http://schemas.openxmlformats.org/officeDocument/2006/relationships/hyperlink" Target="http://pokemondb.net/pokedex/oddish" TargetMode="External"/><Relationship Id="rId209" Type="http://schemas.openxmlformats.org/officeDocument/2006/relationships/hyperlink" Target="http://pokemondb.net/pokedex/magneton" TargetMode="External"/><Relationship Id="rId416" Type="http://schemas.openxmlformats.org/officeDocument/2006/relationships/hyperlink" Target="http://pokemondb.net/pokedex/noctowl" TargetMode="External"/><Relationship Id="rId970" Type="http://schemas.openxmlformats.org/officeDocument/2006/relationships/hyperlink" Target="http://pokemondb.net/type/steel" TargetMode="External"/><Relationship Id="rId1046" Type="http://schemas.openxmlformats.org/officeDocument/2006/relationships/hyperlink" Target="http://pokemondb.net/type/electric" TargetMode="External"/><Relationship Id="rId1253" Type="http://schemas.openxmlformats.org/officeDocument/2006/relationships/hyperlink" Target="http://pokemondb.net/type/electric" TargetMode="External"/><Relationship Id="rId1698" Type="http://schemas.openxmlformats.org/officeDocument/2006/relationships/hyperlink" Target="http://pokemondb.net/pokedex/meloetta" TargetMode="External"/><Relationship Id="rId623" Type="http://schemas.openxmlformats.org/officeDocument/2006/relationships/hyperlink" Target="http://pokemondb.net/pokedex/blissey" TargetMode="External"/><Relationship Id="rId830" Type="http://schemas.openxmlformats.org/officeDocument/2006/relationships/hyperlink" Target="http://pokemondb.net/type/water" TargetMode="External"/><Relationship Id="rId928" Type="http://schemas.openxmlformats.org/officeDocument/2006/relationships/hyperlink" Target="http://pokemondb.net/pokedex/chimecho" TargetMode="External"/><Relationship Id="rId1460" Type="http://schemas.openxmlformats.org/officeDocument/2006/relationships/hyperlink" Target="http://pokemondb.net/type/flying" TargetMode="External"/><Relationship Id="rId1558" Type="http://schemas.openxmlformats.org/officeDocument/2006/relationships/hyperlink" Target="http://pokemondb.net/type/steel" TargetMode="External"/><Relationship Id="rId1765" Type="http://schemas.openxmlformats.org/officeDocument/2006/relationships/hyperlink" Target="http://pokemondb.net/type/fighting" TargetMode="External"/><Relationship Id="rId57" Type="http://schemas.openxmlformats.org/officeDocument/2006/relationships/hyperlink" Target="http://pokemondb.net/pokedex/raticate" TargetMode="External"/><Relationship Id="rId1113" Type="http://schemas.openxmlformats.org/officeDocument/2006/relationships/hyperlink" Target="http://pokemondb.net/pokedex/honchkrow" TargetMode="External"/><Relationship Id="rId1320" Type="http://schemas.openxmlformats.org/officeDocument/2006/relationships/hyperlink" Target="http://pokemondb.net/pokedex/patrat" TargetMode="External"/><Relationship Id="rId1418" Type="http://schemas.openxmlformats.org/officeDocument/2006/relationships/hyperlink" Target="http://pokemondb.net/pokedex/cottonee" TargetMode="External"/><Relationship Id="rId1625" Type="http://schemas.openxmlformats.org/officeDocument/2006/relationships/hyperlink" Target="http://pokemondb.net/type/flying" TargetMode="External"/><Relationship Id="rId1832" Type="http://schemas.openxmlformats.org/officeDocument/2006/relationships/hyperlink" Target="http://pokemondb.net/type/ice" TargetMode="External"/><Relationship Id="rId273" Type="http://schemas.openxmlformats.org/officeDocument/2006/relationships/hyperlink" Target="http://pokemondb.net/pokedex/hitmonchan" TargetMode="External"/><Relationship Id="rId480" Type="http://schemas.openxmlformats.org/officeDocument/2006/relationships/hyperlink" Target="http://pokemondb.net/type/flying" TargetMode="External"/><Relationship Id="rId133" Type="http://schemas.openxmlformats.org/officeDocument/2006/relationships/hyperlink" Target="http://pokemondb.net/type/ground" TargetMode="External"/><Relationship Id="rId340" Type="http://schemas.openxmlformats.org/officeDocument/2006/relationships/hyperlink" Target="http://pokemondb.net/type/normal" TargetMode="External"/><Relationship Id="rId578" Type="http://schemas.openxmlformats.org/officeDocument/2006/relationships/hyperlink" Target="http://pokemondb.net/type/water" TargetMode="External"/><Relationship Id="rId785" Type="http://schemas.openxmlformats.org/officeDocument/2006/relationships/hyperlink" Target="http://pokemondb.net/type/fairy" TargetMode="External"/><Relationship Id="rId992" Type="http://schemas.openxmlformats.org/officeDocument/2006/relationships/hyperlink" Target="http://pokemondb.net/type/dragon" TargetMode="External"/><Relationship Id="rId200" Type="http://schemas.openxmlformats.org/officeDocument/2006/relationships/hyperlink" Target="http://pokemondb.net/pokedex/slowpoke" TargetMode="External"/><Relationship Id="rId438" Type="http://schemas.openxmlformats.org/officeDocument/2006/relationships/hyperlink" Target="http://pokemondb.net/type/water" TargetMode="External"/><Relationship Id="rId645" Type="http://schemas.openxmlformats.org/officeDocument/2006/relationships/hyperlink" Target="http://pokemondb.net/pokedex/ho-oh" TargetMode="External"/><Relationship Id="rId852" Type="http://schemas.openxmlformats.org/officeDocument/2006/relationships/hyperlink" Target="http://pokemondb.net/pokedex/vibrava" TargetMode="External"/><Relationship Id="rId1068" Type="http://schemas.openxmlformats.org/officeDocument/2006/relationships/hyperlink" Target="http://pokemondb.net/type/bug" TargetMode="External"/><Relationship Id="rId1275" Type="http://schemas.openxmlformats.org/officeDocument/2006/relationships/hyperlink" Target="http://pokemondb.net/type/normal" TargetMode="External"/><Relationship Id="rId1482" Type="http://schemas.openxmlformats.org/officeDocument/2006/relationships/hyperlink" Target="http://pokemondb.net/type/dark" TargetMode="External"/><Relationship Id="rId505" Type="http://schemas.openxmlformats.org/officeDocument/2006/relationships/hyperlink" Target="http://pokemondb.net/type/dark" TargetMode="External"/><Relationship Id="rId712" Type="http://schemas.openxmlformats.org/officeDocument/2006/relationships/hyperlink" Target="http://pokemondb.net/pokedex/taillow" TargetMode="External"/><Relationship Id="rId1135" Type="http://schemas.openxmlformats.org/officeDocument/2006/relationships/hyperlink" Target="http://pokemondb.net/type/rock" TargetMode="External"/><Relationship Id="rId1342" Type="http://schemas.openxmlformats.org/officeDocument/2006/relationships/hyperlink" Target="http://pokemondb.net/pokedex/panpour" TargetMode="External"/><Relationship Id="rId1787" Type="http://schemas.openxmlformats.org/officeDocument/2006/relationships/hyperlink" Target="http://pokemondb.net/pokedex/aromatisse" TargetMode="External"/><Relationship Id="rId79" Type="http://schemas.openxmlformats.org/officeDocument/2006/relationships/hyperlink" Target="http://pokemondb.net/pokedex/nidorina" TargetMode="External"/><Relationship Id="rId1202" Type="http://schemas.openxmlformats.org/officeDocument/2006/relationships/hyperlink" Target="http://pokemondb.net/type/ice" TargetMode="External"/><Relationship Id="rId1647" Type="http://schemas.openxmlformats.org/officeDocument/2006/relationships/hyperlink" Target="http://pokemondb.net/type/bug" TargetMode="External"/><Relationship Id="rId1854" Type="http://schemas.openxmlformats.org/officeDocument/2006/relationships/hyperlink" Target="http://pokemondb.net/type/ghost" TargetMode="External"/><Relationship Id="rId1507" Type="http://schemas.openxmlformats.org/officeDocument/2006/relationships/hyperlink" Target="http://pokemondb.net/pokedex/vanillite" TargetMode="External"/><Relationship Id="rId1714" Type="http://schemas.openxmlformats.org/officeDocument/2006/relationships/hyperlink" Target="http://pokemondb.net/type/fire" TargetMode="External"/><Relationship Id="rId295" Type="http://schemas.openxmlformats.org/officeDocument/2006/relationships/hyperlink" Target="http://pokemondb.net/pokedex/horsea" TargetMode="External"/><Relationship Id="rId1921" Type="http://schemas.openxmlformats.org/officeDocument/2006/relationships/hyperlink" Target="http://pokemondb.net/pokedex/pumpkaboo" TargetMode="External"/><Relationship Id="rId155" Type="http://schemas.openxmlformats.org/officeDocument/2006/relationships/hyperlink" Target="http://pokemondb.net/type/water" TargetMode="External"/><Relationship Id="rId362" Type="http://schemas.openxmlformats.org/officeDocument/2006/relationships/hyperlink" Target="http://pokemondb.net/type/rock" TargetMode="External"/><Relationship Id="rId1297" Type="http://schemas.openxmlformats.org/officeDocument/2006/relationships/hyperlink" Target="http://pokemondb.net/pokedex/victini" TargetMode="External"/><Relationship Id="rId222" Type="http://schemas.openxmlformats.org/officeDocument/2006/relationships/hyperlink" Target="http://pokemondb.net/type/water" TargetMode="External"/><Relationship Id="rId667" Type="http://schemas.openxmlformats.org/officeDocument/2006/relationships/hyperlink" Target="http://pokemondb.net/pokedex/mudkip" TargetMode="External"/><Relationship Id="rId874" Type="http://schemas.openxmlformats.org/officeDocument/2006/relationships/hyperlink" Target="http://pokemondb.net/type/rock" TargetMode="External"/><Relationship Id="rId527" Type="http://schemas.openxmlformats.org/officeDocument/2006/relationships/hyperlink" Target="http://pokemondb.net/type/normal" TargetMode="External"/><Relationship Id="rId734" Type="http://schemas.openxmlformats.org/officeDocument/2006/relationships/hyperlink" Target="http://pokemondb.net/type/fairy" TargetMode="External"/><Relationship Id="rId941" Type="http://schemas.openxmlformats.org/officeDocument/2006/relationships/hyperlink" Target="http://pokemondb.net/type/water" TargetMode="External"/><Relationship Id="rId1157" Type="http://schemas.openxmlformats.org/officeDocument/2006/relationships/hyperlink" Target="http://pokemondb.net/type/ground" TargetMode="External"/><Relationship Id="rId1364" Type="http://schemas.openxmlformats.org/officeDocument/2006/relationships/hyperlink" Target="http://pokemondb.net/type/rock" TargetMode="External"/><Relationship Id="rId1571" Type="http://schemas.openxmlformats.org/officeDocument/2006/relationships/hyperlink" Target="http://pokemondb.net/type/fire" TargetMode="External"/><Relationship Id="rId70" Type="http://schemas.openxmlformats.org/officeDocument/2006/relationships/hyperlink" Target="http://pokemondb.net/type/electric" TargetMode="External"/><Relationship Id="rId801" Type="http://schemas.openxmlformats.org/officeDocument/2006/relationships/hyperlink" Target="http://pokemondb.net/pokedex/medicham" TargetMode="External"/><Relationship Id="rId1017" Type="http://schemas.openxmlformats.org/officeDocument/2006/relationships/hyperlink" Target="http://pokemondb.net/pokedex/infernape" TargetMode="External"/><Relationship Id="rId1224" Type="http://schemas.openxmlformats.org/officeDocument/2006/relationships/hyperlink" Target="http://pokemondb.net/type/grass" TargetMode="External"/><Relationship Id="rId1431" Type="http://schemas.openxmlformats.org/officeDocument/2006/relationships/hyperlink" Target="http://pokemondb.net/pokedex/krokorok" TargetMode="External"/><Relationship Id="rId1669" Type="http://schemas.openxmlformats.org/officeDocument/2006/relationships/hyperlink" Target="http://pokemondb.net/type/dragon" TargetMode="External"/><Relationship Id="rId1876" Type="http://schemas.openxmlformats.org/officeDocument/2006/relationships/hyperlink" Target="http://pokemondb.net/type/grass" TargetMode="External"/><Relationship Id="rId1529" Type="http://schemas.openxmlformats.org/officeDocument/2006/relationships/hyperlink" Target="http://pokemondb.net/type/poison" TargetMode="External"/><Relationship Id="rId1736" Type="http://schemas.openxmlformats.org/officeDocument/2006/relationships/hyperlink" Target="http://pokemondb.net/pokedex/talonflame" TargetMode="External"/><Relationship Id="rId28" Type="http://schemas.openxmlformats.org/officeDocument/2006/relationships/hyperlink" Target="http://pokemondb.net/type/water" TargetMode="External"/><Relationship Id="rId1803" Type="http://schemas.openxmlformats.org/officeDocument/2006/relationships/hyperlink" Target="http://pokemondb.net/type/rock" TargetMode="External"/><Relationship Id="rId177" Type="http://schemas.openxmlformats.org/officeDocument/2006/relationships/hyperlink" Target="http://pokemondb.net/type/poison" TargetMode="External"/><Relationship Id="rId384" Type="http://schemas.openxmlformats.org/officeDocument/2006/relationships/hyperlink" Target="http://pokemondb.net/pokedex/mewtwo" TargetMode="External"/><Relationship Id="rId591" Type="http://schemas.openxmlformats.org/officeDocument/2006/relationships/hyperlink" Target="http://pokemondb.net/pokedex/houndoom" TargetMode="External"/><Relationship Id="rId244" Type="http://schemas.openxmlformats.org/officeDocument/2006/relationships/hyperlink" Target="http://pokemondb.net/type/ghost" TargetMode="External"/><Relationship Id="rId689" Type="http://schemas.openxmlformats.org/officeDocument/2006/relationships/hyperlink" Target="http://pokemondb.net/type/flying" TargetMode="External"/><Relationship Id="rId896" Type="http://schemas.openxmlformats.org/officeDocument/2006/relationships/hyperlink" Target="http://pokemondb.net/pokedex/lileep" TargetMode="External"/><Relationship Id="rId1081" Type="http://schemas.openxmlformats.org/officeDocument/2006/relationships/hyperlink" Target="http://pokemondb.net/pokedex/vespiquen" TargetMode="External"/><Relationship Id="rId451" Type="http://schemas.openxmlformats.org/officeDocument/2006/relationships/hyperlink" Target="http://pokemondb.net/type/flying" TargetMode="External"/><Relationship Id="rId549" Type="http://schemas.openxmlformats.org/officeDocument/2006/relationships/hyperlink" Target="http://pokemondb.net/pokedex/heracross" TargetMode="External"/><Relationship Id="rId756" Type="http://schemas.openxmlformats.org/officeDocument/2006/relationships/hyperlink" Target="http://pokemondb.net/type/bug" TargetMode="External"/><Relationship Id="rId1179" Type="http://schemas.openxmlformats.org/officeDocument/2006/relationships/hyperlink" Target="http://pokemondb.net/type/fighting" TargetMode="External"/><Relationship Id="rId1386" Type="http://schemas.openxmlformats.org/officeDocument/2006/relationships/hyperlink" Target="http://pokemondb.net/pokedex/conkeldurr" TargetMode="External"/><Relationship Id="rId1593" Type="http://schemas.openxmlformats.org/officeDocument/2006/relationships/hyperlink" Target="http://pokemondb.net/type/bug" TargetMode="External"/><Relationship Id="rId104" Type="http://schemas.openxmlformats.org/officeDocument/2006/relationships/hyperlink" Target="http://pokemondb.net/type/fairy" TargetMode="External"/><Relationship Id="rId311" Type="http://schemas.openxmlformats.org/officeDocument/2006/relationships/hyperlink" Target="http://pokemondb.net/pokedex/scyther" TargetMode="External"/><Relationship Id="rId409" Type="http://schemas.openxmlformats.org/officeDocument/2006/relationships/hyperlink" Target="http://pokemondb.net/pokedex/sentret" TargetMode="External"/><Relationship Id="rId963" Type="http://schemas.openxmlformats.org/officeDocument/2006/relationships/hyperlink" Target="http://pokemondb.net/pokedex/salamence" TargetMode="External"/><Relationship Id="rId1039" Type="http://schemas.openxmlformats.org/officeDocument/2006/relationships/hyperlink" Target="http://pokemondb.net/type/normal" TargetMode="External"/><Relationship Id="rId1246" Type="http://schemas.openxmlformats.org/officeDocument/2006/relationships/hyperlink" Target="http://pokemondb.net/pokedex/rotom" TargetMode="External"/><Relationship Id="rId1898" Type="http://schemas.openxmlformats.org/officeDocument/2006/relationships/hyperlink" Target="http://pokemondb.net/pokedex/zygarde" TargetMode="External"/><Relationship Id="rId92" Type="http://schemas.openxmlformats.org/officeDocument/2006/relationships/hyperlink" Target="http://pokemondb.net/type/fairy" TargetMode="External"/><Relationship Id="rId616" Type="http://schemas.openxmlformats.org/officeDocument/2006/relationships/hyperlink" Target="http://pokemondb.net/type/psychic" TargetMode="External"/><Relationship Id="rId823" Type="http://schemas.openxmlformats.org/officeDocument/2006/relationships/hyperlink" Target="http://pokemondb.net/type/poison" TargetMode="External"/><Relationship Id="rId1453" Type="http://schemas.openxmlformats.org/officeDocument/2006/relationships/hyperlink" Target="http://pokemondb.net/type/dark" TargetMode="External"/><Relationship Id="rId1660" Type="http://schemas.openxmlformats.org/officeDocument/2006/relationships/hyperlink" Target="http://pokemondb.net/pokedex/tornadus" TargetMode="External"/><Relationship Id="rId1758" Type="http://schemas.openxmlformats.org/officeDocument/2006/relationships/hyperlink" Target="http://pokemondb.net/pokedex/skiddo" TargetMode="External"/><Relationship Id="rId1106" Type="http://schemas.openxmlformats.org/officeDocument/2006/relationships/hyperlink" Target="http://pokemondb.net/type/flying" TargetMode="External"/><Relationship Id="rId1313" Type="http://schemas.openxmlformats.org/officeDocument/2006/relationships/hyperlink" Target="http://pokemondb.net/type/fighting" TargetMode="External"/><Relationship Id="rId1520" Type="http://schemas.openxmlformats.org/officeDocument/2006/relationships/hyperlink" Target="http://pokemondb.net/type/electric" TargetMode="External"/><Relationship Id="rId1618" Type="http://schemas.openxmlformats.org/officeDocument/2006/relationships/hyperlink" Target="http://pokemondb.net/type/normal" TargetMode="External"/><Relationship Id="rId1825" Type="http://schemas.openxmlformats.org/officeDocument/2006/relationships/hyperlink" Target="http://pokemondb.net/type/rock" TargetMode="External"/><Relationship Id="rId199" Type="http://schemas.openxmlformats.org/officeDocument/2006/relationships/hyperlink" Target="http://pokemondb.net/type/fire" TargetMode="External"/><Relationship Id="rId266" Type="http://schemas.openxmlformats.org/officeDocument/2006/relationships/hyperlink" Target="http://pokemondb.net/type/psychic" TargetMode="External"/><Relationship Id="rId473" Type="http://schemas.openxmlformats.org/officeDocument/2006/relationships/hyperlink" Target="http://pokemondb.net/type/fairy" TargetMode="External"/><Relationship Id="rId680" Type="http://schemas.openxmlformats.org/officeDocument/2006/relationships/hyperlink" Target="http://pokemondb.net/type/normal" TargetMode="External"/><Relationship Id="rId126" Type="http://schemas.openxmlformats.org/officeDocument/2006/relationships/hyperlink" Target="http://pokemondb.net/pokedex/venonat" TargetMode="External"/><Relationship Id="rId333" Type="http://schemas.openxmlformats.org/officeDocument/2006/relationships/hyperlink" Target="http://pokemondb.net/type/dark" TargetMode="External"/><Relationship Id="rId540" Type="http://schemas.openxmlformats.org/officeDocument/2006/relationships/hyperlink" Target="http://pokemondb.net/type/poison" TargetMode="External"/><Relationship Id="rId778" Type="http://schemas.openxmlformats.org/officeDocument/2006/relationships/hyperlink" Target="http://pokemondb.net/pokedex/delcatty" TargetMode="External"/><Relationship Id="rId985" Type="http://schemas.openxmlformats.org/officeDocument/2006/relationships/hyperlink" Target="http://pokemondb.net/type/dragon" TargetMode="External"/><Relationship Id="rId1170" Type="http://schemas.openxmlformats.org/officeDocument/2006/relationships/hyperlink" Target="http://pokemondb.net/type/ground" TargetMode="External"/><Relationship Id="rId638" Type="http://schemas.openxmlformats.org/officeDocument/2006/relationships/hyperlink" Target="http://pokemondb.net/type/rock" TargetMode="External"/><Relationship Id="rId845" Type="http://schemas.openxmlformats.org/officeDocument/2006/relationships/hyperlink" Target="http://pokemondb.net/type/psychic" TargetMode="External"/><Relationship Id="rId1030" Type="http://schemas.openxmlformats.org/officeDocument/2006/relationships/hyperlink" Target="http://pokemondb.net/pokedex/staravia" TargetMode="External"/><Relationship Id="rId1268" Type="http://schemas.openxmlformats.org/officeDocument/2006/relationships/hyperlink" Target="http://pokemondb.net/pokedex/palkia" TargetMode="External"/><Relationship Id="rId1475" Type="http://schemas.openxmlformats.org/officeDocument/2006/relationships/hyperlink" Target="http://pokemondb.net/type/rock" TargetMode="External"/><Relationship Id="rId1682" Type="http://schemas.openxmlformats.org/officeDocument/2006/relationships/hyperlink" Target="http://pokemondb.net/type/ice" TargetMode="External"/><Relationship Id="rId400" Type="http://schemas.openxmlformats.org/officeDocument/2006/relationships/hyperlink" Target="http://pokemondb.net/type/fire" TargetMode="External"/><Relationship Id="rId705" Type="http://schemas.openxmlformats.org/officeDocument/2006/relationships/hyperlink" Target="http://pokemondb.net/type/grass" TargetMode="External"/><Relationship Id="rId1128" Type="http://schemas.openxmlformats.org/officeDocument/2006/relationships/hyperlink" Target="http://pokemondb.net/pokedex/bronzor" TargetMode="External"/><Relationship Id="rId1335" Type="http://schemas.openxmlformats.org/officeDocument/2006/relationships/hyperlink" Target="http://pokemondb.net/type/grass" TargetMode="External"/><Relationship Id="rId1542" Type="http://schemas.openxmlformats.org/officeDocument/2006/relationships/hyperlink" Target="http://pokemondb.net/type/bug" TargetMode="External"/><Relationship Id="rId912" Type="http://schemas.openxmlformats.org/officeDocument/2006/relationships/hyperlink" Target="http://pokemondb.net/pokedex/castform" TargetMode="External"/><Relationship Id="rId1847" Type="http://schemas.openxmlformats.org/officeDocument/2006/relationships/hyperlink" Target="http://pokemondb.net/type/dragon" TargetMode="External"/><Relationship Id="rId41" Type="http://schemas.openxmlformats.org/officeDocument/2006/relationships/hyperlink" Target="http://pokemondb.net/type/bug" TargetMode="External"/><Relationship Id="rId1402" Type="http://schemas.openxmlformats.org/officeDocument/2006/relationships/hyperlink" Target="http://pokemondb.net/type/grass" TargetMode="External"/><Relationship Id="rId1707" Type="http://schemas.openxmlformats.org/officeDocument/2006/relationships/hyperlink" Target="http://pokemondb.net/type/grass" TargetMode="External"/><Relationship Id="rId190" Type="http://schemas.openxmlformats.org/officeDocument/2006/relationships/hyperlink" Target="http://pokemondb.net/pokedex/graveler" TargetMode="External"/><Relationship Id="rId288" Type="http://schemas.openxmlformats.org/officeDocument/2006/relationships/hyperlink" Target="http://pokemondb.net/type/normal" TargetMode="External"/><Relationship Id="rId1914" Type="http://schemas.openxmlformats.org/officeDocument/2006/relationships/hyperlink" Target="http://pokemondb.net/pokedex/meloetta" TargetMode="External"/><Relationship Id="rId495" Type="http://schemas.openxmlformats.org/officeDocument/2006/relationships/hyperlink" Target="http://pokemondb.net/type/flying" TargetMode="External"/><Relationship Id="rId148" Type="http://schemas.openxmlformats.org/officeDocument/2006/relationships/hyperlink" Target="http://pokemondb.net/pokedex/growlithe" TargetMode="External"/><Relationship Id="rId355" Type="http://schemas.openxmlformats.org/officeDocument/2006/relationships/hyperlink" Target="http://pokemondb.net/pokedex/kabuto" TargetMode="External"/><Relationship Id="rId562" Type="http://schemas.openxmlformats.org/officeDocument/2006/relationships/hyperlink" Target="http://pokemondb.net/type/fire" TargetMode="External"/><Relationship Id="rId1192" Type="http://schemas.openxmlformats.org/officeDocument/2006/relationships/hyperlink" Target="http://pokemondb.net/pokedex/snover" TargetMode="External"/><Relationship Id="rId215" Type="http://schemas.openxmlformats.org/officeDocument/2006/relationships/hyperlink" Target="http://pokemondb.net/pokedex/doduo" TargetMode="External"/><Relationship Id="rId422" Type="http://schemas.openxmlformats.org/officeDocument/2006/relationships/hyperlink" Target="http://pokemondb.net/pokedex/ledian" TargetMode="External"/><Relationship Id="rId867" Type="http://schemas.openxmlformats.org/officeDocument/2006/relationships/hyperlink" Target="http://pokemondb.net/type/dragon" TargetMode="External"/><Relationship Id="rId1052" Type="http://schemas.openxmlformats.org/officeDocument/2006/relationships/hyperlink" Target="http://pokemondb.net/type/grass" TargetMode="External"/><Relationship Id="rId1497" Type="http://schemas.openxmlformats.org/officeDocument/2006/relationships/hyperlink" Target="http://pokemondb.net/pokedex/duosion" TargetMode="External"/><Relationship Id="rId727" Type="http://schemas.openxmlformats.org/officeDocument/2006/relationships/hyperlink" Target="http://pokemondb.net/pokedex/kirlia" TargetMode="External"/><Relationship Id="rId934" Type="http://schemas.openxmlformats.org/officeDocument/2006/relationships/hyperlink" Target="http://pokemondb.net/type/psychic" TargetMode="External"/><Relationship Id="rId1357" Type="http://schemas.openxmlformats.org/officeDocument/2006/relationships/hyperlink" Target="http://pokemondb.net/type/normal" TargetMode="External"/><Relationship Id="rId1564" Type="http://schemas.openxmlformats.org/officeDocument/2006/relationships/hyperlink" Target="http://pokemondb.net/type/electric" TargetMode="External"/><Relationship Id="rId1771" Type="http://schemas.openxmlformats.org/officeDocument/2006/relationships/hyperlink" Target="http://pokemondb.net/pokedex/meowstic" TargetMode="External"/><Relationship Id="rId63" Type="http://schemas.openxmlformats.org/officeDocument/2006/relationships/hyperlink" Target="http://pokemondb.net/type/normal" TargetMode="External"/><Relationship Id="rId1217" Type="http://schemas.openxmlformats.org/officeDocument/2006/relationships/hyperlink" Target="http://pokemondb.net/pokedex/togekiss" TargetMode="External"/><Relationship Id="rId1424" Type="http://schemas.openxmlformats.org/officeDocument/2006/relationships/hyperlink" Target="http://pokemondb.net/pokedex/lilligant" TargetMode="External"/><Relationship Id="rId1631" Type="http://schemas.openxmlformats.org/officeDocument/2006/relationships/hyperlink" Target="http://pokemondb.net/pokedex/durant" TargetMode="External"/><Relationship Id="rId1869" Type="http://schemas.openxmlformats.org/officeDocument/2006/relationships/hyperlink" Target="http://pokemondb.net/type/ghost" TargetMode="External"/><Relationship Id="rId1729" Type="http://schemas.openxmlformats.org/officeDocument/2006/relationships/hyperlink" Target="http://pokemondb.net/type/ground" TargetMode="External"/><Relationship Id="rId377" Type="http://schemas.openxmlformats.org/officeDocument/2006/relationships/hyperlink" Target="http://pokemondb.net/pokedex/dratini" TargetMode="External"/><Relationship Id="rId584" Type="http://schemas.openxmlformats.org/officeDocument/2006/relationships/hyperlink" Target="http://pokemondb.net/type/flying" TargetMode="External"/><Relationship Id="rId5" Type="http://schemas.openxmlformats.org/officeDocument/2006/relationships/hyperlink" Target="http://pokemondb.net/type/grass" TargetMode="External"/><Relationship Id="rId237" Type="http://schemas.openxmlformats.org/officeDocument/2006/relationships/hyperlink" Target="http://pokemondb.net/type/poison" TargetMode="External"/><Relationship Id="rId791" Type="http://schemas.openxmlformats.org/officeDocument/2006/relationships/hyperlink" Target="http://pokemondb.net/pokedex/lairon" TargetMode="External"/><Relationship Id="rId889" Type="http://schemas.openxmlformats.org/officeDocument/2006/relationships/hyperlink" Target="http://pokemondb.net/type/dark" TargetMode="External"/><Relationship Id="rId1074" Type="http://schemas.openxmlformats.org/officeDocument/2006/relationships/hyperlink" Target="http://pokemondb.net/type/bug" TargetMode="External"/><Relationship Id="rId444" Type="http://schemas.openxmlformats.org/officeDocument/2006/relationships/hyperlink" Target="http://pokemondb.net/pokedex/igglybuff" TargetMode="External"/><Relationship Id="rId651" Type="http://schemas.openxmlformats.org/officeDocument/2006/relationships/hyperlink" Target="http://pokemondb.net/pokedex/treecko" TargetMode="External"/><Relationship Id="rId749" Type="http://schemas.openxmlformats.org/officeDocument/2006/relationships/hyperlink" Target="http://pokemondb.net/type/normal" TargetMode="External"/><Relationship Id="rId1281" Type="http://schemas.openxmlformats.org/officeDocument/2006/relationships/hyperlink" Target="http://pokemondb.net/type/dragon" TargetMode="External"/><Relationship Id="rId1379" Type="http://schemas.openxmlformats.org/officeDocument/2006/relationships/hyperlink" Target="http://pokemondb.net/type/steel" TargetMode="External"/><Relationship Id="rId1586" Type="http://schemas.openxmlformats.org/officeDocument/2006/relationships/hyperlink" Target="http://pokemondb.net/pokedex/beartic" TargetMode="External"/><Relationship Id="rId304" Type="http://schemas.openxmlformats.org/officeDocument/2006/relationships/hyperlink" Target="http://pokemondb.net/type/water" TargetMode="External"/><Relationship Id="rId511" Type="http://schemas.openxmlformats.org/officeDocument/2006/relationships/hyperlink" Target="http://pokemondb.net/type/psychic" TargetMode="External"/><Relationship Id="rId609" Type="http://schemas.openxmlformats.org/officeDocument/2006/relationships/hyperlink" Target="http://pokemondb.net/type/normal" TargetMode="External"/><Relationship Id="rId956" Type="http://schemas.openxmlformats.org/officeDocument/2006/relationships/hyperlink" Target="http://pokemondb.net/type/rock" TargetMode="External"/><Relationship Id="rId1141" Type="http://schemas.openxmlformats.org/officeDocument/2006/relationships/hyperlink" Target="http://pokemondb.net/pokedex/chatot" TargetMode="External"/><Relationship Id="rId1239" Type="http://schemas.openxmlformats.org/officeDocument/2006/relationships/hyperlink" Target="http://pokemondb.net/type/rock" TargetMode="External"/><Relationship Id="rId1793" Type="http://schemas.openxmlformats.org/officeDocument/2006/relationships/hyperlink" Target="http://pokemondb.net/pokedex/inkay" TargetMode="External"/><Relationship Id="rId85" Type="http://schemas.openxmlformats.org/officeDocument/2006/relationships/hyperlink" Target="http://pokemondb.net/type/poison" TargetMode="External"/><Relationship Id="rId816" Type="http://schemas.openxmlformats.org/officeDocument/2006/relationships/hyperlink" Target="http://pokemondb.net/type/bug" TargetMode="External"/><Relationship Id="rId1001" Type="http://schemas.openxmlformats.org/officeDocument/2006/relationships/hyperlink" Target="http://pokemondb.net/pokedex/deoxys" TargetMode="External"/><Relationship Id="rId1446" Type="http://schemas.openxmlformats.org/officeDocument/2006/relationships/hyperlink" Target="http://pokemondb.net/pokedex/dwebble" TargetMode="External"/><Relationship Id="rId1653" Type="http://schemas.openxmlformats.org/officeDocument/2006/relationships/hyperlink" Target="http://pokemondb.net/type/rock" TargetMode="External"/><Relationship Id="rId1860" Type="http://schemas.openxmlformats.org/officeDocument/2006/relationships/hyperlink" Target="http://pokemondb.net/type/ghost" TargetMode="External"/><Relationship Id="rId1306" Type="http://schemas.openxmlformats.org/officeDocument/2006/relationships/hyperlink" Target="http://pokemondb.net/pokedex/tepig" TargetMode="External"/><Relationship Id="rId1513" Type="http://schemas.openxmlformats.org/officeDocument/2006/relationships/hyperlink" Target="http://pokemondb.net/pokedex/deerling" TargetMode="External"/><Relationship Id="rId1720" Type="http://schemas.openxmlformats.org/officeDocument/2006/relationships/hyperlink" Target="http://pokemondb.net/pokedex/frogadier" TargetMode="External"/><Relationship Id="rId12" Type="http://schemas.openxmlformats.org/officeDocument/2006/relationships/hyperlink" Target="http://pokemondb.net/pokedex/charmander" TargetMode="External"/><Relationship Id="rId1818" Type="http://schemas.openxmlformats.org/officeDocument/2006/relationships/hyperlink" Target="http://pokemondb.net/pokedex/heliolisk" TargetMode="External"/><Relationship Id="rId161" Type="http://schemas.openxmlformats.org/officeDocument/2006/relationships/hyperlink" Target="http://pokemondb.net/pokedex/kadabra" TargetMode="External"/><Relationship Id="rId399" Type="http://schemas.openxmlformats.org/officeDocument/2006/relationships/hyperlink" Target="http://pokemondb.net/pokedex/quilava" TargetMode="External"/><Relationship Id="rId259" Type="http://schemas.openxmlformats.org/officeDocument/2006/relationships/hyperlink" Target="http://pokemondb.net/pokedex/electrode" TargetMode="External"/><Relationship Id="rId466" Type="http://schemas.openxmlformats.org/officeDocument/2006/relationships/hyperlink" Target="http://pokemondb.net/pokedex/bellossom" TargetMode="External"/><Relationship Id="rId673" Type="http://schemas.openxmlformats.org/officeDocument/2006/relationships/hyperlink" Target="http://pokemondb.net/type/water" TargetMode="External"/><Relationship Id="rId880" Type="http://schemas.openxmlformats.org/officeDocument/2006/relationships/hyperlink" Target="http://pokemondb.net/type/water" TargetMode="External"/><Relationship Id="rId1096" Type="http://schemas.openxmlformats.org/officeDocument/2006/relationships/hyperlink" Target="http://pokemondb.net/pokedex/gastrodon" TargetMode="External"/><Relationship Id="rId119" Type="http://schemas.openxmlformats.org/officeDocument/2006/relationships/hyperlink" Target="http://pokemondb.net/type/poison" TargetMode="External"/><Relationship Id="rId326" Type="http://schemas.openxmlformats.org/officeDocument/2006/relationships/hyperlink" Target="http://pokemondb.net/type/normal" TargetMode="External"/><Relationship Id="rId533" Type="http://schemas.openxmlformats.org/officeDocument/2006/relationships/hyperlink" Target="http://pokemondb.net/type/ground" TargetMode="External"/><Relationship Id="rId978" Type="http://schemas.openxmlformats.org/officeDocument/2006/relationships/hyperlink" Target="http://pokemondb.net/type/ice" TargetMode="External"/><Relationship Id="rId1163" Type="http://schemas.openxmlformats.org/officeDocument/2006/relationships/hyperlink" Target="http://pokemondb.net/type/fighting" TargetMode="External"/><Relationship Id="rId1370" Type="http://schemas.openxmlformats.org/officeDocument/2006/relationships/hyperlink" Target="http://pokemondb.net/type/psychic" TargetMode="External"/><Relationship Id="rId740" Type="http://schemas.openxmlformats.org/officeDocument/2006/relationships/hyperlink" Target="http://pokemondb.net/type/flying" TargetMode="External"/><Relationship Id="rId838" Type="http://schemas.openxmlformats.org/officeDocument/2006/relationships/hyperlink" Target="http://pokemondb.net/type/ground" TargetMode="External"/><Relationship Id="rId1023" Type="http://schemas.openxmlformats.org/officeDocument/2006/relationships/hyperlink" Target="http://pokemondb.net/type/water" TargetMode="External"/><Relationship Id="rId1468" Type="http://schemas.openxmlformats.org/officeDocument/2006/relationships/hyperlink" Target="http://pokemondb.net/pokedex/carracosta" TargetMode="External"/><Relationship Id="rId1675" Type="http://schemas.openxmlformats.org/officeDocument/2006/relationships/hyperlink" Target="http://pokemondb.net/type/ground" TargetMode="External"/><Relationship Id="rId1882" Type="http://schemas.openxmlformats.org/officeDocument/2006/relationships/hyperlink" Target="http://pokemondb.net/type/grass" TargetMode="External"/><Relationship Id="rId600" Type="http://schemas.openxmlformats.org/officeDocument/2006/relationships/hyperlink" Target="http://pokemondb.net/pokedex/phanpy" TargetMode="External"/><Relationship Id="rId1230" Type="http://schemas.openxmlformats.org/officeDocument/2006/relationships/hyperlink" Target="http://pokemondb.net/pokedex/mamoswine" TargetMode="External"/><Relationship Id="rId1328" Type="http://schemas.openxmlformats.org/officeDocument/2006/relationships/hyperlink" Target="http://pokemondb.net/pokedex/stoutland" TargetMode="External"/><Relationship Id="rId1535" Type="http://schemas.openxmlformats.org/officeDocument/2006/relationships/hyperlink" Target="http://pokemondb.net/type/ghost" TargetMode="External"/><Relationship Id="rId905" Type="http://schemas.openxmlformats.org/officeDocument/2006/relationships/hyperlink" Target="http://pokemondb.net/pokedex/armaldo" TargetMode="External"/><Relationship Id="rId1742" Type="http://schemas.openxmlformats.org/officeDocument/2006/relationships/hyperlink" Target="http://pokemondb.net/type/bug" TargetMode="External"/><Relationship Id="rId34" Type="http://schemas.openxmlformats.org/officeDocument/2006/relationships/hyperlink" Target="http://pokemondb.net/pokedex/butterfree" TargetMode="External"/><Relationship Id="rId1602" Type="http://schemas.openxmlformats.org/officeDocument/2006/relationships/hyperlink" Target="http://pokemondb.net/type/dragon" TargetMode="External"/><Relationship Id="rId183" Type="http://schemas.openxmlformats.org/officeDocument/2006/relationships/hyperlink" Target="http://pokemondb.net/type/poison" TargetMode="External"/><Relationship Id="rId390" Type="http://schemas.openxmlformats.org/officeDocument/2006/relationships/hyperlink" Target="http://pokemondb.net/type/psychic" TargetMode="External"/><Relationship Id="rId1907" Type="http://schemas.openxmlformats.org/officeDocument/2006/relationships/hyperlink" Target="http://pokemondb.net/pokedex/landorus" TargetMode="External"/><Relationship Id="rId250" Type="http://schemas.openxmlformats.org/officeDocument/2006/relationships/hyperlink" Target="http://pokemondb.net/type/psychic" TargetMode="External"/><Relationship Id="rId488" Type="http://schemas.openxmlformats.org/officeDocument/2006/relationships/hyperlink" Target="http://pokemondb.net/type/normal" TargetMode="External"/><Relationship Id="rId695" Type="http://schemas.openxmlformats.org/officeDocument/2006/relationships/hyperlink" Target="http://pokemondb.net/pokedex/lotad" TargetMode="External"/><Relationship Id="rId110" Type="http://schemas.openxmlformats.org/officeDocument/2006/relationships/hyperlink" Target="http://pokemondb.net/type/flying" TargetMode="External"/><Relationship Id="rId348" Type="http://schemas.openxmlformats.org/officeDocument/2006/relationships/hyperlink" Target="http://pokemondb.net/type/normal" TargetMode="External"/><Relationship Id="rId555" Type="http://schemas.openxmlformats.org/officeDocument/2006/relationships/hyperlink" Target="http://pokemondb.net/type/dark" TargetMode="External"/><Relationship Id="rId762" Type="http://schemas.openxmlformats.org/officeDocument/2006/relationships/hyperlink" Target="http://pokemondb.net/type/normal" TargetMode="External"/><Relationship Id="rId1185" Type="http://schemas.openxmlformats.org/officeDocument/2006/relationships/hyperlink" Target="http://pokemondb.net/pokedex/finneon" TargetMode="External"/><Relationship Id="rId1392" Type="http://schemas.openxmlformats.org/officeDocument/2006/relationships/hyperlink" Target="http://pokemondb.net/type/ground" TargetMode="External"/><Relationship Id="rId208" Type="http://schemas.openxmlformats.org/officeDocument/2006/relationships/hyperlink" Target="http://pokemondb.net/type/steel" TargetMode="External"/><Relationship Id="rId415" Type="http://schemas.openxmlformats.org/officeDocument/2006/relationships/hyperlink" Target="http://pokemondb.net/type/flying" TargetMode="External"/><Relationship Id="rId622" Type="http://schemas.openxmlformats.org/officeDocument/2006/relationships/hyperlink" Target="http://pokemondb.net/type/normal" TargetMode="External"/><Relationship Id="rId1045" Type="http://schemas.openxmlformats.org/officeDocument/2006/relationships/hyperlink" Target="http://pokemondb.net/pokedex/shinx" TargetMode="External"/><Relationship Id="rId1252" Type="http://schemas.openxmlformats.org/officeDocument/2006/relationships/hyperlink" Target="http://pokemondb.net/type/water" TargetMode="External"/><Relationship Id="rId1697" Type="http://schemas.openxmlformats.org/officeDocument/2006/relationships/hyperlink" Target="http://pokemondb.net/type/psychic" TargetMode="External"/><Relationship Id="rId927" Type="http://schemas.openxmlformats.org/officeDocument/2006/relationships/hyperlink" Target="http://pokemondb.net/type/flying" TargetMode="External"/><Relationship Id="rId1112" Type="http://schemas.openxmlformats.org/officeDocument/2006/relationships/hyperlink" Target="http://pokemondb.net/type/ghost" TargetMode="External"/><Relationship Id="rId1557" Type="http://schemas.openxmlformats.org/officeDocument/2006/relationships/hyperlink" Target="http://pokemondb.net/pokedex/klinklang" TargetMode="External"/><Relationship Id="rId1764" Type="http://schemas.openxmlformats.org/officeDocument/2006/relationships/hyperlink" Target="http://pokemondb.net/pokedex/pangoro" TargetMode="External"/><Relationship Id="rId56" Type="http://schemas.openxmlformats.org/officeDocument/2006/relationships/hyperlink" Target="http://pokemondb.net/type/normal" TargetMode="External"/><Relationship Id="rId1417" Type="http://schemas.openxmlformats.org/officeDocument/2006/relationships/hyperlink" Target="http://pokemondb.net/type/poison" TargetMode="External"/><Relationship Id="rId1624" Type="http://schemas.openxmlformats.org/officeDocument/2006/relationships/hyperlink" Target="http://pokemondb.net/type/dark" TargetMode="External"/><Relationship Id="rId1831" Type="http://schemas.openxmlformats.org/officeDocument/2006/relationships/hyperlink" Target="http://pokemondb.net/type/rock" TargetMode="External"/><Relationship Id="rId1929" Type="http://schemas.openxmlformats.org/officeDocument/2006/relationships/printerSettings" Target="../printerSettings/printerSettings1.bin"/><Relationship Id="rId272" Type="http://schemas.openxmlformats.org/officeDocument/2006/relationships/hyperlink" Target="http://pokemondb.net/type/fighting" TargetMode="External"/><Relationship Id="rId577" Type="http://schemas.openxmlformats.org/officeDocument/2006/relationships/hyperlink" Target="http://pokemondb.net/pokedex/octillery" TargetMode="External"/><Relationship Id="rId132" Type="http://schemas.openxmlformats.org/officeDocument/2006/relationships/hyperlink" Target="http://pokemondb.net/pokedex/diglett" TargetMode="External"/><Relationship Id="rId784" Type="http://schemas.openxmlformats.org/officeDocument/2006/relationships/hyperlink" Target="http://pokemondb.net/type/steel" TargetMode="External"/><Relationship Id="rId991" Type="http://schemas.openxmlformats.org/officeDocument/2006/relationships/hyperlink" Target="http://pokemondb.net/pokedex/rayquaza" TargetMode="External"/><Relationship Id="rId1067" Type="http://schemas.openxmlformats.org/officeDocument/2006/relationships/hyperlink" Target="http://pokemondb.net/pokedex/burmy" TargetMode="External"/><Relationship Id="rId437" Type="http://schemas.openxmlformats.org/officeDocument/2006/relationships/hyperlink" Target="http://pokemondb.net/pokedex/lanturn" TargetMode="External"/><Relationship Id="rId644" Type="http://schemas.openxmlformats.org/officeDocument/2006/relationships/hyperlink" Target="http://pokemondb.net/type/flying" TargetMode="External"/><Relationship Id="rId851" Type="http://schemas.openxmlformats.org/officeDocument/2006/relationships/hyperlink" Target="http://pokemondb.net/type/ground" TargetMode="External"/><Relationship Id="rId1274" Type="http://schemas.openxmlformats.org/officeDocument/2006/relationships/hyperlink" Target="http://pokemondb.net/pokedex/regigigas" TargetMode="External"/><Relationship Id="rId1481" Type="http://schemas.openxmlformats.org/officeDocument/2006/relationships/hyperlink" Target="http://pokemondb.net/pokedex/zorua" TargetMode="External"/><Relationship Id="rId1579" Type="http://schemas.openxmlformats.org/officeDocument/2006/relationships/hyperlink" Target="http://pokemondb.net/type/dragon" TargetMode="External"/><Relationship Id="rId504" Type="http://schemas.openxmlformats.org/officeDocument/2006/relationships/hyperlink" Target="http://pokemondb.net/pokedex/umbreon" TargetMode="External"/><Relationship Id="rId711" Type="http://schemas.openxmlformats.org/officeDocument/2006/relationships/hyperlink" Target="http://pokemondb.net/type/dark" TargetMode="External"/><Relationship Id="rId949" Type="http://schemas.openxmlformats.org/officeDocument/2006/relationships/hyperlink" Target="http://pokemondb.net/type/water" TargetMode="External"/><Relationship Id="rId1134" Type="http://schemas.openxmlformats.org/officeDocument/2006/relationships/hyperlink" Target="http://pokemondb.net/pokedex/bonsly" TargetMode="External"/><Relationship Id="rId1341" Type="http://schemas.openxmlformats.org/officeDocument/2006/relationships/hyperlink" Target="http://pokemondb.net/type/fire" TargetMode="External"/><Relationship Id="rId1786" Type="http://schemas.openxmlformats.org/officeDocument/2006/relationships/hyperlink" Target="http://pokemondb.net/type/fairy" TargetMode="External"/><Relationship Id="rId78" Type="http://schemas.openxmlformats.org/officeDocument/2006/relationships/hyperlink" Target="http://pokemondb.net/type/poison" TargetMode="External"/><Relationship Id="rId809" Type="http://schemas.openxmlformats.org/officeDocument/2006/relationships/hyperlink" Target="http://pokemondb.net/type/electric" TargetMode="External"/><Relationship Id="rId1201" Type="http://schemas.openxmlformats.org/officeDocument/2006/relationships/hyperlink" Target="http://pokemondb.net/type/dark" TargetMode="External"/><Relationship Id="rId1439" Type="http://schemas.openxmlformats.org/officeDocument/2006/relationships/hyperlink" Target="http://pokemondb.net/pokedex/darmanitan" TargetMode="External"/><Relationship Id="rId1646" Type="http://schemas.openxmlformats.org/officeDocument/2006/relationships/hyperlink" Target="http://pokemondb.net/pokedex/volcarona" TargetMode="External"/><Relationship Id="rId1853" Type="http://schemas.openxmlformats.org/officeDocument/2006/relationships/hyperlink" Target="http://pokemondb.net/pokedex/phantump" TargetMode="External"/><Relationship Id="rId1506" Type="http://schemas.openxmlformats.org/officeDocument/2006/relationships/hyperlink" Target="http://pokemondb.net/type/flying" TargetMode="External"/><Relationship Id="rId1713" Type="http://schemas.openxmlformats.org/officeDocument/2006/relationships/hyperlink" Target="http://pokemondb.net/pokedex/braixen" TargetMode="External"/><Relationship Id="rId1920" Type="http://schemas.openxmlformats.org/officeDocument/2006/relationships/hyperlink" Target="http://pokemondb.net/pokedex/pumpkaboo" TargetMode="External"/><Relationship Id="rId294" Type="http://schemas.openxmlformats.org/officeDocument/2006/relationships/hyperlink" Target="http://pokemondb.net/type/normal" TargetMode="External"/><Relationship Id="rId154" Type="http://schemas.openxmlformats.org/officeDocument/2006/relationships/hyperlink" Target="http://pokemondb.net/pokedex/poliwhirl" TargetMode="External"/><Relationship Id="rId361" Type="http://schemas.openxmlformats.org/officeDocument/2006/relationships/hyperlink" Target="http://pokemondb.net/pokedex/aerodactyl" TargetMode="External"/><Relationship Id="rId599" Type="http://schemas.openxmlformats.org/officeDocument/2006/relationships/hyperlink" Target="http://pokemondb.net/type/dragon" TargetMode="External"/><Relationship Id="rId459" Type="http://schemas.openxmlformats.org/officeDocument/2006/relationships/hyperlink" Target="http://pokemondb.net/type/electric" TargetMode="External"/><Relationship Id="rId666" Type="http://schemas.openxmlformats.org/officeDocument/2006/relationships/hyperlink" Target="http://pokemondb.net/type/fighting" TargetMode="External"/><Relationship Id="rId873" Type="http://schemas.openxmlformats.org/officeDocument/2006/relationships/hyperlink" Target="http://pokemondb.net/pokedex/lunatone" TargetMode="External"/><Relationship Id="rId1089" Type="http://schemas.openxmlformats.org/officeDocument/2006/relationships/hyperlink" Target="http://pokemondb.net/type/water" TargetMode="External"/><Relationship Id="rId1296" Type="http://schemas.openxmlformats.org/officeDocument/2006/relationships/hyperlink" Target="http://pokemondb.net/type/normal" TargetMode="External"/><Relationship Id="rId221" Type="http://schemas.openxmlformats.org/officeDocument/2006/relationships/hyperlink" Target="http://pokemondb.net/pokedex/seel" TargetMode="External"/><Relationship Id="rId319" Type="http://schemas.openxmlformats.org/officeDocument/2006/relationships/hyperlink" Target="http://pokemondb.net/pokedex/magmar" TargetMode="External"/><Relationship Id="rId526" Type="http://schemas.openxmlformats.org/officeDocument/2006/relationships/hyperlink" Target="http://pokemondb.net/pokedex/dunsparce" TargetMode="External"/><Relationship Id="rId1156" Type="http://schemas.openxmlformats.org/officeDocument/2006/relationships/hyperlink" Target="http://pokemondb.net/type/dragon" TargetMode="External"/><Relationship Id="rId1363" Type="http://schemas.openxmlformats.org/officeDocument/2006/relationships/hyperlink" Target="http://pokemondb.net/pokedex/roggenrola" TargetMode="External"/><Relationship Id="rId733" Type="http://schemas.openxmlformats.org/officeDocument/2006/relationships/hyperlink" Target="http://pokemondb.net/type/psychic" TargetMode="External"/><Relationship Id="rId940" Type="http://schemas.openxmlformats.org/officeDocument/2006/relationships/hyperlink" Target="http://pokemondb.net/type/ice" TargetMode="External"/><Relationship Id="rId1016" Type="http://schemas.openxmlformats.org/officeDocument/2006/relationships/hyperlink" Target="http://pokemondb.net/type/fighting" TargetMode="External"/><Relationship Id="rId1570" Type="http://schemas.openxmlformats.org/officeDocument/2006/relationships/hyperlink" Target="http://pokemondb.net/type/ghost" TargetMode="External"/><Relationship Id="rId1668" Type="http://schemas.openxmlformats.org/officeDocument/2006/relationships/hyperlink" Target="http://pokemondb.net/pokedex/reshiram" TargetMode="External"/><Relationship Id="rId1875" Type="http://schemas.openxmlformats.org/officeDocument/2006/relationships/hyperlink" Target="http://pokemondb.net/type/ghost" TargetMode="External"/><Relationship Id="rId800" Type="http://schemas.openxmlformats.org/officeDocument/2006/relationships/hyperlink" Target="http://pokemondb.net/type/psychic" TargetMode="External"/><Relationship Id="rId1223" Type="http://schemas.openxmlformats.org/officeDocument/2006/relationships/hyperlink" Target="http://pokemondb.net/pokedex/leafeon" TargetMode="External"/><Relationship Id="rId1430" Type="http://schemas.openxmlformats.org/officeDocument/2006/relationships/hyperlink" Target="http://pokemondb.net/type/dark" TargetMode="External"/><Relationship Id="rId1528" Type="http://schemas.openxmlformats.org/officeDocument/2006/relationships/hyperlink" Target="http://pokemondb.net/type/grass" TargetMode="External"/><Relationship Id="rId1735" Type="http://schemas.openxmlformats.org/officeDocument/2006/relationships/hyperlink" Target="http://pokemondb.net/type/flying" TargetMode="External"/><Relationship Id="rId27" Type="http://schemas.openxmlformats.org/officeDocument/2006/relationships/hyperlink" Target="http://pokemondb.net/pokedex/blastoise" TargetMode="External"/><Relationship Id="rId1802" Type="http://schemas.openxmlformats.org/officeDocument/2006/relationships/hyperlink" Target="http://pokemondb.net/pokedex/barbaracle" TargetMode="External"/><Relationship Id="rId176" Type="http://schemas.openxmlformats.org/officeDocument/2006/relationships/hyperlink" Target="http://pokemondb.net/type/grass" TargetMode="External"/><Relationship Id="rId383" Type="http://schemas.openxmlformats.org/officeDocument/2006/relationships/hyperlink" Target="http://pokemondb.net/type/flying" TargetMode="External"/><Relationship Id="rId590" Type="http://schemas.openxmlformats.org/officeDocument/2006/relationships/hyperlink" Target="http://pokemondb.net/type/fire" TargetMode="External"/><Relationship Id="rId243" Type="http://schemas.openxmlformats.org/officeDocument/2006/relationships/hyperlink" Target="http://pokemondb.net/type/poison" TargetMode="External"/><Relationship Id="rId450" Type="http://schemas.openxmlformats.org/officeDocument/2006/relationships/hyperlink" Target="http://pokemondb.net/type/fairy" TargetMode="External"/><Relationship Id="rId688" Type="http://schemas.openxmlformats.org/officeDocument/2006/relationships/hyperlink" Target="http://pokemondb.net/type/bug" TargetMode="External"/><Relationship Id="rId895" Type="http://schemas.openxmlformats.org/officeDocument/2006/relationships/hyperlink" Target="http://pokemondb.net/type/psychic" TargetMode="External"/><Relationship Id="rId1080" Type="http://schemas.openxmlformats.org/officeDocument/2006/relationships/hyperlink" Target="http://pokemondb.net/type/flying" TargetMode="External"/><Relationship Id="rId103" Type="http://schemas.openxmlformats.org/officeDocument/2006/relationships/hyperlink" Target="http://pokemondb.net/type/normal" TargetMode="External"/><Relationship Id="rId310" Type="http://schemas.openxmlformats.org/officeDocument/2006/relationships/hyperlink" Target="http://pokemondb.net/type/fairy" TargetMode="External"/><Relationship Id="rId548" Type="http://schemas.openxmlformats.org/officeDocument/2006/relationships/hyperlink" Target="http://pokemondb.net/type/rock" TargetMode="External"/><Relationship Id="rId755" Type="http://schemas.openxmlformats.org/officeDocument/2006/relationships/hyperlink" Target="http://pokemondb.net/pokedex/ninjask" TargetMode="External"/><Relationship Id="rId962" Type="http://schemas.openxmlformats.org/officeDocument/2006/relationships/hyperlink" Target="http://pokemondb.net/type/dragon" TargetMode="External"/><Relationship Id="rId1178" Type="http://schemas.openxmlformats.org/officeDocument/2006/relationships/hyperlink" Target="http://pokemondb.net/type/poison" TargetMode="External"/><Relationship Id="rId1385" Type="http://schemas.openxmlformats.org/officeDocument/2006/relationships/hyperlink" Target="http://pokemondb.net/type/fighting" TargetMode="External"/><Relationship Id="rId1592" Type="http://schemas.openxmlformats.org/officeDocument/2006/relationships/hyperlink" Target="http://pokemondb.net/pokedex/accelgor" TargetMode="External"/><Relationship Id="rId91" Type="http://schemas.openxmlformats.org/officeDocument/2006/relationships/hyperlink" Target="http://pokemondb.net/pokedex/clefairy" TargetMode="External"/><Relationship Id="rId408" Type="http://schemas.openxmlformats.org/officeDocument/2006/relationships/hyperlink" Target="http://pokemondb.net/type/water" TargetMode="External"/><Relationship Id="rId615" Type="http://schemas.openxmlformats.org/officeDocument/2006/relationships/hyperlink" Target="http://pokemondb.net/type/ice" TargetMode="External"/><Relationship Id="rId822" Type="http://schemas.openxmlformats.org/officeDocument/2006/relationships/hyperlink" Target="http://pokemondb.net/pokedex/gulpin" TargetMode="External"/><Relationship Id="rId1038" Type="http://schemas.openxmlformats.org/officeDocument/2006/relationships/hyperlink" Target="http://pokemondb.net/pokedex/bibarel" TargetMode="External"/><Relationship Id="rId1245" Type="http://schemas.openxmlformats.org/officeDocument/2006/relationships/hyperlink" Target="http://pokemondb.net/type/ghost" TargetMode="External"/><Relationship Id="rId1452" Type="http://schemas.openxmlformats.org/officeDocument/2006/relationships/hyperlink" Target="http://pokemondb.net/pokedex/scraggy" TargetMode="External"/><Relationship Id="rId1897" Type="http://schemas.openxmlformats.org/officeDocument/2006/relationships/hyperlink" Target="http://pokemondb.net/type/flying" TargetMode="External"/><Relationship Id="rId1105" Type="http://schemas.openxmlformats.org/officeDocument/2006/relationships/hyperlink" Target="http://pokemondb.net/type/ghost" TargetMode="External"/><Relationship Id="rId1312" Type="http://schemas.openxmlformats.org/officeDocument/2006/relationships/hyperlink" Target="http://pokemondb.net/type/fire" TargetMode="External"/><Relationship Id="rId1757" Type="http://schemas.openxmlformats.org/officeDocument/2006/relationships/hyperlink" Target="http://pokemondb.net/type/fairy" TargetMode="External"/><Relationship Id="rId49" Type="http://schemas.openxmlformats.org/officeDocument/2006/relationships/hyperlink" Target="http://pokemondb.net/pokedex/pidgeotto" TargetMode="External"/><Relationship Id="rId1617" Type="http://schemas.openxmlformats.org/officeDocument/2006/relationships/hyperlink" Target="http://pokemondb.net/pokedex/rufflet" TargetMode="External"/><Relationship Id="rId1824" Type="http://schemas.openxmlformats.org/officeDocument/2006/relationships/hyperlink" Target="http://pokemondb.net/pokedex/tyrantrum" TargetMode="External"/><Relationship Id="rId198" Type="http://schemas.openxmlformats.org/officeDocument/2006/relationships/hyperlink" Target="http://pokemondb.net/pokedex/rapidash" TargetMode="External"/><Relationship Id="rId265" Type="http://schemas.openxmlformats.org/officeDocument/2006/relationships/hyperlink" Target="http://pokemondb.net/type/grass" TargetMode="External"/><Relationship Id="rId472" Type="http://schemas.openxmlformats.org/officeDocument/2006/relationships/hyperlink" Target="http://pokemondb.net/type/water" TargetMode="External"/><Relationship Id="rId125" Type="http://schemas.openxmlformats.org/officeDocument/2006/relationships/hyperlink" Target="http://pokemondb.net/type/grass" TargetMode="External"/><Relationship Id="rId332" Type="http://schemas.openxmlformats.org/officeDocument/2006/relationships/hyperlink" Target="http://pokemondb.net/type/water" TargetMode="External"/><Relationship Id="rId777" Type="http://schemas.openxmlformats.org/officeDocument/2006/relationships/hyperlink" Target="http://pokemondb.net/type/normal" TargetMode="External"/><Relationship Id="rId984" Type="http://schemas.openxmlformats.org/officeDocument/2006/relationships/hyperlink" Target="http://pokemondb.net/pokedex/latios" TargetMode="External"/><Relationship Id="rId637" Type="http://schemas.openxmlformats.org/officeDocument/2006/relationships/hyperlink" Target="http://pokemondb.net/pokedex/tyranitar" TargetMode="External"/><Relationship Id="rId844" Type="http://schemas.openxmlformats.org/officeDocument/2006/relationships/hyperlink" Target="http://pokemondb.net/pokedex/spoink" TargetMode="External"/><Relationship Id="rId1267" Type="http://schemas.openxmlformats.org/officeDocument/2006/relationships/hyperlink" Target="http://pokemondb.net/type/dragon" TargetMode="External"/><Relationship Id="rId1474" Type="http://schemas.openxmlformats.org/officeDocument/2006/relationships/hyperlink" Target="http://pokemondb.net/pokedex/archeops" TargetMode="External"/><Relationship Id="rId1681" Type="http://schemas.openxmlformats.org/officeDocument/2006/relationships/hyperlink" Target="http://pokemondb.net/type/dragon" TargetMode="External"/><Relationship Id="rId704" Type="http://schemas.openxmlformats.org/officeDocument/2006/relationships/hyperlink" Target="http://pokemondb.net/pokedex/seedot" TargetMode="External"/><Relationship Id="rId911" Type="http://schemas.openxmlformats.org/officeDocument/2006/relationships/hyperlink" Target="http://pokemondb.net/type/water" TargetMode="External"/><Relationship Id="rId1127" Type="http://schemas.openxmlformats.org/officeDocument/2006/relationships/hyperlink" Target="http://pokemondb.net/type/dark" TargetMode="External"/><Relationship Id="rId1334" Type="http://schemas.openxmlformats.org/officeDocument/2006/relationships/hyperlink" Target="http://pokemondb.net/pokedex/pansage" TargetMode="External"/><Relationship Id="rId1541" Type="http://schemas.openxmlformats.org/officeDocument/2006/relationships/hyperlink" Target="http://pokemondb.net/pokedex/joltik" TargetMode="External"/><Relationship Id="rId1779" Type="http://schemas.openxmlformats.org/officeDocument/2006/relationships/hyperlink" Target="http://pokemondb.net/pokedex/aegislash" TargetMode="External"/><Relationship Id="rId40" Type="http://schemas.openxmlformats.org/officeDocument/2006/relationships/hyperlink" Target="http://pokemondb.net/pokedex/kakuna" TargetMode="External"/><Relationship Id="rId1401" Type="http://schemas.openxmlformats.org/officeDocument/2006/relationships/hyperlink" Target="http://pokemondb.net/type/bug" TargetMode="External"/><Relationship Id="rId1639" Type="http://schemas.openxmlformats.org/officeDocument/2006/relationships/hyperlink" Target="http://pokemondb.net/type/dragon" TargetMode="External"/><Relationship Id="rId1846" Type="http://schemas.openxmlformats.org/officeDocument/2006/relationships/hyperlink" Target="http://pokemondb.net/pokedex/sliggoo" TargetMode="External"/><Relationship Id="rId1706" Type="http://schemas.openxmlformats.org/officeDocument/2006/relationships/hyperlink" Target="http://pokemondb.net/pokedex/quilladin" TargetMode="External"/><Relationship Id="rId1913" Type="http://schemas.openxmlformats.org/officeDocument/2006/relationships/hyperlink" Target="http://pokemondb.net/pokedex/keldeo" TargetMode="External"/><Relationship Id="rId287" Type="http://schemas.openxmlformats.org/officeDocument/2006/relationships/hyperlink" Target="http://pokemondb.net/pokedex/chansey" TargetMode="External"/><Relationship Id="rId494" Type="http://schemas.openxmlformats.org/officeDocument/2006/relationships/hyperlink" Target="http://pokemondb.net/type/bug" TargetMode="External"/><Relationship Id="rId147" Type="http://schemas.openxmlformats.org/officeDocument/2006/relationships/hyperlink" Target="http://pokemondb.net/type/fighting" TargetMode="External"/><Relationship Id="rId354" Type="http://schemas.openxmlformats.org/officeDocument/2006/relationships/hyperlink" Target="http://pokemondb.net/type/water" TargetMode="External"/><Relationship Id="rId799" Type="http://schemas.openxmlformats.org/officeDocument/2006/relationships/hyperlink" Target="http://pokemondb.net/type/fighting" TargetMode="External"/><Relationship Id="rId1191" Type="http://schemas.openxmlformats.org/officeDocument/2006/relationships/hyperlink" Target="http://pokemondb.net/type/flying" TargetMode="External"/><Relationship Id="rId561" Type="http://schemas.openxmlformats.org/officeDocument/2006/relationships/hyperlink" Target="http://pokemondb.net/pokedex/slugma" TargetMode="External"/><Relationship Id="rId659" Type="http://schemas.openxmlformats.org/officeDocument/2006/relationships/hyperlink" Target="http://pokemondb.net/pokedex/combusken" TargetMode="External"/><Relationship Id="rId866" Type="http://schemas.openxmlformats.org/officeDocument/2006/relationships/hyperlink" Target="http://pokemondb.net/pokedex/altaria" TargetMode="External"/><Relationship Id="rId1289" Type="http://schemas.openxmlformats.org/officeDocument/2006/relationships/hyperlink" Target="http://pokemondb.net/type/dark" TargetMode="External"/><Relationship Id="rId1496" Type="http://schemas.openxmlformats.org/officeDocument/2006/relationships/hyperlink" Target="http://pokemondb.net/type/psychic" TargetMode="External"/><Relationship Id="rId214" Type="http://schemas.openxmlformats.org/officeDocument/2006/relationships/hyperlink" Target="http://pokemondb.net/type/flying" TargetMode="External"/><Relationship Id="rId421" Type="http://schemas.openxmlformats.org/officeDocument/2006/relationships/hyperlink" Target="http://pokemondb.net/type/flying" TargetMode="External"/><Relationship Id="rId519" Type="http://schemas.openxmlformats.org/officeDocument/2006/relationships/hyperlink" Target="http://pokemondb.net/type/normal" TargetMode="External"/><Relationship Id="rId1051" Type="http://schemas.openxmlformats.org/officeDocument/2006/relationships/hyperlink" Target="http://pokemondb.net/pokedex/budew" TargetMode="External"/><Relationship Id="rId1149" Type="http://schemas.openxmlformats.org/officeDocument/2006/relationships/hyperlink" Target="http://pokemondb.net/type/ground" TargetMode="External"/><Relationship Id="rId1356" Type="http://schemas.openxmlformats.org/officeDocument/2006/relationships/hyperlink" Target="http://pokemondb.net/pokedex/unfezant" TargetMode="External"/><Relationship Id="rId726" Type="http://schemas.openxmlformats.org/officeDocument/2006/relationships/hyperlink" Target="http://pokemondb.net/type/fairy" TargetMode="External"/><Relationship Id="rId933" Type="http://schemas.openxmlformats.org/officeDocument/2006/relationships/hyperlink" Target="http://pokemondb.net/pokedex/wynaut" TargetMode="External"/><Relationship Id="rId1009" Type="http://schemas.openxmlformats.org/officeDocument/2006/relationships/hyperlink" Target="http://pokemondb.net/pokedex/torterra" TargetMode="External"/><Relationship Id="rId1563" Type="http://schemas.openxmlformats.org/officeDocument/2006/relationships/hyperlink" Target="http://pokemondb.net/pokedex/eelektross" TargetMode="External"/><Relationship Id="rId1770" Type="http://schemas.openxmlformats.org/officeDocument/2006/relationships/hyperlink" Target="http://pokemondb.net/type/psychic" TargetMode="External"/><Relationship Id="rId1868" Type="http://schemas.openxmlformats.org/officeDocument/2006/relationships/hyperlink" Target="http://pokemondb.net/pokedex/pumpkaboo" TargetMode="External"/><Relationship Id="rId62" Type="http://schemas.openxmlformats.org/officeDocument/2006/relationships/hyperlink" Target="http://pokemondb.net/pokedex/fearow" TargetMode="External"/><Relationship Id="rId1216" Type="http://schemas.openxmlformats.org/officeDocument/2006/relationships/hyperlink" Target="http://pokemondb.net/type/fire" TargetMode="External"/><Relationship Id="rId1423" Type="http://schemas.openxmlformats.org/officeDocument/2006/relationships/hyperlink" Target="http://pokemondb.net/type/grass" TargetMode="External"/><Relationship Id="rId1630" Type="http://schemas.openxmlformats.org/officeDocument/2006/relationships/hyperlink" Target="http://pokemondb.net/type/fire" TargetMode="External"/><Relationship Id="rId1728" Type="http://schemas.openxmlformats.org/officeDocument/2006/relationships/hyperlink" Target="http://pokemondb.net/type/normal" TargetMode="External"/><Relationship Id="rId169" Type="http://schemas.openxmlformats.org/officeDocument/2006/relationships/hyperlink" Target="http://pokemondb.net/type/fighting" TargetMode="External"/><Relationship Id="rId376" Type="http://schemas.openxmlformats.org/officeDocument/2006/relationships/hyperlink" Target="http://pokemondb.net/type/flying" TargetMode="External"/><Relationship Id="rId583" Type="http://schemas.openxmlformats.org/officeDocument/2006/relationships/hyperlink" Target="http://pokemondb.net/type/water" TargetMode="External"/><Relationship Id="rId790" Type="http://schemas.openxmlformats.org/officeDocument/2006/relationships/hyperlink" Target="http://pokemondb.net/type/rock" TargetMode="External"/><Relationship Id="rId4" Type="http://schemas.openxmlformats.org/officeDocument/2006/relationships/hyperlink" Target="http://pokemondb.net/pokedex/ivysaur" TargetMode="External"/><Relationship Id="rId236" Type="http://schemas.openxmlformats.org/officeDocument/2006/relationships/hyperlink" Target="http://pokemondb.net/type/ghost" TargetMode="External"/><Relationship Id="rId443" Type="http://schemas.openxmlformats.org/officeDocument/2006/relationships/hyperlink" Target="http://pokemondb.net/type/fairy" TargetMode="External"/><Relationship Id="rId650" Type="http://schemas.openxmlformats.org/officeDocument/2006/relationships/hyperlink" Target="http://pokemondb.net/type/grass" TargetMode="External"/><Relationship Id="rId888" Type="http://schemas.openxmlformats.org/officeDocument/2006/relationships/hyperlink" Target="http://pokemondb.net/type/water" TargetMode="External"/><Relationship Id="rId1073" Type="http://schemas.openxmlformats.org/officeDocument/2006/relationships/hyperlink" Target="http://pokemondb.net/pokedex/wormadam" TargetMode="External"/><Relationship Id="rId1280" Type="http://schemas.openxmlformats.org/officeDocument/2006/relationships/hyperlink" Target="http://pokemondb.net/type/ghost" TargetMode="External"/><Relationship Id="rId303" Type="http://schemas.openxmlformats.org/officeDocument/2006/relationships/hyperlink" Target="http://pokemondb.net/pokedex/staryu" TargetMode="External"/><Relationship Id="rId748" Type="http://schemas.openxmlformats.org/officeDocument/2006/relationships/hyperlink" Target="http://pokemondb.net/pokedex/vigoroth" TargetMode="External"/><Relationship Id="rId955" Type="http://schemas.openxmlformats.org/officeDocument/2006/relationships/hyperlink" Target="http://pokemondb.net/type/water" TargetMode="External"/><Relationship Id="rId1140" Type="http://schemas.openxmlformats.org/officeDocument/2006/relationships/hyperlink" Target="http://pokemondb.net/type/normal" TargetMode="External"/><Relationship Id="rId1378" Type="http://schemas.openxmlformats.org/officeDocument/2006/relationships/hyperlink" Target="http://pokemondb.net/type/ground" TargetMode="External"/><Relationship Id="rId1585" Type="http://schemas.openxmlformats.org/officeDocument/2006/relationships/hyperlink" Target="http://pokemondb.net/type/ice" TargetMode="External"/><Relationship Id="rId1792" Type="http://schemas.openxmlformats.org/officeDocument/2006/relationships/hyperlink" Target="http://pokemondb.net/type/fairy" TargetMode="External"/><Relationship Id="rId84" Type="http://schemas.openxmlformats.org/officeDocument/2006/relationships/hyperlink" Target="http://pokemondb.net/pokedex/nidoran-m" TargetMode="External"/><Relationship Id="rId510" Type="http://schemas.openxmlformats.org/officeDocument/2006/relationships/hyperlink" Target="http://pokemondb.net/type/water" TargetMode="External"/><Relationship Id="rId608" Type="http://schemas.openxmlformats.org/officeDocument/2006/relationships/hyperlink" Target="http://pokemondb.net/pokedex/smeargle" TargetMode="External"/><Relationship Id="rId815" Type="http://schemas.openxmlformats.org/officeDocument/2006/relationships/hyperlink" Target="http://pokemondb.net/pokedex/volbeat" TargetMode="External"/><Relationship Id="rId1238" Type="http://schemas.openxmlformats.org/officeDocument/2006/relationships/hyperlink" Target="http://pokemondb.net/pokedex/probopass" TargetMode="External"/><Relationship Id="rId1445" Type="http://schemas.openxmlformats.org/officeDocument/2006/relationships/hyperlink" Target="http://pokemondb.net/type/grass" TargetMode="External"/><Relationship Id="rId1652" Type="http://schemas.openxmlformats.org/officeDocument/2006/relationships/hyperlink" Target="http://pokemondb.net/pokedex/terrakion" TargetMode="External"/><Relationship Id="rId1000" Type="http://schemas.openxmlformats.org/officeDocument/2006/relationships/hyperlink" Target="http://pokemondb.net/type/psychic" TargetMode="External"/><Relationship Id="rId1305" Type="http://schemas.openxmlformats.org/officeDocument/2006/relationships/hyperlink" Target="http://pokemondb.net/type/grass" TargetMode="External"/><Relationship Id="rId1512" Type="http://schemas.openxmlformats.org/officeDocument/2006/relationships/hyperlink" Target="http://pokemondb.net/type/ice" TargetMode="External"/><Relationship Id="rId1817" Type="http://schemas.openxmlformats.org/officeDocument/2006/relationships/hyperlink" Target="http://pokemondb.net/type/normal" TargetMode="External"/><Relationship Id="rId11" Type="http://schemas.openxmlformats.org/officeDocument/2006/relationships/hyperlink" Target="http://pokemondb.net/type/poison" TargetMode="External"/><Relationship Id="rId398" Type="http://schemas.openxmlformats.org/officeDocument/2006/relationships/hyperlink" Target="http://pokemondb.net/type/fire" TargetMode="External"/><Relationship Id="rId160" Type="http://schemas.openxmlformats.org/officeDocument/2006/relationships/hyperlink" Target="http://pokemondb.net/type/psychic" TargetMode="External"/><Relationship Id="rId258" Type="http://schemas.openxmlformats.org/officeDocument/2006/relationships/hyperlink" Target="http://pokemondb.net/type/electric" TargetMode="External"/><Relationship Id="rId465" Type="http://schemas.openxmlformats.org/officeDocument/2006/relationships/hyperlink" Target="http://pokemondb.net/type/dragon" TargetMode="External"/><Relationship Id="rId672" Type="http://schemas.openxmlformats.org/officeDocument/2006/relationships/hyperlink" Target="http://pokemondb.net/pokedex/swampert" TargetMode="External"/><Relationship Id="rId1095" Type="http://schemas.openxmlformats.org/officeDocument/2006/relationships/hyperlink" Target="http://pokemondb.net/type/water" TargetMode="External"/><Relationship Id="rId118" Type="http://schemas.openxmlformats.org/officeDocument/2006/relationships/hyperlink" Target="http://pokemondb.net/type/grass" TargetMode="External"/><Relationship Id="rId325" Type="http://schemas.openxmlformats.org/officeDocument/2006/relationships/hyperlink" Target="http://pokemondb.net/pokedex/tauros" TargetMode="External"/><Relationship Id="rId532" Type="http://schemas.openxmlformats.org/officeDocument/2006/relationships/hyperlink" Target="http://pokemondb.net/type/steel" TargetMode="External"/><Relationship Id="rId977" Type="http://schemas.openxmlformats.org/officeDocument/2006/relationships/hyperlink" Target="http://pokemondb.net/pokedex/regice" TargetMode="External"/><Relationship Id="rId1162" Type="http://schemas.openxmlformats.org/officeDocument/2006/relationships/hyperlink" Target="http://pokemondb.net/pokedex/lucario" TargetMode="External"/><Relationship Id="rId837" Type="http://schemas.openxmlformats.org/officeDocument/2006/relationships/hyperlink" Target="http://pokemondb.net/type/fire" TargetMode="External"/><Relationship Id="rId1022" Type="http://schemas.openxmlformats.org/officeDocument/2006/relationships/hyperlink" Target="http://pokemondb.net/pokedex/prinplup" TargetMode="External"/><Relationship Id="rId1467" Type="http://schemas.openxmlformats.org/officeDocument/2006/relationships/hyperlink" Target="http://pokemondb.net/type/rock" TargetMode="External"/><Relationship Id="rId1674" Type="http://schemas.openxmlformats.org/officeDocument/2006/relationships/hyperlink" Target="http://pokemondb.net/pokedex/landorus" TargetMode="External"/><Relationship Id="rId1881" Type="http://schemas.openxmlformats.org/officeDocument/2006/relationships/hyperlink" Target="http://pokemondb.net/type/ghost" TargetMode="External"/><Relationship Id="rId904" Type="http://schemas.openxmlformats.org/officeDocument/2006/relationships/hyperlink" Target="http://pokemondb.net/type/bug" TargetMode="External"/><Relationship Id="rId1327" Type="http://schemas.openxmlformats.org/officeDocument/2006/relationships/hyperlink" Target="http://pokemondb.net/type/normal" TargetMode="External"/><Relationship Id="rId1534" Type="http://schemas.openxmlformats.org/officeDocument/2006/relationships/hyperlink" Target="http://pokemondb.net/type/water" TargetMode="External"/><Relationship Id="rId1741" Type="http://schemas.openxmlformats.org/officeDocument/2006/relationships/hyperlink" Target="http://pokemondb.net/pokedex/spewpa" TargetMode="External"/><Relationship Id="rId33" Type="http://schemas.openxmlformats.org/officeDocument/2006/relationships/hyperlink" Target="http://pokemondb.net/type/bug" TargetMode="External"/><Relationship Id="rId1601" Type="http://schemas.openxmlformats.org/officeDocument/2006/relationships/hyperlink" Target="http://pokemondb.net/pokedex/druddigon" TargetMode="External"/><Relationship Id="rId1839" Type="http://schemas.openxmlformats.org/officeDocument/2006/relationships/hyperlink" Target="http://pokemondb.net/type/electric" TargetMode="External"/><Relationship Id="rId182" Type="http://schemas.openxmlformats.org/officeDocument/2006/relationships/hyperlink" Target="http://pokemondb.net/type/water" TargetMode="External"/><Relationship Id="rId1906" Type="http://schemas.openxmlformats.org/officeDocument/2006/relationships/hyperlink" Target="http://pokemondb.net/pokedex/thundurus" TargetMode="External"/><Relationship Id="rId487" Type="http://schemas.openxmlformats.org/officeDocument/2006/relationships/hyperlink" Target="http://pokemondb.net/pokedex/aipom" TargetMode="External"/><Relationship Id="rId694" Type="http://schemas.openxmlformats.org/officeDocument/2006/relationships/hyperlink" Target="http://pokemondb.net/type/poison" TargetMode="External"/><Relationship Id="rId347" Type="http://schemas.openxmlformats.org/officeDocument/2006/relationships/hyperlink" Target="http://pokemondb.net/pokedex/porygon" TargetMode="External"/><Relationship Id="rId999" Type="http://schemas.openxmlformats.org/officeDocument/2006/relationships/hyperlink" Target="http://pokemondb.net/pokedex/deoxys" TargetMode="External"/><Relationship Id="rId1184" Type="http://schemas.openxmlformats.org/officeDocument/2006/relationships/hyperlink" Target="http://pokemondb.net/type/grass" TargetMode="External"/><Relationship Id="rId554" Type="http://schemas.openxmlformats.org/officeDocument/2006/relationships/hyperlink" Target="http://pokemondb.net/pokedex/sneasel" TargetMode="External"/><Relationship Id="rId761" Type="http://schemas.openxmlformats.org/officeDocument/2006/relationships/hyperlink" Target="http://pokemondb.net/pokedex/whismur" TargetMode="External"/><Relationship Id="rId859" Type="http://schemas.openxmlformats.org/officeDocument/2006/relationships/hyperlink" Target="http://pokemondb.net/type/grass" TargetMode="External"/><Relationship Id="rId1391" Type="http://schemas.openxmlformats.org/officeDocument/2006/relationships/hyperlink" Target="http://pokemondb.net/type/water" TargetMode="External"/><Relationship Id="rId1489" Type="http://schemas.openxmlformats.org/officeDocument/2006/relationships/hyperlink" Target="http://pokemondb.net/pokedex/gothita" TargetMode="External"/><Relationship Id="rId1696" Type="http://schemas.openxmlformats.org/officeDocument/2006/relationships/hyperlink" Target="http://pokemondb.net/type/normal" TargetMode="External"/><Relationship Id="rId207" Type="http://schemas.openxmlformats.org/officeDocument/2006/relationships/hyperlink" Target="http://pokemondb.net/type/electric" TargetMode="External"/><Relationship Id="rId414" Type="http://schemas.openxmlformats.org/officeDocument/2006/relationships/hyperlink" Target="http://pokemondb.net/type/normal" TargetMode="External"/><Relationship Id="rId621" Type="http://schemas.openxmlformats.org/officeDocument/2006/relationships/hyperlink" Target="http://pokemondb.net/pokedex/miltank" TargetMode="External"/><Relationship Id="rId1044" Type="http://schemas.openxmlformats.org/officeDocument/2006/relationships/hyperlink" Target="http://pokemondb.net/type/bug" TargetMode="External"/><Relationship Id="rId1251" Type="http://schemas.openxmlformats.org/officeDocument/2006/relationships/hyperlink" Target="http://pokemondb.net/type/electric" TargetMode="External"/><Relationship Id="rId1349" Type="http://schemas.openxmlformats.org/officeDocument/2006/relationships/hyperlink" Target="http://pokemondb.net/type/psychic" TargetMode="External"/><Relationship Id="rId719" Type="http://schemas.openxmlformats.org/officeDocument/2006/relationships/hyperlink" Target="http://pokemondb.net/type/water" TargetMode="External"/><Relationship Id="rId926" Type="http://schemas.openxmlformats.org/officeDocument/2006/relationships/hyperlink" Target="http://pokemondb.net/type/grass" TargetMode="External"/><Relationship Id="rId1111" Type="http://schemas.openxmlformats.org/officeDocument/2006/relationships/hyperlink" Target="http://pokemondb.net/pokedex/mismagius" TargetMode="External"/><Relationship Id="rId1556" Type="http://schemas.openxmlformats.org/officeDocument/2006/relationships/hyperlink" Target="http://pokemondb.net/type/steel" TargetMode="External"/><Relationship Id="rId1763" Type="http://schemas.openxmlformats.org/officeDocument/2006/relationships/hyperlink" Target="http://pokemondb.net/type/fighting" TargetMode="External"/><Relationship Id="rId55" Type="http://schemas.openxmlformats.org/officeDocument/2006/relationships/hyperlink" Target="http://pokemondb.net/pokedex/rattata" TargetMode="External"/><Relationship Id="rId1209" Type="http://schemas.openxmlformats.org/officeDocument/2006/relationships/hyperlink" Target="http://pokemondb.net/type/ground" TargetMode="External"/><Relationship Id="rId1416" Type="http://schemas.openxmlformats.org/officeDocument/2006/relationships/hyperlink" Target="http://pokemondb.net/type/bug" TargetMode="External"/><Relationship Id="rId1623" Type="http://schemas.openxmlformats.org/officeDocument/2006/relationships/hyperlink" Target="http://pokemondb.net/pokedex/vullaby" TargetMode="External"/><Relationship Id="rId1830" Type="http://schemas.openxmlformats.org/officeDocument/2006/relationships/hyperlink" Target="http://pokemondb.net/pokedex/aurorus" TargetMode="External"/><Relationship Id="rId1928" Type="http://schemas.openxmlformats.org/officeDocument/2006/relationships/hyperlink" Target="http://pokemondb.net/pokedex/shaymin" TargetMode="External"/><Relationship Id="rId271" Type="http://schemas.openxmlformats.org/officeDocument/2006/relationships/hyperlink" Target="http://pokemondb.net/pokedex/hitmonlee" TargetMode="External"/><Relationship Id="rId131" Type="http://schemas.openxmlformats.org/officeDocument/2006/relationships/hyperlink" Target="http://pokemondb.net/type/poison" TargetMode="External"/><Relationship Id="rId369" Type="http://schemas.openxmlformats.org/officeDocument/2006/relationships/hyperlink" Target="http://pokemondb.net/type/ice" TargetMode="External"/><Relationship Id="rId576" Type="http://schemas.openxmlformats.org/officeDocument/2006/relationships/hyperlink" Target="http://pokemondb.net/type/water" TargetMode="External"/><Relationship Id="rId783" Type="http://schemas.openxmlformats.org/officeDocument/2006/relationships/hyperlink" Target="http://pokemondb.net/pokedex/mawile" TargetMode="External"/><Relationship Id="rId990" Type="http://schemas.openxmlformats.org/officeDocument/2006/relationships/hyperlink" Target="http://pokemondb.net/type/ground" TargetMode="External"/><Relationship Id="rId229" Type="http://schemas.openxmlformats.org/officeDocument/2006/relationships/hyperlink" Target="http://pokemondb.net/type/poison" TargetMode="External"/><Relationship Id="rId436" Type="http://schemas.openxmlformats.org/officeDocument/2006/relationships/hyperlink" Target="http://pokemondb.net/type/electric" TargetMode="External"/><Relationship Id="rId643" Type="http://schemas.openxmlformats.org/officeDocument/2006/relationships/hyperlink" Target="http://pokemondb.net/type/psychic" TargetMode="External"/><Relationship Id="rId1066" Type="http://schemas.openxmlformats.org/officeDocument/2006/relationships/hyperlink" Target="http://pokemondb.net/type/steel" TargetMode="External"/><Relationship Id="rId1273" Type="http://schemas.openxmlformats.org/officeDocument/2006/relationships/hyperlink" Target="http://pokemondb.net/type/steel" TargetMode="External"/><Relationship Id="rId1480" Type="http://schemas.openxmlformats.org/officeDocument/2006/relationships/hyperlink" Target="http://pokemondb.net/type/poison" TargetMode="External"/><Relationship Id="rId850" Type="http://schemas.openxmlformats.org/officeDocument/2006/relationships/hyperlink" Target="http://pokemondb.net/pokedex/trapinch" TargetMode="External"/><Relationship Id="rId948" Type="http://schemas.openxmlformats.org/officeDocument/2006/relationships/hyperlink" Target="http://pokemondb.net/pokedex/clamperl" TargetMode="External"/><Relationship Id="rId1133" Type="http://schemas.openxmlformats.org/officeDocument/2006/relationships/hyperlink" Target="http://pokemondb.net/type/psychic" TargetMode="External"/><Relationship Id="rId1578" Type="http://schemas.openxmlformats.org/officeDocument/2006/relationships/hyperlink" Target="http://pokemondb.net/pokedex/axew" TargetMode="External"/><Relationship Id="rId1785" Type="http://schemas.openxmlformats.org/officeDocument/2006/relationships/hyperlink" Target="http://pokemondb.net/pokedex/spritzee" TargetMode="External"/><Relationship Id="rId77" Type="http://schemas.openxmlformats.org/officeDocument/2006/relationships/hyperlink" Target="http://pokemondb.net/pokedex/nidoran-f" TargetMode="External"/><Relationship Id="rId503" Type="http://schemas.openxmlformats.org/officeDocument/2006/relationships/hyperlink" Target="http://pokemondb.net/type/psychic" TargetMode="External"/><Relationship Id="rId710" Type="http://schemas.openxmlformats.org/officeDocument/2006/relationships/hyperlink" Target="http://pokemondb.net/type/grass" TargetMode="External"/><Relationship Id="rId808" Type="http://schemas.openxmlformats.org/officeDocument/2006/relationships/hyperlink" Target="http://pokemondb.net/pokedex/manectric" TargetMode="External"/><Relationship Id="rId1340" Type="http://schemas.openxmlformats.org/officeDocument/2006/relationships/hyperlink" Target="http://pokemondb.net/pokedex/simisear" TargetMode="External"/><Relationship Id="rId1438" Type="http://schemas.openxmlformats.org/officeDocument/2006/relationships/hyperlink" Target="http://pokemondb.net/type/fire" TargetMode="External"/><Relationship Id="rId1645" Type="http://schemas.openxmlformats.org/officeDocument/2006/relationships/hyperlink" Target="http://pokemondb.net/type/fire" TargetMode="External"/><Relationship Id="rId1200" Type="http://schemas.openxmlformats.org/officeDocument/2006/relationships/hyperlink" Target="http://pokemondb.net/pokedex/weavile" TargetMode="External"/><Relationship Id="rId1852" Type="http://schemas.openxmlformats.org/officeDocument/2006/relationships/hyperlink" Target="http://pokemondb.net/type/fairy" TargetMode="External"/><Relationship Id="rId1505" Type="http://schemas.openxmlformats.org/officeDocument/2006/relationships/hyperlink" Target="http://pokemondb.net/type/water" TargetMode="External"/><Relationship Id="rId1712" Type="http://schemas.openxmlformats.org/officeDocument/2006/relationships/hyperlink" Target="http://pokemondb.net/type/fire" TargetMode="External"/><Relationship Id="rId293" Type="http://schemas.openxmlformats.org/officeDocument/2006/relationships/hyperlink" Target="http://pokemondb.net/pokedex/kangaskhan" TargetMode="External"/><Relationship Id="rId153" Type="http://schemas.openxmlformats.org/officeDocument/2006/relationships/hyperlink" Target="http://pokemondb.net/type/water" TargetMode="External"/><Relationship Id="rId360" Type="http://schemas.openxmlformats.org/officeDocument/2006/relationships/hyperlink" Target="http://pokemondb.net/type/water" TargetMode="External"/><Relationship Id="rId598" Type="http://schemas.openxmlformats.org/officeDocument/2006/relationships/hyperlink" Target="http://pokemondb.net/type/water" TargetMode="External"/><Relationship Id="rId220" Type="http://schemas.openxmlformats.org/officeDocument/2006/relationships/hyperlink" Target="http://pokemondb.net/type/flying" TargetMode="External"/><Relationship Id="rId458" Type="http://schemas.openxmlformats.org/officeDocument/2006/relationships/hyperlink" Target="http://pokemondb.net/pokedex/mareep" TargetMode="External"/><Relationship Id="rId665" Type="http://schemas.openxmlformats.org/officeDocument/2006/relationships/hyperlink" Target="http://pokemondb.net/type/fire" TargetMode="External"/><Relationship Id="rId872" Type="http://schemas.openxmlformats.org/officeDocument/2006/relationships/hyperlink" Target="http://pokemondb.net/type/poison" TargetMode="External"/><Relationship Id="rId1088" Type="http://schemas.openxmlformats.org/officeDocument/2006/relationships/hyperlink" Target="http://pokemondb.net/pokedex/floatzel" TargetMode="External"/><Relationship Id="rId1295" Type="http://schemas.openxmlformats.org/officeDocument/2006/relationships/hyperlink" Target="http://pokemondb.net/pokedex/arceus" TargetMode="External"/><Relationship Id="rId318" Type="http://schemas.openxmlformats.org/officeDocument/2006/relationships/hyperlink" Target="http://pokemondb.net/type/electric" TargetMode="External"/><Relationship Id="rId525" Type="http://schemas.openxmlformats.org/officeDocument/2006/relationships/hyperlink" Target="http://pokemondb.net/type/steel" TargetMode="External"/><Relationship Id="rId732" Type="http://schemas.openxmlformats.org/officeDocument/2006/relationships/hyperlink" Target="http://pokemondb.net/type/fairy" TargetMode="External"/><Relationship Id="rId1155" Type="http://schemas.openxmlformats.org/officeDocument/2006/relationships/hyperlink" Target="http://pokemondb.net/type/ground" TargetMode="External"/><Relationship Id="rId1362" Type="http://schemas.openxmlformats.org/officeDocument/2006/relationships/hyperlink" Target="http://pokemondb.net/type/electric" TargetMode="External"/><Relationship Id="rId99" Type="http://schemas.openxmlformats.org/officeDocument/2006/relationships/hyperlink" Target="http://pokemondb.net/pokedex/jigglypuff" TargetMode="External"/><Relationship Id="rId1015" Type="http://schemas.openxmlformats.org/officeDocument/2006/relationships/hyperlink" Target="http://pokemondb.net/type/fire" TargetMode="External"/><Relationship Id="rId1222" Type="http://schemas.openxmlformats.org/officeDocument/2006/relationships/hyperlink" Target="http://pokemondb.net/type/flying" TargetMode="External"/><Relationship Id="rId1667" Type="http://schemas.openxmlformats.org/officeDocument/2006/relationships/hyperlink" Target="http://pokemondb.net/type/flying" TargetMode="External"/><Relationship Id="rId1874" Type="http://schemas.openxmlformats.org/officeDocument/2006/relationships/hyperlink" Target="http://pokemondb.net/pokedex/gourgeist" TargetMode="External"/><Relationship Id="rId1527" Type="http://schemas.openxmlformats.org/officeDocument/2006/relationships/hyperlink" Target="http://pokemondb.net/pokedex/foongus" TargetMode="External"/><Relationship Id="rId1734" Type="http://schemas.openxmlformats.org/officeDocument/2006/relationships/hyperlink" Target="http://pokemondb.net/type/fire" TargetMode="External"/><Relationship Id="rId26" Type="http://schemas.openxmlformats.org/officeDocument/2006/relationships/hyperlink" Target="http://pokemondb.net/type/water" TargetMode="External"/><Relationship Id="rId175" Type="http://schemas.openxmlformats.org/officeDocument/2006/relationships/hyperlink" Target="http://pokemondb.net/pokedex/weepinbell" TargetMode="External"/><Relationship Id="rId1801" Type="http://schemas.openxmlformats.org/officeDocument/2006/relationships/hyperlink" Target="http://pokemondb.net/type/water" TargetMode="External"/><Relationship Id="rId382" Type="http://schemas.openxmlformats.org/officeDocument/2006/relationships/hyperlink" Target="http://pokemondb.net/type/dragon" TargetMode="External"/><Relationship Id="rId687" Type="http://schemas.openxmlformats.org/officeDocument/2006/relationships/hyperlink" Target="http://pokemondb.net/pokedex/beautifly" TargetMode="External"/><Relationship Id="rId242" Type="http://schemas.openxmlformats.org/officeDocument/2006/relationships/hyperlink" Target="http://pokemondb.net/type/ghost" TargetMode="External"/><Relationship Id="rId894" Type="http://schemas.openxmlformats.org/officeDocument/2006/relationships/hyperlink" Target="http://pokemondb.net/type/ground" TargetMode="External"/><Relationship Id="rId1177" Type="http://schemas.openxmlformats.org/officeDocument/2006/relationships/hyperlink" Target="http://pokemondb.net/pokedex/croagunk" TargetMode="External"/><Relationship Id="rId1300" Type="http://schemas.openxmlformats.org/officeDocument/2006/relationships/hyperlink" Target="http://pokemondb.net/pokedex/snivy" TargetMode="External"/><Relationship Id="rId1745" Type="http://schemas.openxmlformats.org/officeDocument/2006/relationships/hyperlink" Target="http://pokemondb.net/type/flying" TargetMode="External"/><Relationship Id="rId37" Type="http://schemas.openxmlformats.org/officeDocument/2006/relationships/hyperlink" Target="http://pokemondb.net/pokedex/weedle" TargetMode="External"/><Relationship Id="rId102" Type="http://schemas.openxmlformats.org/officeDocument/2006/relationships/hyperlink" Target="http://pokemondb.net/pokedex/wigglytuff" TargetMode="External"/><Relationship Id="rId547" Type="http://schemas.openxmlformats.org/officeDocument/2006/relationships/hyperlink" Target="http://pokemondb.net/type/bug" TargetMode="External"/><Relationship Id="rId754" Type="http://schemas.openxmlformats.org/officeDocument/2006/relationships/hyperlink" Target="http://pokemondb.net/type/ground" TargetMode="External"/><Relationship Id="rId961" Type="http://schemas.openxmlformats.org/officeDocument/2006/relationships/hyperlink" Target="http://pokemondb.net/pokedex/shelgon" TargetMode="External"/><Relationship Id="rId1384" Type="http://schemas.openxmlformats.org/officeDocument/2006/relationships/hyperlink" Target="http://pokemondb.net/pokedex/gurdurr" TargetMode="External"/><Relationship Id="rId1591" Type="http://schemas.openxmlformats.org/officeDocument/2006/relationships/hyperlink" Target="http://pokemondb.net/type/bug" TargetMode="External"/><Relationship Id="rId1605" Type="http://schemas.openxmlformats.org/officeDocument/2006/relationships/hyperlink" Target="http://pokemondb.net/type/ghost" TargetMode="External"/><Relationship Id="rId1689" Type="http://schemas.openxmlformats.org/officeDocument/2006/relationships/hyperlink" Target="http://pokemondb.net/pokedex/keldeo" TargetMode="External"/><Relationship Id="rId1812" Type="http://schemas.openxmlformats.org/officeDocument/2006/relationships/hyperlink" Target="http://pokemondb.net/type/water" TargetMode="External"/><Relationship Id="rId90" Type="http://schemas.openxmlformats.org/officeDocument/2006/relationships/hyperlink" Target="http://pokemondb.net/type/ground" TargetMode="External"/><Relationship Id="rId186" Type="http://schemas.openxmlformats.org/officeDocument/2006/relationships/hyperlink" Target="http://pokemondb.net/type/poison" TargetMode="External"/><Relationship Id="rId393" Type="http://schemas.openxmlformats.org/officeDocument/2006/relationships/hyperlink" Target="http://pokemondb.net/pokedex/bayleef" TargetMode="External"/><Relationship Id="rId407" Type="http://schemas.openxmlformats.org/officeDocument/2006/relationships/hyperlink" Target="http://pokemondb.net/pokedex/feraligatr" TargetMode="External"/><Relationship Id="rId614" Type="http://schemas.openxmlformats.org/officeDocument/2006/relationships/hyperlink" Target="http://pokemondb.net/pokedex/smoochum" TargetMode="External"/><Relationship Id="rId821" Type="http://schemas.openxmlformats.org/officeDocument/2006/relationships/hyperlink" Target="http://pokemondb.net/type/poison" TargetMode="External"/><Relationship Id="rId1037" Type="http://schemas.openxmlformats.org/officeDocument/2006/relationships/hyperlink" Target="http://pokemondb.net/type/normal" TargetMode="External"/><Relationship Id="rId1244" Type="http://schemas.openxmlformats.org/officeDocument/2006/relationships/hyperlink" Target="http://pokemondb.net/type/ice" TargetMode="External"/><Relationship Id="rId1451" Type="http://schemas.openxmlformats.org/officeDocument/2006/relationships/hyperlink" Target="http://pokemondb.net/type/rock" TargetMode="External"/><Relationship Id="rId1896" Type="http://schemas.openxmlformats.org/officeDocument/2006/relationships/hyperlink" Target="http://pokemondb.net/type/dark" TargetMode="External"/><Relationship Id="rId253" Type="http://schemas.openxmlformats.org/officeDocument/2006/relationships/hyperlink" Target="http://pokemondb.net/pokedex/krabby" TargetMode="External"/><Relationship Id="rId460" Type="http://schemas.openxmlformats.org/officeDocument/2006/relationships/hyperlink" Target="http://pokemondb.net/pokedex/flaaffy" TargetMode="External"/><Relationship Id="rId698" Type="http://schemas.openxmlformats.org/officeDocument/2006/relationships/hyperlink" Target="http://pokemondb.net/pokedex/lombre" TargetMode="External"/><Relationship Id="rId919" Type="http://schemas.openxmlformats.org/officeDocument/2006/relationships/hyperlink" Target="http://pokemondb.net/type/ghost" TargetMode="External"/><Relationship Id="rId1090" Type="http://schemas.openxmlformats.org/officeDocument/2006/relationships/hyperlink" Target="http://pokemondb.net/pokedex/cherubi" TargetMode="External"/><Relationship Id="rId1104" Type="http://schemas.openxmlformats.org/officeDocument/2006/relationships/hyperlink" Target="http://pokemondb.net/pokedex/drifblim" TargetMode="External"/><Relationship Id="rId1311" Type="http://schemas.openxmlformats.org/officeDocument/2006/relationships/hyperlink" Target="http://pokemondb.net/pokedex/emboar" TargetMode="External"/><Relationship Id="rId1549" Type="http://schemas.openxmlformats.org/officeDocument/2006/relationships/hyperlink" Target="http://pokemondb.net/type/steel" TargetMode="External"/><Relationship Id="rId1756" Type="http://schemas.openxmlformats.org/officeDocument/2006/relationships/hyperlink" Target="http://pokemondb.net/pokedex/florges" TargetMode="External"/><Relationship Id="rId48" Type="http://schemas.openxmlformats.org/officeDocument/2006/relationships/hyperlink" Target="http://pokemondb.net/type/flying" TargetMode="External"/><Relationship Id="rId113" Type="http://schemas.openxmlformats.org/officeDocument/2006/relationships/hyperlink" Target="http://pokemondb.net/type/poison" TargetMode="External"/><Relationship Id="rId320" Type="http://schemas.openxmlformats.org/officeDocument/2006/relationships/hyperlink" Target="http://pokemondb.net/type/fire" TargetMode="External"/><Relationship Id="rId558" Type="http://schemas.openxmlformats.org/officeDocument/2006/relationships/hyperlink" Target="http://pokemondb.net/type/normal" TargetMode="External"/><Relationship Id="rId765" Type="http://schemas.openxmlformats.org/officeDocument/2006/relationships/hyperlink" Target="http://pokemondb.net/pokedex/exploud" TargetMode="External"/><Relationship Id="rId972" Type="http://schemas.openxmlformats.org/officeDocument/2006/relationships/hyperlink" Target="http://pokemondb.net/pokedex/metagross" TargetMode="External"/><Relationship Id="rId1188" Type="http://schemas.openxmlformats.org/officeDocument/2006/relationships/hyperlink" Target="http://pokemondb.net/type/water" TargetMode="External"/><Relationship Id="rId1395" Type="http://schemas.openxmlformats.org/officeDocument/2006/relationships/hyperlink" Target="http://pokemondb.net/type/ground" TargetMode="External"/><Relationship Id="rId1409" Type="http://schemas.openxmlformats.org/officeDocument/2006/relationships/hyperlink" Target="http://pokemondb.net/pokedex/venipede" TargetMode="External"/><Relationship Id="rId1616" Type="http://schemas.openxmlformats.org/officeDocument/2006/relationships/hyperlink" Target="http://pokemondb.net/type/normal" TargetMode="External"/><Relationship Id="rId1823" Type="http://schemas.openxmlformats.org/officeDocument/2006/relationships/hyperlink" Target="http://pokemondb.net/type/dragon" TargetMode="External"/><Relationship Id="rId197" Type="http://schemas.openxmlformats.org/officeDocument/2006/relationships/hyperlink" Target="http://pokemondb.net/type/fire" TargetMode="External"/><Relationship Id="rId418" Type="http://schemas.openxmlformats.org/officeDocument/2006/relationships/hyperlink" Target="http://pokemondb.net/type/flying" TargetMode="External"/><Relationship Id="rId625" Type="http://schemas.openxmlformats.org/officeDocument/2006/relationships/hyperlink" Target="http://pokemondb.net/pokedex/raikou" TargetMode="External"/><Relationship Id="rId832" Type="http://schemas.openxmlformats.org/officeDocument/2006/relationships/hyperlink" Target="http://pokemondb.net/pokedex/wailmer" TargetMode="External"/><Relationship Id="rId1048" Type="http://schemas.openxmlformats.org/officeDocument/2006/relationships/hyperlink" Target="http://pokemondb.net/type/electric" TargetMode="External"/><Relationship Id="rId1255" Type="http://schemas.openxmlformats.org/officeDocument/2006/relationships/hyperlink" Target="http://pokemondb.net/type/electric" TargetMode="External"/><Relationship Id="rId1462" Type="http://schemas.openxmlformats.org/officeDocument/2006/relationships/hyperlink" Target="http://pokemondb.net/type/ghost" TargetMode="External"/><Relationship Id="rId264" Type="http://schemas.openxmlformats.org/officeDocument/2006/relationships/hyperlink" Target="http://pokemondb.net/pokedex/exeggutor" TargetMode="External"/><Relationship Id="rId471" Type="http://schemas.openxmlformats.org/officeDocument/2006/relationships/hyperlink" Target="http://pokemondb.net/pokedex/azumarill" TargetMode="External"/><Relationship Id="rId1115" Type="http://schemas.openxmlformats.org/officeDocument/2006/relationships/hyperlink" Target="http://pokemondb.net/type/flying" TargetMode="External"/><Relationship Id="rId1322" Type="http://schemas.openxmlformats.org/officeDocument/2006/relationships/hyperlink" Target="http://pokemondb.net/pokedex/watchog" TargetMode="External"/><Relationship Id="rId1767" Type="http://schemas.openxmlformats.org/officeDocument/2006/relationships/hyperlink" Target="http://pokemondb.net/pokedex/furfrou" TargetMode="External"/><Relationship Id="rId59" Type="http://schemas.openxmlformats.org/officeDocument/2006/relationships/hyperlink" Target="http://pokemondb.net/pokedex/spearow" TargetMode="External"/><Relationship Id="rId124" Type="http://schemas.openxmlformats.org/officeDocument/2006/relationships/hyperlink" Target="http://pokemondb.net/type/bug" TargetMode="External"/><Relationship Id="rId569" Type="http://schemas.openxmlformats.org/officeDocument/2006/relationships/hyperlink" Target="http://pokemondb.net/pokedex/piloswine" TargetMode="External"/><Relationship Id="rId776" Type="http://schemas.openxmlformats.org/officeDocument/2006/relationships/hyperlink" Target="http://pokemondb.net/pokedex/skitty" TargetMode="External"/><Relationship Id="rId983" Type="http://schemas.openxmlformats.org/officeDocument/2006/relationships/hyperlink" Target="http://pokemondb.net/type/psychic" TargetMode="External"/><Relationship Id="rId1199" Type="http://schemas.openxmlformats.org/officeDocument/2006/relationships/hyperlink" Target="http://pokemondb.net/type/ice" TargetMode="External"/><Relationship Id="rId1627" Type="http://schemas.openxmlformats.org/officeDocument/2006/relationships/hyperlink" Target="http://pokemondb.net/type/dark" TargetMode="External"/><Relationship Id="rId1834" Type="http://schemas.openxmlformats.org/officeDocument/2006/relationships/hyperlink" Target="http://pokemondb.net/type/fairy" TargetMode="External"/><Relationship Id="rId331" Type="http://schemas.openxmlformats.org/officeDocument/2006/relationships/hyperlink" Target="http://pokemondb.net/type/flying" TargetMode="External"/><Relationship Id="rId429" Type="http://schemas.openxmlformats.org/officeDocument/2006/relationships/hyperlink" Target="http://pokemondb.net/type/bug" TargetMode="External"/><Relationship Id="rId636" Type="http://schemas.openxmlformats.org/officeDocument/2006/relationships/hyperlink" Target="http://pokemondb.net/type/ground" TargetMode="External"/><Relationship Id="rId1059" Type="http://schemas.openxmlformats.org/officeDocument/2006/relationships/hyperlink" Target="http://pokemondb.net/pokedex/rampardos" TargetMode="External"/><Relationship Id="rId1266" Type="http://schemas.openxmlformats.org/officeDocument/2006/relationships/hyperlink" Target="http://pokemondb.net/type/steel" TargetMode="External"/><Relationship Id="rId1473" Type="http://schemas.openxmlformats.org/officeDocument/2006/relationships/hyperlink" Target="http://pokemondb.net/type/flying" TargetMode="External"/><Relationship Id="rId843" Type="http://schemas.openxmlformats.org/officeDocument/2006/relationships/hyperlink" Target="http://pokemondb.net/type/fire" TargetMode="External"/><Relationship Id="rId1126" Type="http://schemas.openxmlformats.org/officeDocument/2006/relationships/hyperlink" Target="http://pokemondb.net/type/poison" TargetMode="External"/><Relationship Id="rId1680" Type="http://schemas.openxmlformats.org/officeDocument/2006/relationships/hyperlink" Target="http://pokemondb.net/pokedex/kyurem" TargetMode="External"/><Relationship Id="rId1778" Type="http://schemas.openxmlformats.org/officeDocument/2006/relationships/hyperlink" Target="http://pokemondb.net/type/ghost" TargetMode="External"/><Relationship Id="rId1901" Type="http://schemas.openxmlformats.org/officeDocument/2006/relationships/hyperlink" Target="http://pokemondb.net/pokedex/darmanitan" TargetMode="External"/><Relationship Id="rId275" Type="http://schemas.openxmlformats.org/officeDocument/2006/relationships/hyperlink" Target="http://pokemondb.net/pokedex/lickitung" TargetMode="External"/><Relationship Id="rId482" Type="http://schemas.openxmlformats.org/officeDocument/2006/relationships/hyperlink" Target="http://pokemondb.net/type/grass" TargetMode="External"/><Relationship Id="rId703" Type="http://schemas.openxmlformats.org/officeDocument/2006/relationships/hyperlink" Target="http://pokemondb.net/type/grass" TargetMode="External"/><Relationship Id="rId910" Type="http://schemas.openxmlformats.org/officeDocument/2006/relationships/hyperlink" Target="http://pokemondb.net/pokedex/milotic" TargetMode="External"/><Relationship Id="rId1333" Type="http://schemas.openxmlformats.org/officeDocument/2006/relationships/hyperlink" Target="http://pokemondb.net/type/dark" TargetMode="External"/><Relationship Id="rId1540" Type="http://schemas.openxmlformats.org/officeDocument/2006/relationships/hyperlink" Target="http://pokemondb.net/type/water" TargetMode="External"/><Relationship Id="rId1638" Type="http://schemas.openxmlformats.org/officeDocument/2006/relationships/hyperlink" Target="http://pokemondb.net/type/dark" TargetMode="External"/><Relationship Id="rId135" Type="http://schemas.openxmlformats.org/officeDocument/2006/relationships/hyperlink" Target="http://pokemondb.net/type/ground" TargetMode="External"/><Relationship Id="rId342" Type="http://schemas.openxmlformats.org/officeDocument/2006/relationships/hyperlink" Target="http://pokemondb.net/type/water" TargetMode="External"/><Relationship Id="rId787" Type="http://schemas.openxmlformats.org/officeDocument/2006/relationships/hyperlink" Target="http://pokemondb.net/type/fairy" TargetMode="External"/><Relationship Id="rId994" Type="http://schemas.openxmlformats.org/officeDocument/2006/relationships/hyperlink" Target="http://pokemondb.net/pokedex/jirachi" TargetMode="External"/><Relationship Id="rId1400" Type="http://schemas.openxmlformats.org/officeDocument/2006/relationships/hyperlink" Target="http://pokemondb.net/pokedex/sewaddle" TargetMode="External"/><Relationship Id="rId1845" Type="http://schemas.openxmlformats.org/officeDocument/2006/relationships/hyperlink" Target="http://pokemondb.net/type/dragon" TargetMode="External"/><Relationship Id="rId202" Type="http://schemas.openxmlformats.org/officeDocument/2006/relationships/hyperlink" Target="http://pokemondb.net/type/psychic" TargetMode="External"/><Relationship Id="rId647" Type="http://schemas.openxmlformats.org/officeDocument/2006/relationships/hyperlink" Target="http://pokemondb.net/type/flying" TargetMode="External"/><Relationship Id="rId854" Type="http://schemas.openxmlformats.org/officeDocument/2006/relationships/hyperlink" Target="http://pokemondb.net/type/dragon" TargetMode="External"/><Relationship Id="rId1277" Type="http://schemas.openxmlformats.org/officeDocument/2006/relationships/hyperlink" Target="http://pokemondb.net/type/ghost" TargetMode="External"/><Relationship Id="rId1484" Type="http://schemas.openxmlformats.org/officeDocument/2006/relationships/hyperlink" Target="http://pokemondb.net/type/dark" TargetMode="External"/><Relationship Id="rId1691" Type="http://schemas.openxmlformats.org/officeDocument/2006/relationships/hyperlink" Target="http://pokemondb.net/type/fighting" TargetMode="External"/><Relationship Id="rId1705" Type="http://schemas.openxmlformats.org/officeDocument/2006/relationships/hyperlink" Target="http://pokemondb.net/type/grass" TargetMode="External"/><Relationship Id="rId1912" Type="http://schemas.openxmlformats.org/officeDocument/2006/relationships/hyperlink" Target="http://pokemondb.net/pokedex/keldeo" TargetMode="External"/><Relationship Id="rId286" Type="http://schemas.openxmlformats.org/officeDocument/2006/relationships/hyperlink" Target="http://pokemondb.net/type/rock" TargetMode="External"/><Relationship Id="rId493" Type="http://schemas.openxmlformats.org/officeDocument/2006/relationships/hyperlink" Target="http://pokemondb.net/pokedex/yanma" TargetMode="External"/><Relationship Id="rId507" Type="http://schemas.openxmlformats.org/officeDocument/2006/relationships/hyperlink" Target="http://pokemondb.net/type/dark" TargetMode="External"/><Relationship Id="rId714" Type="http://schemas.openxmlformats.org/officeDocument/2006/relationships/hyperlink" Target="http://pokemondb.net/type/flying" TargetMode="External"/><Relationship Id="rId921" Type="http://schemas.openxmlformats.org/officeDocument/2006/relationships/hyperlink" Target="http://pokemondb.net/pokedex/duskull" TargetMode="External"/><Relationship Id="rId1137" Type="http://schemas.openxmlformats.org/officeDocument/2006/relationships/hyperlink" Target="http://pokemondb.net/type/psychic" TargetMode="External"/><Relationship Id="rId1344" Type="http://schemas.openxmlformats.org/officeDocument/2006/relationships/hyperlink" Target="http://pokemondb.net/pokedex/simipour" TargetMode="External"/><Relationship Id="rId1551" Type="http://schemas.openxmlformats.org/officeDocument/2006/relationships/hyperlink" Target="http://pokemondb.net/type/grass" TargetMode="External"/><Relationship Id="rId1789" Type="http://schemas.openxmlformats.org/officeDocument/2006/relationships/hyperlink" Target="http://pokemondb.net/pokedex/swirlix" TargetMode="External"/><Relationship Id="rId50" Type="http://schemas.openxmlformats.org/officeDocument/2006/relationships/hyperlink" Target="http://pokemondb.net/type/normal" TargetMode="External"/><Relationship Id="rId146" Type="http://schemas.openxmlformats.org/officeDocument/2006/relationships/hyperlink" Target="http://pokemondb.net/pokedex/primeape" TargetMode="External"/><Relationship Id="rId353" Type="http://schemas.openxmlformats.org/officeDocument/2006/relationships/hyperlink" Target="http://pokemondb.net/type/rock" TargetMode="External"/><Relationship Id="rId560" Type="http://schemas.openxmlformats.org/officeDocument/2006/relationships/hyperlink" Target="http://pokemondb.net/type/normal" TargetMode="External"/><Relationship Id="rId798" Type="http://schemas.openxmlformats.org/officeDocument/2006/relationships/hyperlink" Target="http://pokemondb.net/pokedex/meditite" TargetMode="External"/><Relationship Id="rId1190" Type="http://schemas.openxmlformats.org/officeDocument/2006/relationships/hyperlink" Target="http://pokemondb.net/type/water" TargetMode="External"/><Relationship Id="rId1204" Type="http://schemas.openxmlformats.org/officeDocument/2006/relationships/hyperlink" Target="http://pokemondb.net/type/electric" TargetMode="External"/><Relationship Id="rId1411" Type="http://schemas.openxmlformats.org/officeDocument/2006/relationships/hyperlink" Target="http://pokemondb.net/type/poison" TargetMode="External"/><Relationship Id="rId1649" Type="http://schemas.openxmlformats.org/officeDocument/2006/relationships/hyperlink" Target="http://pokemondb.net/pokedex/cobalion" TargetMode="External"/><Relationship Id="rId1856" Type="http://schemas.openxmlformats.org/officeDocument/2006/relationships/hyperlink" Target="http://pokemondb.net/pokedex/trevenant" TargetMode="External"/><Relationship Id="rId213" Type="http://schemas.openxmlformats.org/officeDocument/2006/relationships/hyperlink" Target="http://pokemondb.net/type/normal" TargetMode="External"/><Relationship Id="rId420" Type="http://schemas.openxmlformats.org/officeDocument/2006/relationships/hyperlink" Target="http://pokemondb.net/type/bug" TargetMode="External"/><Relationship Id="rId658" Type="http://schemas.openxmlformats.org/officeDocument/2006/relationships/hyperlink" Target="http://pokemondb.net/type/fire" TargetMode="External"/><Relationship Id="rId865" Type="http://schemas.openxmlformats.org/officeDocument/2006/relationships/hyperlink" Target="http://pokemondb.net/type/flying" TargetMode="External"/><Relationship Id="rId1050" Type="http://schemas.openxmlformats.org/officeDocument/2006/relationships/hyperlink" Target="http://pokemondb.net/type/electric" TargetMode="External"/><Relationship Id="rId1288" Type="http://schemas.openxmlformats.org/officeDocument/2006/relationships/hyperlink" Target="http://pokemondb.net/pokedex/darkrai" TargetMode="External"/><Relationship Id="rId1495" Type="http://schemas.openxmlformats.org/officeDocument/2006/relationships/hyperlink" Target="http://pokemondb.net/pokedex/solosis" TargetMode="External"/><Relationship Id="rId1509" Type="http://schemas.openxmlformats.org/officeDocument/2006/relationships/hyperlink" Target="http://pokemondb.net/pokedex/vanillish" TargetMode="External"/><Relationship Id="rId1716" Type="http://schemas.openxmlformats.org/officeDocument/2006/relationships/hyperlink" Target="http://pokemondb.net/type/fire" TargetMode="External"/><Relationship Id="rId1923" Type="http://schemas.openxmlformats.org/officeDocument/2006/relationships/hyperlink" Target="http://pokemondb.net/pokedex/gourgeist" TargetMode="External"/><Relationship Id="rId297" Type="http://schemas.openxmlformats.org/officeDocument/2006/relationships/hyperlink" Target="http://pokemondb.net/pokedex/seadra" TargetMode="External"/><Relationship Id="rId518" Type="http://schemas.openxmlformats.org/officeDocument/2006/relationships/hyperlink" Target="http://pokemondb.net/pokedex/girafarig" TargetMode="External"/><Relationship Id="rId725" Type="http://schemas.openxmlformats.org/officeDocument/2006/relationships/hyperlink" Target="http://pokemondb.net/type/psychic" TargetMode="External"/><Relationship Id="rId932" Type="http://schemas.openxmlformats.org/officeDocument/2006/relationships/hyperlink" Target="http://pokemondb.net/type/dark" TargetMode="External"/><Relationship Id="rId1148" Type="http://schemas.openxmlformats.org/officeDocument/2006/relationships/hyperlink" Target="http://pokemondb.net/type/dragon" TargetMode="External"/><Relationship Id="rId1355" Type="http://schemas.openxmlformats.org/officeDocument/2006/relationships/hyperlink" Target="http://pokemondb.net/type/flying" TargetMode="External"/><Relationship Id="rId1562" Type="http://schemas.openxmlformats.org/officeDocument/2006/relationships/hyperlink" Target="http://pokemondb.net/type/electric" TargetMode="External"/><Relationship Id="rId157" Type="http://schemas.openxmlformats.org/officeDocument/2006/relationships/hyperlink" Target="http://pokemondb.net/type/water" TargetMode="External"/><Relationship Id="rId364" Type="http://schemas.openxmlformats.org/officeDocument/2006/relationships/hyperlink" Target="http://pokemondb.net/type/rock" TargetMode="External"/><Relationship Id="rId1008" Type="http://schemas.openxmlformats.org/officeDocument/2006/relationships/hyperlink" Target="http://pokemondb.net/type/grass" TargetMode="External"/><Relationship Id="rId1215" Type="http://schemas.openxmlformats.org/officeDocument/2006/relationships/hyperlink" Target="http://pokemondb.net/pokedex/magmortar" TargetMode="External"/><Relationship Id="rId1422" Type="http://schemas.openxmlformats.org/officeDocument/2006/relationships/hyperlink" Target="http://pokemondb.net/pokedex/petilil" TargetMode="External"/><Relationship Id="rId1867" Type="http://schemas.openxmlformats.org/officeDocument/2006/relationships/hyperlink" Target="http://pokemondb.net/type/grass" TargetMode="External"/><Relationship Id="rId61" Type="http://schemas.openxmlformats.org/officeDocument/2006/relationships/hyperlink" Target="http://pokemondb.net/type/flying" TargetMode="External"/><Relationship Id="rId571" Type="http://schemas.openxmlformats.org/officeDocument/2006/relationships/hyperlink" Target="http://pokemondb.net/type/ground" TargetMode="External"/><Relationship Id="rId669" Type="http://schemas.openxmlformats.org/officeDocument/2006/relationships/hyperlink" Target="http://pokemondb.net/pokedex/marshtomp" TargetMode="External"/><Relationship Id="rId876" Type="http://schemas.openxmlformats.org/officeDocument/2006/relationships/hyperlink" Target="http://pokemondb.net/pokedex/solrock" TargetMode="External"/><Relationship Id="rId1299" Type="http://schemas.openxmlformats.org/officeDocument/2006/relationships/hyperlink" Target="http://pokemondb.net/type/fire" TargetMode="External"/><Relationship Id="rId1727" Type="http://schemas.openxmlformats.org/officeDocument/2006/relationships/hyperlink" Target="http://pokemondb.net/pokedex/diggersby" TargetMode="External"/><Relationship Id="rId19" Type="http://schemas.openxmlformats.org/officeDocument/2006/relationships/hyperlink" Target="http://pokemondb.net/type/fire" TargetMode="External"/><Relationship Id="rId224" Type="http://schemas.openxmlformats.org/officeDocument/2006/relationships/hyperlink" Target="http://pokemondb.net/type/water" TargetMode="External"/><Relationship Id="rId431" Type="http://schemas.openxmlformats.org/officeDocument/2006/relationships/hyperlink" Target="http://pokemondb.net/pokedex/crobat" TargetMode="External"/><Relationship Id="rId529" Type="http://schemas.openxmlformats.org/officeDocument/2006/relationships/hyperlink" Target="http://pokemondb.net/type/ground" TargetMode="External"/><Relationship Id="rId736" Type="http://schemas.openxmlformats.org/officeDocument/2006/relationships/hyperlink" Target="http://pokemondb.net/type/bug" TargetMode="External"/><Relationship Id="rId1061" Type="http://schemas.openxmlformats.org/officeDocument/2006/relationships/hyperlink" Target="http://pokemondb.net/pokedex/shieldon" TargetMode="External"/><Relationship Id="rId1159" Type="http://schemas.openxmlformats.org/officeDocument/2006/relationships/hyperlink" Target="http://pokemondb.net/type/normal" TargetMode="External"/><Relationship Id="rId1366" Type="http://schemas.openxmlformats.org/officeDocument/2006/relationships/hyperlink" Target="http://pokemondb.net/type/rock" TargetMode="External"/><Relationship Id="rId168" Type="http://schemas.openxmlformats.org/officeDocument/2006/relationships/hyperlink" Target="http://pokemondb.net/pokedex/machoke" TargetMode="External"/><Relationship Id="rId943" Type="http://schemas.openxmlformats.org/officeDocument/2006/relationships/hyperlink" Target="http://pokemondb.net/type/ice" TargetMode="External"/><Relationship Id="rId1019" Type="http://schemas.openxmlformats.org/officeDocument/2006/relationships/hyperlink" Target="http://pokemondb.net/type/fighting" TargetMode="External"/><Relationship Id="rId1573" Type="http://schemas.openxmlformats.org/officeDocument/2006/relationships/hyperlink" Target="http://pokemondb.net/type/ghost" TargetMode="External"/><Relationship Id="rId1780" Type="http://schemas.openxmlformats.org/officeDocument/2006/relationships/hyperlink" Target="http://pokemondb.net/type/steel" TargetMode="External"/><Relationship Id="rId1878" Type="http://schemas.openxmlformats.org/officeDocument/2006/relationships/hyperlink" Target="http://pokemondb.net/type/ghost" TargetMode="External"/><Relationship Id="rId72" Type="http://schemas.openxmlformats.org/officeDocument/2006/relationships/hyperlink" Target="http://pokemondb.net/type/electric" TargetMode="External"/><Relationship Id="rId375" Type="http://schemas.openxmlformats.org/officeDocument/2006/relationships/hyperlink" Target="http://pokemondb.net/type/fire" TargetMode="External"/><Relationship Id="rId582" Type="http://schemas.openxmlformats.org/officeDocument/2006/relationships/hyperlink" Target="http://pokemondb.net/pokedex/mantine" TargetMode="External"/><Relationship Id="rId803" Type="http://schemas.openxmlformats.org/officeDocument/2006/relationships/hyperlink" Target="http://pokemondb.net/type/psychic" TargetMode="External"/><Relationship Id="rId1226" Type="http://schemas.openxmlformats.org/officeDocument/2006/relationships/hyperlink" Target="http://pokemondb.net/type/ice" TargetMode="External"/><Relationship Id="rId1433" Type="http://schemas.openxmlformats.org/officeDocument/2006/relationships/hyperlink" Target="http://pokemondb.net/type/dark" TargetMode="External"/><Relationship Id="rId1640" Type="http://schemas.openxmlformats.org/officeDocument/2006/relationships/hyperlink" Target="http://pokemondb.net/pokedex/hydreigon" TargetMode="External"/><Relationship Id="rId1738" Type="http://schemas.openxmlformats.org/officeDocument/2006/relationships/hyperlink" Target="http://pokemondb.net/type/flying" TargetMode="External"/><Relationship Id="rId3" Type="http://schemas.openxmlformats.org/officeDocument/2006/relationships/hyperlink" Target="http://pokemondb.net/type/poison" TargetMode="External"/><Relationship Id="rId235" Type="http://schemas.openxmlformats.org/officeDocument/2006/relationships/hyperlink" Target="http://pokemondb.net/pokedex/gastly" TargetMode="External"/><Relationship Id="rId442" Type="http://schemas.openxmlformats.org/officeDocument/2006/relationships/hyperlink" Target="http://pokemondb.net/pokedex/cleffa" TargetMode="External"/><Relationship Id="rId887" Type="http://schemas.openxmlformats.org/officeDocument/2006/relationships/hyperlink" Target="http://pokemondb.net/pokedex/crawdaunt" TargetMode="External"/><Relationship Id="rId1072" Type="http://schemas.openxmlformats.org/officeDocument/2006/relationships/hyperlink" Target="http://pokemondb.net/type/bug" TargetMode="External"/><Relationship Id="rId1500" Type="http://schemas.openxmlformats.org/officeDocument/2006/relationships/hyperlink" Target="http://pokemondb.net/type/psychic" TargetMode="External"/><Relationship Id="rId302" Type="http://schemas.openxmlformats.org/officeDocument/2006/relationships/hyperlink" Target="http://pokemondb.net/type/water" TargetMode="External"/><Relationship Id="rId747" Type="http://schemas.openxmlformats.org/officeDocument/2006/relationships/hyperlink" Target="http://pokemondb.net/type/normal" TargetMode="External"/><Relationship Id="rId954" Type="http://schemas.openxmlformats.org/officeDocument/2006/relationships/hyperlink" Target="http://pokemondb.net/pokedex/relicanth" TargetMode="External"/><Relationship Id="rId1377" Type="http://schemas.openxmlformats.org/officeDocument/2006/relationships/hyperlink" Target="http://pokemondb.net/pokedex/excadrill" TargetMode="External"/><Relationship Id="rId1584" Type="http://schemas.openxmlformats.org/officeDocument/2006/relationships/hyperlink" Target="http://pokemondb.net/pokedex/cubchoo" TargetMode="External"/><Relationship Id="rId1791" Type="http://schemas.openxmlformats.org/officeDocument/2006/relationships/hyperlink" Target="http://pokemondb.net/pokedex/slurpuff" TargetMode="External"/><Relationship Id="rId1805" Type="http://schemas.openxmlformats.org/officeDocument/2006/relationships/hyperlink" Target="http://pokemondb.net/pokedex/skrelp" TargetMode="External"/><Relationship Id="rId83" Type="http://schemas.openxmlformats.org/officeDocument/2006/relationships/hyperlink" Target="http://pokemondb.net/type/ground" TargetMode="External"/><Relationship Id="rId179" Type="http://schemas.openxmlformats.org/officeDocument/2006/relationships/hyperlink" Target="http://pokemondb.net/type/grass" TargetMode="External"/><Relationship Id="rId386" Type="http://schemas.openxmlformats.org/officeDocument/2006/relationships/hyperlink" Target="http://pokemondb.net/type/psychic" TargetMode="External"/><Relationship Id="rId593" Type="http://schemas.openxmlformats.org/officeDocument/2006/relationships/hyperlink" Target="http://pokemondb.net/type/fire" TargetMode="External"/><Relationship Id="rId607" Type="http://schemas.openxmlformats.org/officeDocument/2006/relationships/hyperlink" Target="http://pokemondb.net/type/normal" TargetMode="External"/><Relationship Id="rId814" Type="http://schemas.openxmlformats.org/officeDocument/2006/relationships/hyperlink" Target="http://pokemondb.net/type/electric" TargetMode="External"/><Relationship Id="rId1237" Type="http://schemas.openxmlformats.org/officeDocument/2006/relationships/hyperlink" Target="http://pokemondb.net/type/fighting" TargetMode="External"/><Relationship Id="rId1444" Type="http://schemas.openxmlformats.org/officeDocument/2006/relationships/hyperlink" Target="http://pokemondb.net/pokedex/maractus" TargetMode="External"/><Relationship Id="rId1651" Type="http://schemas.openxmlformats.org/officeDocument/2006/relationships/hyperlink" Target="http://pokemondb.net/type/fighting" TargetMode="External"/><Relationship Id="rId1889" Type="http://schemas.openxmlformats.org/officeDocument/2006/relationships/hyperlink" Target="http://pokemondb.net/type/dragon" TargetMode="External"/><Relationship Id="rId246" Type="http://schemas.openxmlformats.org/officeDocument/2006/relationships/hyperlink" Target="http://pokemondb.net/pokedex/onix" TargetMode="External"/><Relationship Id="rId453" Type="http://schemas.openxmlformats.org/officeDocument/2006/relationships/hyperlink" Target="http://pokemondb.net/type/psychic" TargetMode="External"/><Relationship Id="rId660" Type="http://schemas.openxmlformats.org/officeDocument/2006/relationships/hyperlink" Target="http://pokemondb.net/type/fire" TargetMode="External"/><Relationship Id="rId898" Type="http://schemas.openxmlformats.org/officeDocument/2006/relationships/hyperlink" Target="http://pokemondb.net/type/grass" TargetMode="External"/><Relationship Id="rId1083" Type="http://schemas.openxmlformats.org/officeDocument/2006/relationships/hyperlink" Target="http://pokemondb.net/type/flying" TargetMode="External"/><Relationship Id="rId1290" Type="http://schemas.openxmlformats.org/officeDocument/2006/relationships/hyperlink" Target="http://pokemondb.net/pokedex/shaymin" TargetMode="External"/><Relationship Id="rId1304" Type="http://schemas.openxmlformats.org/officeDocument/2006/relationships/hyperlink" Target="http://pokemondb.net/pokedex/serperior" TargetMode="External"/><Relationship Id="rId1511" Type="http://schemas.openxmlformats.org/officeDocument/2006/relationships/hyperlink" Target="http://pokemondb.net/pokedex/vanilluxe" TargetMode="External"/><Relationship Id="rId1749" Type="http://schemas.openxmlformats.org/officeDocument/2006/relationships/hyperlink" Target="http://pokemondb.net/pokedex/pyroar" TargetMode="External"/><Relationship Id="rId106" Type="http://schemas.openxmlformats.org/officeDocument/2006/relationships/hyperlink" Target="http://pokemondb.net/type/poison" TargetMode="External"/><Relationship Id="rId313" Type="http://schemas.openxmlformats.org/officeDocument/2006/relationships/hyperlink" Target="http://pokemondb.net/type/flying" TargetMode="External"/><Relationship Id="rId758" Type="http://schemas.openxmlformats.org/officeDocument/2006/relationships/hyperlink" Target="http://pokemondb.net/pokedex/shedinja" TargetMode="External"/><Relationship Id="rId965" Type="http://schemas.openxmlformats.org/officeDocument/2006/relationships/hyperlink" Target="http://pokemondb.net/type/flying" TargetMode="External"/><Relationship Id="rId1150" Type="http://schemas.openxmlformats.org/officeDocument/2006/relationships/hyperlink" Target="http://pokemondb.net/pokedex/gabite" TargetMode="External"/><Relationship Id="rId1388" Type="http://schemas.openxmlformats.org/officeDocument/2006/relationships/hyperlink" Target="http://pokemondb.net/pokedex/tympole" TargetMode="External"/><Relationship Id="rId1595" Type="http://schemas.openxmlformats.org/officeDocument/2006/relationships/hyperlink" Target="http://pokemondb.net/type/electric" TargetMode="External"/><Relationship Id="rId1609" Type="http://schemas.openxmlformats.org/officeDocument/2006/relationships/hyperlink" Target="http://pokemondb.net/pokedex/pawniard" TargetMode="External"/><Relationship Id="rId1816" Type="http://schemas.openxmlformats.org/officeDocument/2006/relationships/hyperlink" Target="http://pokemondb.net/type/electric" TargetMode="External"/><Relationship Id="rId10" Type="http://schemas.openxmlformats.org/officeDocument/2006/relationships/hyperlink" Target="http://pokemondb.net/type/grass" TargetMode="External"/><Relationship Id="rId94" Type="http://schemas.openxmlformats.org/officeDocument/2006/relationships/hyperlink" Target="http://pokemondb.net/type/fairy" TargetMode="External"/><Relationship Id="rId397" Type="http://schemas.openxmlformats.org/officeDocument/2006/relationships/hyperlink" Target="http://pokemondb.net/pokedex/cyndaquil" TargetMode="External"/><Relationship Id="rId520" Type="http://schemas.openxmlformats.org/officeDocument/2006/relationships/hyperlink" Target="http://pokemondb.net/type/psychic" TargetMode="External"/><Relationship Id="rId618" Type="http://schemas.openxmlformats.org/officeDocument/2006/relationships/hyperlink" Target="http://pokemondb.net/type/electric" TargetMode="External"/><Relationship Id="rId825" Type="http://schemas.openxmlformats.org/officeDocument/2006/relationships/hyperlink" Target="http://pokemondb.net/type/poison" TargetMode="External"/><Relationship Id="rId1248" Type="http://schemas.openxmlformats.org/officeDocument/2006/relationships/hyperlink" Target="http://pokemondb.net/type/ghost" TargetMode="External"/><Relationship Id="rId1455" Type="http://schemas.openxmlformats.org/officeDocument/2006/relationships/hyperlink" Target="http://pokemondb.net/pokedex/scrafty" TargetMode="External"/><Relationship Id="rId1662" Type="http://schemas.openxmlformats.org/officeDocument/2006/relationships/hyperlink" Target="http://pokemondb.net/pokedex/thundurus" TargetMode="External"/><Relationship Id="rId257" Type="http://schemas.openxmlformats.org/officeDocument/2006/relationships/hyperlink" Target="http://pokemondb.net/pokedex/voltorb" TargetMode="External"/><Relationship Id="rId464" Type="http://schemas.openxmlformats.org/officeDocument/2006/relationships/hyperlink" Target="http://pokemondb.net/type/electric" TargetMode="External"/><Relationship Id="rId1010" Type="http://schemas.openxmlformats.org/officeDocument/2006/relationships/hyperlink" Target="http://pokemondb.net/type/grass" TargetMode="External"/><Relationship Id="rId1094" Type="http://schemas.openxmlformats.org/officeDocument/2006/relationships/hyperlink" Target="http://pokemondb.net/pokedex/shellos" TargetMode="External"/><Relationship Id="rId1108" Type="http://schemas.openxmlformats.org/officeDocument/2006/relationships/hyperlink" Target="http://pokemondb.net/type/normal" TargetMode="External"/><Relationship Id="rId1315" Type="http://schemas.openxmlformats.org/officeDocument/2006/relationships/hyperlink" Target="http://pokemondb.net/type/water" TargetMode="External"/><Relationship Id="rId117" Type="http://schemas.openxmlformats.org/officeDocument/2006/relationships/hyperlink" Target="http://pokemondb.net/pokedex/vileplume" TargetMode="External"/><Relationship Id="rId671" Type="http://schemas.openxmlformats.org/officeDocument/2006/relationships/hyperlink" Target="http://pokemondb.net/type/ground" TargetMode="External"/><Relationship Id="rId769" Type="http://schemas.openxmlformats.org/officeDocument/2006/relationships/hyperlink" Target="http://pokemondb.net/pokedex/hariyama" TargetMode="External"/><Relationship Id="rId976" Type="http://schemas.openxmlformats.org/officeDocument/2006/relationships/hyperlink" Target="http://pokemondb.net/type/rock" TargetMode="External"/><Relationship Id="rId1399" Type="http://schemas.openxmlformats.org/officeDocument/2006/relationships/hyperlink" Target="http://pokemondb.net/type/fighting" TargetMode="External"/><Relationship Id="rId324" Type="http://schemas.openxmlformats.org/officeDocument/2006/relationships/hyperlink" Target="http://pokemondb.net/type/flying" TargetMode="External"/><Relationship Id="rId531" Type="http://schemas.openxmlformats.org/officeDocument/2006/relationships/hyperlink" Target="http://pokemondb.net/pokedex/steelix" TargetMode="External"/><Relationship Id="rId629" Type="http://schemas.openxmlformats.org/officeDocument/2006/relationships/hyperlink" Target="http://pokemondb.net/pokedex/suicune" TargetMode="External"/><Relationship Id="rId1161" Type="http://schemas.openxmlformats.org/officeDocument/2006/relationships/hyperlink" Target="http://pokemondb.net/type/fighting" TargetMode="External"/><Relationship Id="rId1259" Type="http://schemas.openxmlformats.org/officeDocument/2006/relationships/hyperlink" Target="http://pokemondb.net/pokedex/uxie" TargetMode="External"/><Relationship Id="rId1466" Type="http://schemas.openxmlformats.org/officeDocument/2006/relationships/hyperlink" Target="http://pokemondb.net/type/water" TargetMode="External"/><Relationship Id="rId836" Type="http://schemas.openxmlformats.org/officeDocument/2006/relationships/hyperlink" Target="http://pokemondb.net/pokedex/numel" TargetMode="External"/><Relationship Id="rId1021" Type="http://schemas.openxmlformats.org/officeDocument/2006/relationships/hyperlink" Target="http://pokemondb.net/type/water" TargetMode="External"/><Relationship Id="rId1119" Type="http://schemas.openxmlformats.org/officeDocument/2006/relationships/hyperlink" Target="http://pokemondb.net/type/normal" TargetMode="External"/><Relationship Id="rId1673" Type="http://schemas.openxmlformats.org/officeDocument/2006/relationships/hyperlink" Target="http://pokemondb.net/type/electric" TargetMode="External"/><Relationship Id="rId1880" Type="http://schemas.openxmlformats.org/officeDocument/2006/relationships/hyperlink" Target="http://pokemondb.net/pokedex/gourgeist" TargetMode="External"/><Relationship Id="rId903" Type="http://schemas.openxmlformats.org/officeDocument/2006/relationships/hyperlink" Target="http://pokemondb.net/type/rock" TargetMode="External"/><Relationship Id="rId1326" Type="http://schemas.openxmlformats.org/officeDocument/2006/relationships/hyperlink" Target="http://pokemondb.net/pokedex/herdier" TargetMode="External"/><Relationship Id="rId1533" Type="http://schemas.openxmlformats.org/officeDocument/2006/relationships/hyperlink" Target="http://pokemondb.net/pokedex/frillish" TargetMode="External"/><Relationship Id="rId1740" Type="http://schemas.openxmlformats.org/officeDocument/2006/relationships/hyperlink" Target="http://pokemondb.net/type/bug" TargetMode="External"/><Relationship Id="rId32" Type="http://schemas.openxmlformats.org/officeDocument/2006/relationships/hyperlink" Target="http://pokemondb.net/pokedex/metapod" TargetMode="External"/><Relationship Id="rId1600" Type="http://schemas.openxmlformats.org/officeDocument/2006/relationships/hyperlink" Target="http://pokemondb.net/type/fighting" TargetMode="External"/><Relationship Id="rId1838" Type="http://schemas.openxmlformats.org/officeDocument/2006/relationships/hyperlink" Target="http://pokemondb.net/pokedex/dedenne" TargetMode="External"/><Relationship Id="rId181" Type="http://schemas.openxmlformats.org/officeDocument/2006/relationships/hyperlink" Target="http://pokemondb.net/pokedex/tentacool" TargetMode="External"/><Relationship Id="rId1905" Type="http://schemas.openxmlformats.org/officeDocument/2006/relationships/hyperlink" Target="http://pokemondb.net/pokedex/thundurus" TargetMode="External"/><Relationship Id="rId279" Type="http://schemas.openxmlformats.org/officeDocument/2006/relationships/hyperlink" Target="http://pokemondb.net/pokedex/weezing" TargetMode="External"/><Relationship Id="rId486" Type="http://schemas.openxmlformats.org/officeDocument/2006/relationships/hyperlink" Target="http://pokemondb.net/type/flying" TargetMode="External"/><Relationship Id="rId693" Type="http://schemas.openxmlformats.org/officeDocument/2006/relationships/hyperlink" Target="http://pokemondb.net/type/bug" TargetMode="External"/><Relationship Id="rId139" Type="http://schemas.openxmlformats.org/officeDocument/2006/relationships/hyperlink" Target="http://pokemondb.net/type/normal" TargetMode="External"/><Relationship Id="rId346" Type="http://schemas.openxmlformats.org/officeDocument/2006/relationships/hyperlink" Target="http://pokemondb.net/type/fire" TargetMode="External"/><Relationship Id="rId553" Type="http://schemas.openxmlformats.org/officeDocument/2006/relationships/hyperlink" Target="http://pokemondb.net/type/fighting" TargetMode="External"/><Relationship Id="rId760" Type="http://schemas.openxmlformats.org/officeDocument/2006/relationships/hyperlink" Target="http://pokemondb.net/type/ghost" TargetMode="External"/><Relationship Id="rId998" Type="http://schemas.openxmlformats.org/officeDocument/2006/relationships/hyperlink" Target="http://pokemondb.net/type/psychic" TargetMode="External"/><Relationship Id="rId1183" Type="http://schemas.openxmlformats.org/officeDocument/2006/relationships/hyperlink" Target="http://pokemondb.net/pokedex/carnivine" TargetMode="External"/><Relationship Id="rId1390" Type="http://schemas.openxmlformats.org/officeDocument/2006/relationships/hyperlink" Target="http://pokemondb.net/pokedex/palpitoad" TargetMode="External"/><Relationship Id="rId206" Type="http://schemas.openxmlformats.org/officeDocument/2006/relationships/hyperlink" Target="http://pokemondb.net/pokedex/magnemite" TargetMode="External"/><Relationship Id="rId413" Type="http://schemas.openxmlformats.org/officeDocument/2006/relationships/hyperlink" Target="http://pokemondb.net/pokedex/hoothoot" TargetMode="External"/><Relationship Id="rId858" Type="http://schemas.openxmlformats.org/officeDocument/2006/relationships/hyperlink" Target="http://pokemondb.net/pokedex/cacnea" TargetMode="External"/><Relationship Id="rId1043" Type="http://schemas.openxmlformats.org/officeDocument/2006/relationships/hyperlink" Target="http://pokemondb.net/pokedex/kricketune" TargetMode="External"/><Relationship Id="rId1488" Type="http://schemas.openxmlformats.org/officeDocument/2006/relationships/hyperlink" Target="http://pokemondb.net/type/normal" TargetMode="External"/><Relationship Id="rId1695" Type="http://schemas.openxmlformats.org/officeDocument/2006/relationships/hyperlink" Target="http://pokemondb.net/pokedex/meloetta" TargetMode="External"/><Relationship Id="rId620" Type="http://schemas.openxmlformats.org/officeDocument/2006/relationships/hyperlink" Target="http://pokemondb.net/type/fire" TargetMode="External"/><Relationship Id="rId718" Type="http://schemas.openxmlformats.org/officeDocument/2006/relationships/hyperlink" Target="http://pokemondb.net/pokedex/wingull" TargetMode="External"/><Relationship Id="rId925" Type="http://schemas.openxmlformats.org/officeDocument/2006/relationships/hyperlink" Target="http://pokemondb.net/pokedex/tropius" TargetMode="External"/><Relationship Id="rId1250" Type="http://schemas.openxmlformats.org/officeDocument/2006/relationships/hyperlink" Target="http://pokemondb.net/type/fire" TargetMode="External"/><Relationship Id="rId1348" Type="http://schemas.openxmlformats.org/officeDocument/2006/relationships/hyperlink" Target="http://pokemondb.net/pokedex/musharna" TargetMode="External"/><Relationship Id="rId1555" Type="http://schemas.openxmlformats.org/officeDocument/2006/relationships/hyperlink" Target="http://pokemondb.net/pokedex/klang" TargetMode="External"/><Relationship Id="rId1762" Type="http://schemas.openxmlformats.org/officeDocument/2006/relationships/hyperlink" Target="http://pokemondb.net/pokedex/pancham" TargetMode="External"/><Relationship Id="rId1110" Type="http://schemas.openxmlformats.org/officeDocument/2006/relationships/hyperlink" Target="http://pokemondb.net/type/normal" TargetMode="External"/><Relationship Id="rId1208" Type="http://schemas.openxmlformats.org/officeDocument/2006/relationships/hyperlink" Target="http://pokemondb.net/pokedex/rhyperior" TargetMode="External"/><Relationship Id="rId1415" Type="http://schemas.openxmlformats.org/officeDocument/2006/relationships/hyperlink" Target="http://pokemondb.net/pokedex/scolipede" TargetMode="External"/><Relationship Id="rId54" Type="http://schemas.openxmlformats.org/officeDocument/2006/relationships/hyperlink" Target="http://pokemondb.net/type/flying" TargetMode="External"/><Relationship Id="rId1622" Type="http://schemas.openxmlformats.org/officeDocument/2006/relationships/hyperlink" Target="http://pokemondb.net/type/flying" TargetMode="External"/><Relationship Id="rId1927" Type="http://schemas.openxmlformats.org/officeDocument/2006/relationships/hyperlink" Target="http://pokemondb.net/pokedex/giratina" TargetMode="External"/><Relationship Id="rId270" Type="http://schemas.openxmlformats.org/officeDocument/2006/relationships/hyperlink" Target="http://pokemondb.net/type/ground" TargetMode="External"/><Relationship Id="rId130" Type="http://schemas.openxmlformats.org/officeDocument/2006/relationships/hyperlink" Target="http://pokemondb.net/type/bug" TargetMode="External"/><Relationship Id="rId368" Type="http://schemas.openxmlformats.org/officeDocument/2006/relationships/hyperlink" Target="http://pokemondb.net/pokedex/articuno" TargetMode="External"/><Relationship Id="rId575" Type="http://schemas.openxmlformats.org/officeDocument/2006/relationships/hyperlink" Target="http://pokemondb.net/pokedex/remoraid" TargetMode="External"/><Relationship Id="rId782" Type="http://schemas.openxmlformats.org/officeDocument/2006/relationships/hyperlink" Target="http://pokemondb.net/type/ghost" TargetMode="External"/><Relationship Id="rId228" Type="http://schemas.openxmlformats.org/officeDocument/2006/relationships/hyperlink" Target="http://pokemondb.net/pokedex/muk" TargetMode="External"/><Relationship Id="rId435" Type="http://schemas.openxmlformats.org/officeDocument/2006/relationships/hyperlink" Target="http://pokemondb.net/type/water" TargetMode="External"/><Relationship Id="rId642" Type="http://schemas.openxmlformats.org/officeDocument/2006/relationships/hyperlink" Target="http://pokemondb.net/pokedex/lugia" TargetMode="External"/><Relationship Id="rId1065" Type="http://schemas.openxmlformats.org/officeDocument/2006/relationships/hyperlink" Target="http://pokemondb.net/type/rock" TargetMode="External"/><Relationship Id="rId1272" Type="http://schemas.openxmlformats.org/officeDocument/2006/relationships/hyperlink" Target="http://pokemondb.net/type/fire" TargetMode="External"/><Relationship Id="rId502" Type="http://schemas.openxmlformats.org/officeDocument/2006/relationships/hyperlink" Target="http://pokemondb.net/pokedex/espeon" TargetMode="External"/><Relationship Id="rId947" Type="http://schemas.openxmlformats.org/officeDocument/2006/relationships/hyperlink" Target="http://pokemondb.net/type/water" TargetMode="External"/><Relationship Id="rId1132" Type="http://schemas.openxmlformats.org/officeDocument/2006/relationships/hyperlink" Target="http://pokemondb.net/type/steel" TargetMode="External"/><Relationship Id="rId1577" Type="http://schemas.openxmlformats.org/officeDocument/2006/relationships/hyperlink" Target="http://pokemondb.net/type/fire" TargetMode="External"/><Relationship Id="rId1784" Type="http://schemas.openxmlformats.org/officeDocument/2006/relationships/hyperlink" Target="http://pokemondb.net/type/ghost" TargetMode="External"/><Relationship Id="rId76" Type="http://schemas.openxmlformats.org/officeDocument/2006/relationships/hyperlink" Target="http://pokemondb.net/type/ground" TargetMode="External"/><Relationship Id="rId807" Type="http://schemas.openxmlformats.org/officeDocument/2006/relationships/hyperlink" Target="http://pokemondb.net/type/electric" TargetMode="External"/><Relationship Id="rId1437" Type="http://schemas.openxmlformats.org/officeDocument/2006/relationships/hyperlink" Target="http://pokemondb.net/pokedex/darumaka" TargetMode="External"/><Relationship Id="rId1644" Type="http://schemas.openxmlformats.org/officeDocument/2006/relationships/hyperlink" Target="http://pokemondb.net/type/bug" TargetMode="External"/><Relationship Id="rId1851" Type="http://schemas.openxmlformats.org/officeDocument/2006/relationships/hyperlink" Target="http://pokemondb.net/type/steel" TargetMode="External"/><Relationship Id="rId1504" Type="http://schemas.openxmlformats.org/officeDocument/2006/relationships/hyperlink" Target="http://pokemondb.net/pokedex/swanna" TargetMode="External"/><Relationship Id="rId1711" Type="http://schemas.openxmlformats.org/officeDocument/2006/relationships/hyperlink" Target="http://pokemondb.net/pokedex/fennekin" TargetMode="External"/><Relationship Id="rId292" Type="http://schemas.openxmlformats.org/officeDocument/2006/relationships/hyperlink" Target="http://pokemondb.net/type/normal" TargetMode="External"/><Relationship Id="rId1809" Type="http://schemas.openxmlformats.org/officeDocument/2006/relationships/hyperlink" Target="http://pokemondb.net/type/poison" TargetMode="External"/><Relationship Id="rId597" Type="http://schemas.openxmlformats.org/officeDocument/2006/relationships/hyperlink" Target="http://pokemondb.net/pokedex/kingdra" TargetMode="External"/><Relationship Id="rId152" Type="http://schemas.openxmlformats.org/officeDocument/2006/relationships/hyperlink" Target="http://pokemondb.net/pokedex/poliwag" TargetMode="External"/><Relationship Id="rId457" Type="http://schemas.openxmlformats.org/officeDocument/2006/relationships/hyperlink" Target="http://pokemondb.net/type/flying" TargetMode="External"/><Relationship Id="rId1087" Type="http://schemas.openxmlformats.org/officeDocument/2006/relationships/hyperlink" Target="http://pokemondb.net/type/water" TargetMode="External"/><Relationship Id="rId1294" Type="http://schemas.openxmlformats.org/officeDocument/2006/relationships/hyperlink" Target="http://pokemondb.net/type/flying" TargetMode="External"/><Relationship Id="rId664" Type="http://schemas.openxmlformats.org/officeDocument/2006/relationships/hyperlink" Target="http://pokemondb.net/type/fighting" TargetMode="External"/><Relationship Id="rId871" Type="http://schemas.openxmlformats.org/officeDocument/2006/relationships/hyperlink" Target="http://pokemondb.net/pokedex/seviper" TargetMode="External"/><Relationship Id="rId969" Type="http://schemas.openxmlformats.org/officeDocument/2006/relationships/hyperlink" Target="http://pokemondb.net/pokedex/metang" TargetMode="External"/><Relationship Id="rId1599" Type="http://schemas.openxmlformats.org/officeDocument/2006/relationships/hyperlink" Target="http://pokemondb.net/pokedex/mienshao" TargetMode="External"/><Relationship Id="rId317" Type="http://schemas.openxmlformats.org/officeDocument/2006/relationships/hyperlink" Target="http://pokemondb.net/pokedex/electabuzz" TargetMode="External"/><Relationship Id="rId524" Type="http://schemas.openxmlformats.org/officeDocument/2006/relationships/hyperlink" Target="http://pokemondb.net/type/bug" TargetMode="External"/><Relationship Id="rId731" Type="http://schemas.openxmlformats.org/officeDocument/2006/relationships/hyperlink" Target="http://pokemondb.net/type/psychic" TargetMode="External"/><Relationship Id="rId1154" Type="http://schemas.openxmlformats.org/officeDocument/2006/relationships/hyperlink" Target="http://pokemondb.net/type/dragon" TargetMode="External"/><Relationship Id="rId1361" Type="http://schemas.openxmlformats.org/officeDocument/2006/relationships/hyperlink" Target="http://pokemondb.net/pokedex/zebstrika" TargetMode="External"/><Relationship Id="rId1459" Type="http://schemas.openxmlformats.org/officeDocument/2006/relationships/hyperlink" Target="http://pokemondb.net/type/psychic" TargetMode="External"/><Relationship Id="rId98" Type="http://schemas.openxmlformats.org/officeDocument/2006/relationships/hyperlink" Target="http://pokemondb.net/type/fire" TargetMode="External"/><Relationship Id="rId829" Type="http://schemas.openxmlformats.org/officeDocument/2006/relationships/hyperlink" Target="http://pokemondb.net/pokedex/sharpedo" TargetMode="External"/><Relationship Id="rId1014" Type="http://schemas.openxmlformats.org/officeDocument/2006/relationships/hyperlink" Target="http://pokemondb.net/pokedex/monferno" TargetMode="External"/><Relationship Id="rId1221" Type="http://schemas.openxmlformats.org/officeDocument/2006/relationships/hyperlink" Target="http://pokemondb.net/type/bug" TargetMode="External"/><Relationship Id="rId1666" Type="http://schemas.openxmlformats.org/officeDocument/2006/relationships/hyperlink" Target="http://pokemondb.net/type/electric" TargetMode="External"/><Relationship Id="rId1873" Type="http://schemas.openxmlformats.org/officeDocument/2006/relationships/hyperlink" Target="http://pokemondb.net/type/grass" TargetMode="External"/><Relationship Id="rId1319" Type="http://schemas.openxmlformats.org/officeDocument/2006/relationships/hyperlink" Target="http://pokemondb.net/type/water" TargetMode="External"/><Relationship Id="rId1526" Type="http://schemas.openxmlformats.org/officeDocument/2006/relationships/hyperlink" Target="http://pokemondb.net/type/steel" TargetMode="External"/><Relationship Id="rId1733" Type="http://schemas.openxmlformats.org/officeDocument/2006/relationships/hyperlink" Target="http://pokemondb.net/pokedex/fletchinder" TargetMode="External"/><Relationship Id="rId25" Type="http://schemas.openxmlformats.org/officeDocument/2006/relationships/hyperlink" Target="http://pokemondb.net/pokedex/wartortle" TargetMode="External"/><Relationship Id="rId1800" Type="http://schemas.openxmlformats.org/officeDocument/2006/relationships/hyperlink" Target="http://pokemondb.net/type/rock" TargetMode="External"/><Relationship Id="rId174" Type="http://schemas.openxmlformats.org/officeDocument/2006/relationships/hyperlink" Target="http://pokemondb.net/type/poison" TargetMode="External"/><Relationship Id="rId381" Type="http://schemas.openxmlformats.org/officeDocument/2006/relationships/hyperlink" Target="http://pokemondb.net/pokedex/dragonite" TargetMode="External"/><Relationship Id="rId241" Type="http://schemas.openxmlformats.org/officeDocument/2006/relationships/hyperlink" Target="http://pokemondb.net/pokedex/gengar" TargetMode="External"/><Relationship Id="rId479" Type="http://schemas.openxmlformats.org/officeDocument/2006/relationships/hyperlink" Target="http://pokemondb.net/type/grass" TargetMode="External"/><Relationship Id="rId686" Type="http://schemas.openxmlformats.org/officeDocument/2006/relationships/hyperlink" Target="http://pokemondb.net/type/bug" TargetMode="External"/><Relationship Id="rId893" Type="http://schemas.openxmlformats.org/officeDocument/2006/relationships/hyperlink" Target="http://pokemondb.net/pokedex/claydol" TargetMode="External"/><Relationship Id="rId339" Type="http://schemas.openxmlformats.org/officeDocument/2006/relationships/hyperlink" Target="http://pokemondb.net/pokedex/eevee" TargetMode="External"/><Relationship Id="rId546" Type="http://schemas.openxmlformats.org/officeDocument/2006/relationships/hyperlink" Target="http://pokemondb.net/pokedex/shuckle" TargetMode="External"/><Relationship Id="rId753" Type="http://schemas.openxmlformats.org/officeDocument/2006/relationships/hyperlink" Target="http://pokemondb.net/type/bug" TargetMode="External"/><Relationship Id="rId1176" Type="http://schemas.openxmlformats.org/officeDocument/2006/relationships/hyperlink" Target="http://pokemondb.net/type/dark" TargetMode="External"/><Relationship Id="rId1383" Type="http://schemas.openxmlformats.org/officeDocument/2006/relationships/hyperlink" Target="http://pokemondb.net/type/fighting" TargetMode="External"/><Relationship Id="rId101" Type="http://schemas.openxmlformats.org/officeDocument/2006/relationships/hyperlink" Target="http://pokemondb.net/type/fairy" TargetMode="External"/><Relationship Id="rId406" Type="http://schemas.openxmlformats.org/officeDocument/2006/relationships/hyperlink" Target="http://pokemondb.net/type/water" TargetMode="External"/><Relationship Id="rId960" Type="http://schemas.openxmlformats.org/officeDocument/2006/relationships/hyperlink" Target="http://pokemondb.net/type/dragon" TargetMode="External"/><Relationship Id="rId1036" Type="http://schemas.openxmlformats.org/officeDocument/2006/relationships/hyperlink" Target="http://pokemondb.net/pokedex/bidoof" TargetMode="External"/><Relationship Id="rId1243" Type="http://schemas.openxmlformats.org/officeDocument/2006/relationships/hyperlink" Target="http://pokemondb.net/pokedex/froslass" TargetMode="External"/><Relationship Id="rId1590" Type="http://schemas.openxmlformats.org/officeDocument/2006/relationships/hyperlink" Target="http://pokemondb.net/pokedex/shelmet" TargetMode="External"/><Relationship Id="rId1688" Type="http://schemas.openxmlformats.org/officeDocument/2006/relationships/hyperlink" Target="http://pokemondb.net/type/ice" TargetMode="External"/><Relationship Id="rId1895" Type="http://schemas.openxmlformats.org/officeDocument/2006/relationships/hyperlink" Target="http://pokemondb.net/pokedex/yveltal" TargetMode="External"/><Relationship Id="rId613" Type="http://schemas.openxmlformats.org/officeDocument/2006/relationships/hyperlink" Target="http://pokemondb.net/type/fighting" TargetMode="External"/><Relationship Id="rId820" Type="http://schemas.openxmlformats.org/officeDocument/2006/relationships/hyperlink" Target="http://pokemondb.net/type/grass" TargetMode="External"/><Relationship Id="rId918" Type="http://schemas.openxmlformats.org/officeDocument/2006/relationships/hyperlink" Target="http://pokemondb.net/pokedex/banette" TargetMode="External"/><Relationship Id="rId1450" Type="http://schemas.openxmlformats.org/officeDocument/2006/relationships/hyperlink" Target="http://pokemondb.net/type/bug" TargetMode="External"/><Relationship Id="rId1548" Type="http://schemas.openxmlformats.org/officeDocument/2006/relationships/hyperlink" Target="http://pokemondb.net/type/grass" TargetMode="External"/><Relationship Id="rId1755" Type="http://schemas.openxmlformats.org/officeDocument/2006/relationships/hyperlink" Target="http://pokemondb.net/type/fairy" TargetMode="External"/><Relationship Id="rId1103" Type="http://schemas.openxmlformats.org/officeDocument/2006/relationships/hyperlink" Target="http://pokemondb.net/type/flying" TargetMode="External"/><Relationship Id="rId1310" Type="http://schemas.openxmlformats.org/officeDocument/2006/relationships/hyperlink" Target="http://pokemondb.net/type/fighting" TargetMode="External"/><Relationship Id="rId1408" Type="http://schemas.openxmlformats.org/officeDocument/2006/relationships/hyperlink" Target="http://pokemondb.net/type/grass" TargetMode="External"/><Relationship Id="rId47" Type="http://schemas.openxmlformats.org/officeDocument/2006/relationships/hyperlink" Target="http://pokemondb.net/type/normal" TargetMode="External"/><Relationship Id="rId1615" Type="http://schemas.openxmlformats.org/officeDocument/2006/relationships/hyperlink" Target="http://pokemondb.net/pokedex/bouffalant" TargetMode="External"/><Relationship Id="rId1822" Type="http://schemas.openxmlformats.org/officeDocument/2006/relationships/hyperlink" Target="http://pokemondb.net/type/rock" TargetMode="External"/><Relationship Id="rId196" Type="http://schemas.openxmlformats.org/officeDocument/2006/relationships/hyperlink" Target="http://pokemondb.net/pokedex/ponyta" TargetMode="External"/><Relationship Id="rId263" Type="http://schemas.openxmlformats.org/officeDocument/2006/relationships/hyperlink" Target="http://pokemondb.net/type/psychic" TargetMode="External"/><Relationship Id="rId470" Type="http://schemas.openxmlformats.org/officeDocument/2006/relationships/hyperlink" Target="http://pokemondb.net/type/fairy" TargetMode="External"/><Relationship Id="rId123" Type="http://schemas.openxmlformats.org/officeDocument/2006/relationships/hyperlink" Target="http://pokemondb.net/pokedex/parasect" TargetMode="External"/><Relationship Id="rId330" Type="http://schemas.openxmlformats.org/officeDocument/2006/relationships/hyperlink" Target="http://pokemondb.net/type/water" TargetMode="External"/><Relationship Id="rId568" Type="http://schemas.openxmlformats.org/officeDocument/2006/relationships/hyperlink" Target="http://pokemondb.net/type/ground" TargetMode="External"/><Relationship Id="rId775" Type="http://schemas.openxmlformats.org/officeDocument/2006/relationships/hyperlink" Target="http://pokemondb.net/type/rock" TargetMode="External"/><Relationship Id="rId982" Type="http://schemas.openxmlformats.org/officeDocument/2006/relationships/hyperlink" Target="http://pokemondb.net/type/dragon" TargetMode="External"/><Relationship Id="rId1198" Type="http://schemas.openxmlformats.org/officeDocument/2006/relationships/hyperlink" Target="http://pokemondb.net/type/grass" TargetMode="External"/><Relationship Id="rId428" Type="http://schemas.openxmlformats.org/officeDocument/2006/relationships/hyperlink" Target="http://pokemondb.net/pokedex/ariados" TargetMode="External"/><Relationship Id="rId635" Type="http://schemas.openxmlformats.org/officeDocument/2006/relationships/hyperlink" Target="http://pokemondb.net/type/rock" TargetMode="External"/><Relationship Id="rId842" Type="http://schemas.openxmlformats.org/officeDocument/2006/relationships/hyperlink" Target="http://pokemondb.net/pokedex/torkoal" TargetMode="External"/><Relationship Id="rId1058" Type="http://schemas.openxmlformats.org/officeDocument/2006/relationships/hyperlink" Target="http://pokemondb.net/type/rock" TargetMode="External"/><Relationship Id="rId1265" Type="http://schemas.openxmlformats.org/officeDocument/2006/relationships/hyperlink" Target="http://pokemondb.net/pokedex/dialga" TargetMode="External"/><Relationship Id="rId1472" Type="http://schemas.openxmlformats.org/officeDocument/2006/relationships/hyperlink" Target="http://pokemondb.net/type/rock" TargetMode="External"/><Relationship Id="rId702" Type="http://schemas.openxmlformats.org/officeDocument/2006/relationships/hyperlink" Target="http://pokemondb.net/type/water" TargetMode="External"/><Relationship Id="rId1125" Type="http://schemas.openxmlformats.org/officeDocument/2006/relationships/hyperlink" Target="http://pokemondb.net/pokedex/skuntank" TargetMode="External"/><Relationship Id="rId1332" Type="http://schemas.openxmlformats.org/officeDocument/2006/relationships/hyperlink" Target="http://pokemondb.net/pokedex/liepard" TargetMode="External"/><Relationship Id="rId1777" Type="http://schemas.openxmlformats.org/officeDocument/2006/relationships/hyperlink" Target="http://pokemondb.net/type/steel" TargetMode="External"/><Relationship Id="rId69" Type="http://schemas.openxmlformats.org/officeDocument/2006/relationships/hyperlink" Target="http://pokemondb.net/pokedex/pikachu" TargetMode="External"/><Relationship Id="rId1637" Type="http://schemas.openxmlformats.org/officeDocument/2006/relationships/hyperlink" Target="http://pokemondb.net/pokedex/zweilous" TargetMode="External"/><Relationship Id="rId1844" Type="http://schemas.openxmlformats.org/officeDocument/2006/relationships/hyperlink" Target="http://pokemondb.net/pokedex/goomy" TargetMode="External"/><Relationship Id="rId1704" Type="http://schemas.openxmlformats.org/officeDocument/2006/relationships/hyperlink" Target="http://pokemondb.net/pokedex/chespin" TargetMode="External"/><Relationship Id="rId285" Type="http://schemas.openxmlformats.org/officeDocument/2006/relationships/hyperlink" Target="http://pokemondb.net/type/ground" TargetMode="External"/><Relationship Id="rId1911" Type="http://schemas.openxmlformats.org/officeDocument/2006/relationships/hyperlink" Target="http://pokemondb.net/pokedex/kyurem" TargetMode="External"/><Relationship Id="rId492" Type="http://schemas.openxmlformats.org/officeDocument/2006/relationships/hyperlink" Target="http://pokemondb.net/type/grass" TargetMode="External"/><Relationship Id="rId797" Type="http://schemas.openxmlformats.org/officeDocument/2006/relationships/hyperlink" Target="http://pokemondb.net/type/steel" TargetMode="External"/><Relationship Id="rId145" Type="http://schemas.openxmlformats.org/officeDocument/2006/relationships/hyperlink" Target="http://pokemondb.net/type/fighting" TargetMode="External"/><Relationship Id="rId352" Type="http://schemas.openxmlformats.org/officeDocument/2006/relationships/hyperlink" Target="http://pokemondb.net/pokedex/omastar" TargetMode="External"/><Relationship Id="rId1287" Type="http://schemas.openxmlformats.org/officeDocument/2006/relationships/hyperlink" Target="http://pokemondb.net/type/water" TargetMode="External"/><Relationship Id="rId212" Type="http://schemas.openxmlformats.org/officeDocument/2006/relationships/hyperlink" Target="http://pokemondb.net/pokedex/farfetchd" TargetMode="External"/><Relationship Id="rId657" Type="http://schemas.openxmlformats.org/officeDocument/2006/relationships/hyperlink" Target="http://pokemondb.net/pokedex/torchic" TargetMode="External"/><Relationship Id="rId864" Type="http://schemas.openxmlformats.org/officeDocument/2006/relationships/hyperlink" Target="http://pokemondb.net/type/normal" TargetMode="External"/><Relationship Id="rId1494" Type="http://schemas.openxmlformats.org/officeDocument/2006/relationships/hyperlink" Target="http://pokemondb.net/type/psychic" TargetMode="External"/><Relationship Id="rId1799" Type="http://schemas.openxmlformats.org/officeDocument/2006/relationships/hyperlink" Target="http://pokemondb.net/pokedex/binacle" TargetMode="External"/><Relationship Id="rId517" Type="http://schemas.openxmlformats.org/officeDocument/2006/relationships/hyperlink" Target="http://pokemondb.net/type/psychic" TargetMode="External"/><Relationship Id="rId724" Type="http://schemas.openxmlformats.org/officeDocument/2006/relationships/hyperlink" Target="http://pokemondb.net/pokedex/ralts" TargetMode="External"/><Relationship Id="rId931" Type="http://schemas.openxmlformats.org/officeDocument/2006/relationships/hyperlink" Target="http://pokemondb.net/type/dark" TargetMode="External"/><Relationship Id="rId1147" Type="http://schemas.openxmlformats.org/officeDocument/2006/relationships/hyperlink" Target="http://pokemondb.net/pokedex/gible" TargetMode="External"/><Relationship Id="rId1354" Type="http://schemas.openxmlformats.org/officeDocument/2006/relationships/hyperlink" Target="http://pokemondb.net/type/normal" TargetMode="External"/><Relationship Id="rId1561" Type="http://schemas.openxmlformats.org/officeDocument/2006/relationships/hyperlink" Target="http://pokemondb.net/pokedex/eelektrik" TargetMode="External"/><Relationship Id="rId60" Type="http://schemas.openxmlformats.org/officeDocument/2006/relationships/hyperlink" Target="http://pokemondb.net/type/normal" TargetMode="External"/><Relationship Id="rId1007" Type="http://schemas.openxmlformats.org/officeDocument/2006/relationships/hyperlink" Target="http://pokemondb.net/pokedex/grotle" TargetMode="External"/><Relationship Id="rId1214" Type="http://schemas.openxmlformats.org/officeDocument/2006/relationships/hyperlink" Target="http://pokemondb.net/type/electric" TargetMode="External"/><Relationship Id="rId1421" Type="http://schemas.openxmlformats.org/officeDocument/2006/relationships/hyperlink" Target="http://pokemondb.net/type/grass" TargetMode="External"/><Relationship Id="rId1659" Type="http://schemas.openxmlformats.org/officeDocument/2006/relationships/hyperlink" Target="http://pokemondb.net/type/flying" TargetMode="External"/><Relationship Id="rId1866" Type="http://schemas.openxmlformats.org/officeDocument/2006/relationships/hyperlink" Target="http://pokemondb.net/type/ghost" TargetMode="External"/><Relationship Id="rId1519" Type="http://schemas.openxmlformats.org/officeDocument/2006/relationships/hyperlink" Target="http://pokemondb.net/pokedex/emolga" TargetMode="External"/><Relationship Id="rId1726" Type="http://schemas.openxmlformats.org/officeDocument/2006/relationships/hyperlink" Target="http://pokemondb.net/type/normal" TargetMode="External"/><Relationship Id="rId18" Type="http://schemas.openxmlformats.org/officeDocument/2006/relationships/hyperlink" Target="http://pokemondb.net/type/flying" TargetMode="External"/><Relationship Id="rId167" Type="http://schemas.openxmlformats.org/officeDocument/2006/relationships/hyperlink" Target="http://pokemondb.net/type/fighting" TargetMode="External"/><Relationship Id="rId374" Type="http://schemas.openxmlformats.org/officeDocument/2006/relationships/hyperlink" Target="http://pokemondb.net/pokedex/moltres" TargetMode="External"/><Relationship Id="rId581" Type="http://schemas.openxmlformats.org/officeDocument/2006/relationships/hyperlink" Target="http://pokemondb.net/type/flying" TargetMode="External"/><Relationship Id="rId234" Type="http://schemas.openxmlformats.org/officeDocument/2006/relationships/hyperlink" Target="http://pokemondb.net/type/ice" TargetMode="External"/><Relationship Id="rId679" Type="http://schemas.openxmlformats.org/officeDocument/2006/relationships/hyperlink" Target="http://pokemondb.net/pokedex/zigzagoon" TargetMode="External"/><Relationship Id="rId886" Type="http://schemas.openxmlformats.org/officeDocument/2006/relationships/hyperlink" Target="http://pokemondb.net/type/water" TargetMode="External"/><Relationship Id="rId2" Type="http://schemas.openxmlformats.org/officeDocument/2006/relationships/hyperlink" Target="http://pokemondb.net/type/grass" TargetMode="External"/><Relationship Id="rId441" Type="http://schemas.openxmlformats.org/officeDocument/2006/relationships/hyperlink" Target="http://pokemondb.net/type/electric" TargetMode="External"/><Relationship Id="rId539" Type="http://schemas.openxmlformats.org/officeDocument/2006/relationships/hyperlink" Target="http://pokemondb.net/type/water" TargetMode="External"/><Relationship Id="rId746" Type="http://schemas.openxmlformats.org/officeDocument/2006/relationships/hyperlink" Target="http://pokemondb.net/pokedex/slakoth" TargetMode="External"/><Relationship Id="rId1071" Type="http://schemas.openxmlformats.org/officeDocument/2006/relationships/hyperlink" Target="http://pokemondb.net/pokedex/wormadam" TargetMode="External"/><Relationship Id="rId1169" Type="http://schemas.openxmlformats.org/officeDocument/2006/relationships/hyperlink" Target="http://pokemondb.net/pokedex/hippowdon" TargetMode="External"/><Relationship Id="rId1376" Type="http://schemas.openxmlformats.org/officeDocument/2006/relationships/hyperlink" Target="http://pokemondb.net/type/ground" TargetMode="External"/><Relationship Id="rId1583" Type="http://schemas.openxmlformats.org/officeDocument/2006/relationships/hyperlink" Target="http://pokemondb.net/type/dragon" TargetMode="External"/><Relationship Id="rId301" Type="http://schemas.openxmlformats.org/officeDocument/2006/relationships/hyperlink" Target="http://pokemondb.net/pokedex/seaking" TargetMode="External"/><Relationship Id="rId953" Type="http://schemas.openxmlformats.org/officeDocument/2006/relationships/hyperlink" Target="http://pokemondb.net/type/water" TargetMode="External"/><Relationship Id="rId1029" Type="http://schemas.openxmlformats.org/officeDocument/2006/relationships/hyperlink" Target="http://pokemondb.net/type/flying" TargetMode="External"/><Relationship Id="rId1236" Type="http://schemas.openxmlformats.org/officeDocument/2006/relationships/hyperlink" Target="http://pokemondb.net/type/psychic" TargetMode="External"/><Relationship Id="rId1790" Type="http://schemas.openxmlformats.org/officeDocument/2006/relationships/hyperlink" Target="http://pokemondb.net/type/fairy" TargetMode="External"/><Relationship Id="rId1888" Type="http://schemas.openxmlformats.org/officeDocument/2006/relationships/hyperlink" Target="http://pokemondb.net/type/flying" TargetMode="External"/><Relationship Id="rId82" Type="http://schemas.openxmlformats.org/officeDocument/2006/relationships/hyperlink" Target="http://pokemondb.net/type/poison" TargetMode="External"/><Relationship Id="rId606" Type="http://schemas.openxmlformats.org/officeDocument/2006/relationships/hyperlink" Target="http://pokemondb.net/pokedex/stantler" TargetMode="External"/><Relationship Id="rId813" Type="http://schemas.openxmlformats.org/officeDocument/2006/relationships/hyperlink" Target="http://pokemondb.net/pokedex/minun" TargetMode="External"/><Relationship Id="rId1443" Type="http://schemas.openxmlformats.org/officeDocument/2006/relationships/hyperlink" Target="http://pokemondb.net/type/psychic" TargetMode="External"/><Relationship Id="rId1650" Type="http://schemas.openxmlformats.org/officeDocument/2006/relationships/hyperlink" Target="http://pokemondb.net/type/steel" TargetMode="External"/><Relationship Id="rId1748" Type="http://schemas.openxmlformats.org/officeDocument/2006/relationships/hyperlink" Target="http://pokemondb.net/type/normal" TargetMode="External"/><Relationship Id="rId1303" Type="http://schemas.openxmlformats.org/officeDocument/2006/relationships/hyperlink" Target="http://pokemondb.net/type/grass" TargetMode="External"/><Relationship Id="rId1510" Type="http://schemas.openxmlformats.org/officeDocument/2006/relationships/hyperlink" Target="http://pokemondb.net/type/ice" TargetMode="External"/><Relationship Id="rId1608" Type="http://schemas.openxmlformats.org/officeDocument/2006/relationships/hyperlink" Target="http://pokemondb.net/type/ghost" TargetMode="External"/><Relationship Id="rId1815" Type="http://schemas.openxmlformats.org/officeDocument/2006/relationships/hyperlink" Target="http://pokemondb.net/pokedex/helioptile" TargetMode="External"/><Relationship Id="rId189" Type="http://schemas.openxmlformats.org/officeDocument/2006/relationships/hyperlink" Target="http://pokemondb.net/type/ground" TargetMode="External"/><Relationship Id="rId396" Type="http://schemas.openxmlformats.org/officeDocument/2006/relationships/hyperlink" Target="http://pokemondb.net/type/grass" TargetMode="External"/><Relationship Id="rId256" Type="http://schemas.openxmlformats.org/officeDocument/2006/relationships/hyperlink" Target="http://pokemondb.net/type/water" TargetMode="External"/><Relationship Id="rId463" Type="http://schemas.openxmlformats.org/officeDocument/2006/relationships/hyperlink" Target="http://pokemondb.net/type/electric" TargetMode="External"/><Relationship Id="rId670" Type="http://schemas.openxmlformats.org/officeDocument/2006/relationships/hyperlink" Target="http://pokemondb.net/type/water" TargetMode="External"/><Relationship Id="rId1093" Type="http://schemas.openxmlformats.org/officeDocument/2006/relationships/hyperlink" Target="http://pokemondb.net/type/grass" TargetMode="External"/><Relationship Id="rId116" Type="http://schemas.openxmlformats.org/officeDocument/2006/relationships/hyperlink" Target="http://pokemondb.net/type/poison" TargetMode="External"/><Relationship Id="rId323" Type="http://schemas.openxmlformats.org/officeDocument/2006/relationships/hyperlink" Target="http://pokemondb.net/type/bug" TargetMode="External"/><Relationship Id="rId530" Type="http://schemas.openxmlformats.org/officeDocument/2006/relationships/hyperlink" Target="http://pokemondb.net/type/flying" TargetMode="External"/><Relationship Id="rId768" Type="http://schemas.openxmlformats.org/officeDocument/2006/relationships/hyperlink" Target="http://pokemondb.net/type/fighting" TargetMode="External"/><Relationship Id="rId975" Type="http://schemas.openxmlformats.org/officeDocument/2006/relationships/hyperlink" Target="http://pokemondb.net/pokedex/regirock" TargetMode="External"/><Relationship Id="rId1160" Type="http://schemas.openxmlformats.org/officeDocument/2006/relationships/hyperlink" Target="http://pokemondb.net/pokedex/riolu" TargetMode="External"/><Relationship Id="rId1398" Type="http://schemas.openxmlformats.org/officeDocument/2006/relationships/hyperlink" Target="http://pokemondb.net/pokedex/sawk" TargetMode="External"/><Relationship Id="rId628" Type="http://schemas.openxmlformats.org/officeDocument/2006/relationships/hyperlink" Target="http://pokemondb.net/type/fire" TargetMode="External"/><Relationship Id="rId835" Type="http://schemas.openxmlformats.org/officeDocument/2006/relationships/hyperlink" Target="http://pokemondb.net/type/water" TargetMode="External"/><Relationship Id="rId1258" Type="http://schemas.openxmlformats.org/officeDocument/2006/relationships/hyperlink" Target="http://pokemondb.net/type/grass" TargetMode="External"/><Relationship Id="rId1465" Type="http://schemas.openxmlformats.org/officeDocument/2006/relationships/hyperlink" Target="http://pokemondb.net/pokedex/tirtouga" TargetMode="External"/><Relationship Id="rId1672" Type="http://schemas.openxmlformats.org/officeDocument/2006/relationships/hyperlink" Target="http://pokemondb.net/type/dragon" TargetMode="External"/><Relationship Id="rId1020" Type="http://schemas.openxmlformats.org/officeDocument/2006/relationships/hyperlink" Target="http://pokemondb.net/pokedex/piplup" TargetMode="External"/><Relationship Id="rId1118" Type="http://schemas.openxmlformats.org/officeDocument/2006/relationships/hyperlink" Target="http://pokemondb.net/pokedex/purugly" TargetMode="External"/><Relationship Id="rId1325" Type="http://schemas.openxmlformats.org/officeDocument/2006/relationships/hyperlink" Target="http://pokemondb.net/type/normal" TargetMode="External"/><Relationship Id="rId1532" Type="http://schemas.openxmlformats.org/officeDocument/2006/relationships/hyperlink" Target="http://pokemondb.net/type/poison" TargetMode="External"/><Relationship Id="rId902" Type="http://schemas.openxmlformats.org/officeDocument/2006/relationships/hyperlink" Target="http://pokemondb.net/pokedex/anorith" TargetMode="External"/><Relationship Id="rId1837" Type="http://schemas.openxmlformats.org/officeDocument/2006/relationships/hyperlink" Target="http://pokemondb.net/type/flying" TargetMode="External"/><Relationship Id="rId31" Type="http://schemas.openxmlformats.org/officeDocument/2006/relationships/hyperlink" Target="http://pokemondb.net/type/bug" TargetMode="External"/><Relationship Id="rId180" Type="http://schemas.openxmlformats.org/officeDocument/2006/relationships/hyperlink" Target="http://pokemondb.net/type/poison" TargetMode="External"/><Relationship Id="rId278" Type="http://schemas.openxmlformats.org/officeDocument/2006/relationships/hyperlink" Target="http://pokemondb.net/type/poison" TargetMode="External"/><Relationship Id="rId1904" Type="http://schemas.openxmlformats.org/officeDocument/2006/relationships/hyperlink" Target="http://pokemondb.net/pokedex/tornadus" TargetMode="External"/><Relationship Id="rId485" Type="http://schemas.openxmlformats.org/officeDocument/2006/relationships/hyperlink" Target="http://pokemondb.net/type/grass" TargetMode="External"/><Relationship Id="rId692" Type="http://schemas.openxmlformats.org/officeDocument/2006/relationships/hyperlink" Target="http://pokemondb.net/pokedex/dustox" TargetMode="External"/><Relationship Id="rId138" Type="http://schemas.openxmlformats.org/officeDocument/2006/relationships/hyperlink" Target="http://pokemondb.net/pokedex/persian" TargetMode="External"/><Relationship Id="rId345" Type="http://schemas.openxmlformats.org/officeDocument/2006/relationships/hyperlink" Target="http://pokemondb.net/pokedex/flareon" TargetMode="External"/><Relationship Id="rId552" Type="http://schemas.openxmlformats.org/officeDocument/2006/relationships/hyperlink" Target="http://pokemondb.net/type/bug" TargetMode="External"/><Relationship Id="rId997" Type="http://schemas.openxmlformats.org/officeDocument/2006/relationships/hyperlink" Target="http://pokemondb.net/pokedex/deoxys" TargetMode="External"/><Relationship Id="rId1182" Type="http://schemas.openxmlformats.org/officeDocument/2006/relationships/hyperlink" Target="http://pokemondb.net/type/fighting" TargetMode="External"/><Relationship Id="rId205" Type="http://schemas.openxmlformats.org/officeDocument/2006/relationships/hyperlink" Target="http://pokemondb.net/type/psychic" TargetMode="External"/><Relationship Id="rId412" Type="http://schemas.openxmlformats.org/officeDocument/2006/relationships/hyperlink" Target="http://pokemondb.net/type/normal" TargetMode="External"/><Relationship Id="rId857" Type="http://schemas.openxmlformats.org/officeDocument/2006/relationships/hyperlink" Target="http://pokemondb.net/type/dragon" TargetMode="External"/><Relationship Id="rId1042" Type="http://schemas.openxmlformats.org/officeDocument/2006/relationships/hyperlink" Target="http://pokemondb.net/type/bug" TargetMode="External"/><Relationship Id="rId1487" Type="http://schemas.openxmlformats.org/officeDocument/2006/relationships/hyperlink" Target="http://pokemondb.net/pokedex/cinccino" TargetMode="External"/><Relationship Id="rId1694" Type="http://schemas.openxmlformats.org/officeDocument/2006/relationships/hyperlink" Target="http://pokemondb.net/type/fighting" TargetMode="External"/><Relationship Id="rId717" Type="http://schemas.openxmlformats.org/officeDocument/2006/relationships/hyperlink" Target="http://pokemondb.net/type/flying" TargetMode="External"/><Relationship Id="rId924" Type="http://schemas.openxmlformats.org/officeDocument/2006/relationships/hyperlink" Target="http://pokemondb.net/type/ghost" TargetMode="External"/><Relationship Id="rId1347" Type="http://schemas.openxmlformats.org/officeDocument/2006/relationships/hyperlink" Target="http://pokemondb.net/type/psychic" TargetMode="External"/><Relationship Id="rId1554" Type="http://schemas.openxmlformats.org/officeDocument/2006/relationships/hyperlink" Target="http://pokemondb.net/type/steel" TargetMode="External"/><Relationship Id="rId1761" Type="http://schemas.openxmlformats.org/officeDocument/2006/relationships/hyperlink" Target="http://pokemondb.net/type/grass" TargetMode="External"/><Relationship Id="rId53" Type="http://schemas.openxmlformats.org/officeDocument/2006/relationships/hyperlink" Target="http://pokemondb.net/type/normal" TargetMode="External"/><Relationship Id="rId1207" Type="http://schemas.openxmlformats.org/officeDocument/2006/relationships/hyperlink" Target="http://pokemondb.net/type/normal" TargetMode="External"/><Relationship Id="rId1414" Type="http://schemas.openxmlformats.org/officeDocument/2006/relationships/hyperlink" Target="http://pokemondb.net/type/poison" TargetMode="External"/><Relationship Id="rId1621" Type="http://schemas.openxmlformats.org/officeDocument/2006/relationships/hyperlink" Target="http://pokemondb.net/type/normal" TargetMode="External"/><Relationship Id="rId1859" Type="http://schemas.openxmlformats.org/officeDocument/2006/relationships/hyperlink" Target="http://pokemondb.net/pokedex/pumpkaboo" TargetMode="External"/><Relationship Id="rId1719" Type="http://schemas.openxmlformats.org/officeDocument/2006/relationships/hyperlink" Target="http://pokemondb.net/type/water" TargetMode="External"/><Relationship Id="rId1926" Type="http://schemas.openxmlformats.org/officeDocument/2006/relationships/hyperlink" Target="http://pokemondb.net/pokedex/giratina" TargetMode="External"/><Relationship Id="rId367" Type="http://schemas.openxmlformats.org/officeDocument/2006/relationships/hyperlink" Target="http://pokemondb.net/type/normal" TargetMode="External"/><Relationship Id="rId574" Type="http://schemas.openxmlformats.org/officeDocument/2006/relationships/hyperlink" Target="http://pokemondb.net/type/rock" TargetMode="External"/><Relationship Id="rId227" Type="http://schemas.openxmlformats.org/officeDocument/2006/relationships/hyperlink" Target="http://pokemondb.net/type/poison" TargetMode="External"/><Relationship Id="rId781" Type="http://schemas.openxmlformats.org/officeDocument/2006/relationships/hyperlink" Target="http://pokemondb.net/type/dark" TargetMode="External"/><Relationship Id="rId879" Type="http://schemas.openxmlformats.org/officeDocument/2006/relationships/hyperlink" Target="http://pokemondb.net/pokedex/barboach" TargetMode="External"/><Relationship Id="rId434" Type="http://schemas.openxmlformats.org/officeDocument/2006/relationships/hyperlink" Target="http://pokemondb.net/pokedex/chinchou" TargetMode="External"/><Relationship Id="rId641" Type="http://schemas.openxmlformats.org/officeDocument/2006/relationships/hyperlink" Target="http://pokemondb.net/type/dark" TargetMode="External"/><Relationship Id="rId739" Type="http://schemas.openxmlformats.org/officeDocument/2006/relationships/hyperlink" Target="http://pokemondb.net/type/bug" TargetMode="External"/><Relationship Id="rId1064" Type="http://schemas.openxmlformats.org/officeDocument/2006/relationships/hyperlink" Target="http://pokemondb.net/pokedex/bastiodon" TargetMode="External"/><Relationship Id="rId1271" Type="http://schemas.openxmlformats.org/officeDocument/2006/relationships/hyperlink" Target="http://pokemondb.net/pokedex/heatran" TargetMode="External"/><Relationship Id="rId1369" Type="http://schemas.openxmlformats.org/officeDocument/2006/relationships/hyperlink" Target="http://pokemondb.net/pokedex/woobat" TargetMode="External"/><Relationship Id="rId1576" Type="http://schemas.openxmlformats.org/officeDocument/2006/relationships/hyperlink" Target="http://pokemondb.net/type/ghost" TargetMode="External"/><Relationship Id="rId501" Type="http://schemas.openxmlformats.org/officeDocument/2006/relationships/hyperlink" Target="http://pokemondb.net/type/ground" TargetMode="External"/><Relationship Id="rId946" Type="http://schemas.openxmlformats.org/officeDocument/2006/relationships/hyperlink" Target="http://pokemondb.net/type/ice" TargetMode="External"/><Relationship Id="rId1131" Type="http://schemas.openxmlformats.org/officeDocument/2006/relationships/hyperlink" Target="http://pokemondb.net/pokedex/bronzong" TargetMode="External"/><Relationship Id="rId1229" Type="http://schemas.openxmlformats.org/officeDocument/2006/relationships/hyperlink" Target="http://pokemondb.net/type/flying" TargetMode="External"/><Relationship Id="rId1783" Type="http://schemas.openxmlformats.org/officeDocument/2006/relationships/hyperlink" Target="http://pokemondb.net/type/steel" TargetMode="External"/><Relationship Id="rId75" Type="http://schemas.openxmlformats.org/officeDocument/2006/relationships/hyperlink" Target="http://pokemondb.net/pokedex/sandslash" TargetMode="External"/><Relationship Id="rId806" Type="http://schemas.openxmlformats.org/officeDocument/2006/relationships/hyperlink" Target="http://pokemondb.net/pokedex/electrike" TargetMode="External"/><Relationship Id="rId1436" Type="http://schemas.openxmlformats.org/officeDocument/2006/relationships/hyperlink" Target="http://pokemondb.net/type/dark" TargetMode="External"/><Relationship Id="rId1643" Type="http://schemas.openxmlformats.org/officeDocument/2006/relationships/hyperlink" Target="http://pokemondb.net/pokedex/larvesta" TargetMode="External"/><Relationship Id="rId1850" Type="http://schemas.openxmlformats.org/officeDocument/2006/relationships/hyperlink" Target="http://pokemondb.net/pokedex/klefki" TargetMode="External"/><Relationship Id="rId1503" Type="http://schemas.openxmlformats.org/officeDocument/2006/relationships/hyperlink" Target="http://pokemondb.net/type/flying" TargetMode="External"/><Relationship Id="rId1710" Type="http://schemas.openxmlformats.org/officeDocument/2006/relationships/hyperlink" Target="http://pokemondb.net/type/fighting" TargetMode="External"/><Relationship Id="rId291" Type="http://schemas.openxmlformats.org/officeDocument/2006/relationships/hyperlink" Target="http://pokemondb.net/pokedex/kangaskhan" TargetMode="External"/><Relationship Id="rId1808" Type="http://schemas.openxmlformats.org/officeDocument/2006/relationships/hyperlink" Target="http://pokemondb.net/pokedex/dragalge" TargetMode="External"/><Relationship Id="rId151" Type="http://schemas.openxmlformats.org/officeDocument/2006/relationships/hyperlink" Target="http://pokemondb.net/type/fire" TargetMode="External"/><Relationship Id="rId389" Type="http://schemas.openxmlformats.org/officeDocument/2006/relationships/hyperlink" Target="http://pokemondb.net/pokedex/mew" TargetMode="External"/><Relationship Id="rId596" Type="http://schemas.openxmlformats.org/officeDocument/2006/relationships/hyperlink" Target="http://pokemondb.net/type/fire" TargetMode="External"/><Relationship Id="rId249" Type="http://schemas.openxmlformats.org/officeDocument/2006/relationships/hyperlink" Target="http://pokemondb.net/pokedex/drowzee" TargetMode="External"/><Relationship Id="rId456" Type="http://schemas.openxmlformats.org/officeDocument/2006/relationships/hyperlink" Target="http://pokemondb.net/type/psychic" TargetMode="External"/><Relationship Id="rId663" Type="http://schemas.openxmlformats.org/officeDocument/2006/relationships/hyperlink" Target="http://pokemondb.net/type/fire" TargetMode="External"/><Relationship Id="rId870" Type="http://schemas.openxmlformats.org/officeDocument/2006/relationships/hyperlink" Target="http://pokemondb.net/type/normal" TargetMode="External"/><Relationship Id="rId1086" Type="http://schemas.openxmlformats.org/officeDocument/2006/relationships/hyperlink" Target="http://pokemondb.net/pokedex/buizel" TargetMode="External"/><Relationship Id="rId1293" Type="http://schemas.openxmlformats.org/officeDocument/2006/relationships/hyperlink" Target="http://pokemondb.net/type/grass" TargetMode="External"/><Relationship Id="rId109" Type="http://schemas.openxmlformats.org/officeDocument/2006/relationships/hyperlink" Target="http://pokemondb.net/type/poison" TargetMode="External"/><Relationship Id="rId316" Type="http://schemas.openxmlformats.org/officeDocument/2006/relationships/hyperlink" Target="http://pokemondb.net/type/psychic" TargetMode="External"/><Relationship Id="rId523" Type="http://schemas.openxmlformats.org/officeDocument/2006/relationships/hyperlink" Target="http://pokemondb.net/pokedex/forretress" TargetMode="External"/><Relationship Id="rId968" Type="http://schemas.openxmlformats.org/officeDocument/2006/relationships/hyperlink" Target="http://pokemondb.net/type/psychic" TargetMode="External"/><Relationship Id="rId1153" Type="http://schemas.openxmlformats.org/officeDocument/2006/relationships/hyperlink" Target="http://pokemondb.net/pokedex/garchomp" TargetMode="External"/><Relationship Id="rId1598" Type="http://schemas.openxmlformats.org/officeDocument/2006/relationships/hyperlink" Target="http://pokemondb.net/type/fighting" TargetMode="External"/><Relationship Id="rId97" Type="http://schemas.openxmlformats.org/officeDocument/2006/relationships/hyperlink" Target="http://pokemondb.net/pokedex/ninetales" TargetMode="External"/><Relationship Id="rId730" Type="http://schemas.openxmlformats.org/officeDocument/2006/relationships/hyperlink" Target="http://pokemondb.net/pokedex/gardevoir" TargetMode="External"/><Relationship Id="rId828" Type="http://schemas.openxmlformats.org/officeDocument/2006/relationships/hyperlink" Target="http://pokemondb.net/type/dark" TargetMode="External"/><Relationship Id="rId1013" Type="http://schemas.openxmlformats.org/officeDocument/2006/relationships/hyperlink" Target="http://pokemondb.net/type/fire" TargetMode="External"/><Relationship Id="rId1360" Type="http://schemas.openxmlformats.org/officeDocument/2006/relationships/hyperlink" Target="http://pokemondb.net/type/electric" TargetMode="External"/><Relationship Id="rId1458" Type="http://schemas.openxmlformats.org/officeDocument/2006/relationships/hyperlink" Target="http://pokemondb.net/pokedex/sigilyph" TargetMode="External"/><Relationship Id="rId1665" Type="http://schemas.openxmlformats.org/officeDocument/2006/relationships/hyperlink" Target="http://pokemondb.net/pokedex/thundurus" TargetMode="External"/><Relationship Id="rId1872" Type="http://schemas.openxmlformats.org/officeDocument/2006/relationships/hyperlink" Target="http://pokemondb.net/type/ghost" TargetMode="External"/><Relationship Id="rId1220" Type="http://schemas.openxmlformats.org/officeDocument/2006/relationships/hyperlink" Target="http://pokemondb.net/pokedex/yanmega" TargetMode="External"/><Relationship Id="rId1318" Type="http://schemas.openxmlformats.org/officeDocument/2006/relationships/hyperlink" Target="http://pokemondb.net/pokedex/samurott" TargetMode="External"/><Relationship Id="rId1525" Type="http://schemas.openxmlformats.org/officeDocument/2006/relationships/hyperlink" Target="http://pokemondb.net/type/bug" TargetMode="External"/><Relationship Id="rId1732" Type="http://schemas.openxmlformats.org/officeDocument/2006/relationships/hyperlink" Target="http://pokemondb.net/type/flying" TargetMode="External"/><Relationship Id="rId24" Type="http://schemas.openxmlformats.org/officeDocument/2006/relationships/hyperlink" Target="http://pokemondb.net/type/water" TargetMode="External"/><Relationship Id="rId173" Type="http://schemas.openxmlformats.org/officeDocument/2006/relationships/hyperlink" Target="http://pokemondb.net/type/grass" TargetMode="External"/><Relationship Id="rId380" Type="http://schemas.openxmlformats.org/officeDocument/2006/relationships/hyperlink" Target="http://pokemondb.net/type/dragon" TargetMode="External"/><Relationship Id="rId240" Type="http://schemas.openxmlformats.org/officeDocument/2006/relationships/hyperlink" Target="http://pokemondb.net/type/poison" TargetMode="External"/><Relationship Id="rId478" Type="http://schemas.openxmlformats.org/officeDocument/2006/relationships/hyperlink" Target="http://pokemondb.net/pokedex/hoppip" TargetMode="External"/><Relationship Id="rId685" Type="http://schemas.openxmlformats.org/officeDocument/2006/relationships/hyperlink" Target="http://pokemondb.net/pokedex/silcoon" TargetMode="External"/><Relationship Id="rId892" Type="http://schemas.openxmlformats.org/officeDocument/2006/relationships/hyperlink" Target="http://pokemondb.net/type/psychic" TargetMode="External"/><Relationship Id="rId100" Type="http://schemas.openxmlformats.org/officeDocument/2006/relationships/hyperlink" Target="http://pokemondb.net/type/normal" TargetMode="External"/><Relationship Id="rId338" Type="http://schemas.openxmlformats.org/officeDocument/2006/relationships/hyperlink" Target="http://pokemondb.net/type/normal" TargetMode="External"/><Relationship Id="rId545" Type="http://schemas.openxmlformats.org/officeDocument/2006/relationships/hyperlink" Target="http://pokemondb.net/type/steel" TargetMode="External"/><Relationship Id="rId752" Type="http://schemas.openxmlformats.org/officeDocument/2006/relationships/hyperlink" Target="http://pokemondb.net/pokedex/nincada" TargetMode="External"/><Relationship Id="rId1175" Type="http://schemas.openxmlformats.org/officeDocument/2006/relationships/hyperlink" Target="http://pokemondb.net/type/poison" TargetMode="External"/><Relationship Id="rId1382" Type="http://schemas.openxmlformats.org/officeDocument/2006/relationships/hyperlink" Target="http://pokemondb.net/pokedex/timburr" TargetMode="External"/><Relationship Id="rId405" Type="http://schemas.openxmlformats.org/officeDocument/2006/relationships/hyperlink" Target="http://pokemondb.net/pokedex/croconaw" TargetMode="External"/><Relationship Id="rId612" Type="http://schemas.openxmlformats.org/officeDocument/2006/relationships/hyperlink" Target="http://pokemondb.net/pokedex/hitmontop" TargetMode="External"/><Relationship Id="rId1035" Type="http://schemas.openxmlformats.org/officeDocument/2006/relationships/hyperlink" Target="http://pokemondb.net/type/flying" TargetMode="External"/><Relationship Id="rId1242" Type="http://schemas.openxmlformats.org/officeDocument/2006/relationships/hyperlink" Target="http://pokemondb.net/type/ghost" TargetMode="External"/><Relationship Id="rId1687" Type="http://schemas.openxmlformats.org/officeDocument/2006/relationships/hyperlink" Target="http://pokemondb.net/type/dragon" TargetMode="External"/><Relationship Id="rId1894" Type="http://schemas.openxmlformats.org/officeDocument/2006/relationships/hyperlink" Target="http://pokemondb.net/type/fairy" TargetMode="External"/><Relationship Id="rId917" Type="http://schemas.openxmlformats.org/officeDocument/2006/relationships/hyperlink" Target="http://pokemondb.net/type/ghost" TargetMode="External"/><Relationship Id="rId1102" Type="http://schemas.openxmlformats.org/officeDocument/2006/relationships/hyperlink" Target="http://pokemondb.net/type/ghost" TargetMode="External"/><Relationship Id="rId1547" Type="http://schemas.openxmlformats.org/officeDocument/2006/relationships/hyperlink" Target="http://pokemondb.net/pokedex/ferroseed" TargetMode="External"/><Relationship Id="rId1754" Type="http://schemas.openxmlformats.org/officeDocument/2006/relationships/hyperlink" Target="http://pokemondb.net/pokedex/floette" TargetMode="External"/><Relationship Id="rId46" Type="http://schemas.openxmlformats.org/officeDocument/2006/relationships/hyperlink" Target="http://pokemondb.net/pokedex/pidgey" TargetMode="External"/><Relationship Id="rId1407" Type="http://schemas.openxmlformats.org/officeDocument/2006/relationships/hyperlink" Target="http://pokemondb.net/type/bug" TargetMode="External"/><Relationship Id="rId1614" Type="http://schemas.openxmlformats.org/officeDocument/2006/relationships/hyperlink" Target="http://pokemondb.net/type/steel" TargetMode="External"/><Relationship Id="rId1821" Type="http://schemas.openxmlformats.org/officeDocument/2006/relationships/hyperlink" Target="http://pokemondb.net/pokedex/tyrunt" TargetMode="External"/><Relationship Id="rId195" Type="http://schemas.openxmlformats.org/officeDocument/2006/relationships/hyperlink" Target="http://pokemondb.net/type/ground" TargetMode="External"/><Relationship Id="rId1919" Type="http://schemas.openxmlformats.org/officeDocument/2006/relationships/hyperlink" Target="http://pokemondb.net/pokedex/pumpkaboo" TargetMode="External"/><Relationship Id="rId262" Type="http://schemas.openxmlformats.org/officeDocument/2006/relationships/hyperlink" Target="http://pokemondb.net/type/grass" TargetMode="External"/><Relationship Id="rId567" Type="http://schemas.openxmlformats.org/officeDocument/2006/relationships/hyperlink" Target="http://pokemondb.net/type/ice" TargetMode="External"/><Relationship Id="rId1197" Type="http://schemas.openxmlformats.org/officeDocument/2006/relationships/hyperlink" Target="http://pokemondb.net/type/ice" TargetMode="External"/><Relationship Id="rId122" Type="http://schemas.openxmlformats.org/officeDocument/2006/relationships/hyperlink" Target="http://pokemondb.net/type/grass" TargetMode="External"/><Relationship Id="rId774" Type="http://schemas.openxmlformats.org/officeDocument/2006/relationships/hyperlink" Target="http://pokemondb.net/pokedex/nosepass" TargetMode="External"/><Relationship Id="rId981" Type="http://schemas.openxmlformats.org/officeDocument/2006/relationships/hyperlink" Target="http://pokemondb.net/pokedex/latias" TargetMode="External"/><Relationship Id="rId1057" Type="http://schemas.openxmlformats.org/officeDocument/2006/relationships/hyperlink" Target="http://pokemondb.net/pokedex/cranidos" TargetMode="External"/><Relationship Id="rId427" Type="http://schemas.openxmlformats.org/officeDocument/2006/relationships/hyperlink" Target="http://pokemondb.net/type/poison" TargetMode="External"/><Relationship Id="rId634" Type="http://schemas.openxmlformats.org/officeDocument/2006/relationships/hyperlink" Target="http://pokemondb.net/pokedex/pupitar" TargetMode="External"/><Relationship Id="rId841" Type="http://schemas.openxmlformats.org/officeDocument/2006/relationships/hyperlink" Target="http://pokemondb.net/type/ground" TargetMode="External"/><Relationship Id="rId1264" Type="http://schemas.openxmlformats.org/officeDocument/2006/relationships/hyperlink" Target="http://pokemondb.net/type/psychic" TargetMode="External"/><Relationship Id="rId1471" Type="http://schemas.openxmlformats.org/officeDocument/2006/relationships/hyperlink" Target="http://pokemondb.net/pokedex/archen" TargetMode="External"/><Relationship Id="rId1569" Type="http://schemas.openxmlformats.org/officeDocument/2006/relationships/hyperlink" Target="http://pokemondb.net/pokedex/litwick" TargetMode="External"/><Relationship Id="rId701" Type="http://schemas.openxmlformats.org/officeDocument/2006/relationships/hyperlink" Target="http://pokemondb.net/pokedex/ludicolo" TargetMode="External"/><Relationship Id="rId939" Type="http://schemas.openxmlformats.org/officeDocument/2006/relationships/hyperlink" Target="http://pokemondb.net/pokedex/spheal" TargetMode="External"/><Relationship Id="rId1124" Type="http://schemas.openxmlformats.org/officeDocument/2006/relationships/hyperlink" Target="http://pokemondb.net/type/dark" TargetMode="External"/><Relationship Id="rId1331" Type="http://schemas.openxmlformats.org/officeDocument/2006/relationships/hyperlink" Target="http://pokemondb.net/type/dark" TargetMode="External"/><Relationship Id="rId1776" Type="http://schemas.openxmlformats.org/officeDocument/2006/relationships/hyperlink" Target="http://pokemondb.net/pokedex/doublade" TargetMode="External"/><Relationship Id="rId68" Type="http://schemas.openxmlformats.org/officeDocument/2006/relationships/hyperlink" Target="http://pokemondb.net/type/poison" TargetMode="External"/><Relationship Id="rId1429" Type="http://schemas.openxmlformats.org/officeDocument/2006/relationships/hyperlink" Target="http://pokemondb.net/type/ground" TargetMode="External"/><Relationship Id="rId1636" Type="http://schemas.openxmlformats.org/officeDocument/2006/relationships/hyperlink" Target="http://pokemondb.net/type/dragon" TargetMode="External"/><Relationship Id="rId1843" Type="http://schemas.openxmlformats.org/officeDocument/2006/relationships/hyperlink" Target="http://pokemondb.net/type/fairy" TargetMode="External"/><Relationship Id="rId1703" Type="http://schemas.openxmlformats.org/officeDocument/2006/relationships/hyperlink" Target="http://pokemondb.net/type/steel" TargetMode="External"/><Relationship Id="rId1910" Type="http://schemas.openxmlformats.org/officeDocument/2006/relationships/hyperlink" Target="http://pokemondb.net/pokedex/kyurem" TargetMode="External"/><Relationship Id="rId284" Type="http://schemas.openxmlformats.org/officeDocument/2006/relationships/hyperlink" Target="http://pokemondb.net/pokedex/rhydon" TargetMode="External"/><Relationship Id="rId491" Type="http://schemas.openxmlformats.org/officeDocument/2006/relationships/hyperlink" Target="http://pokemondb.net/pokedex/sunflora" TargetMode="External"/><Relationship Id="rId144" Type="http://schemas.openxmlformats.org/officeDocument/2006/relationships/hyperlink" Target="http://pokemondb.net/pokedex/mankey" TargetMode="External"/><Relationship Id="rId589" Type="http://schemas.openxmlformats.org/officeDocument/2006/relationships/hyperlink" Target="http://pokemondb.net/type/dark" TargetMode="External"/><Relationship Id="rId796" Type="http://schemas.openxmlformats.org/officeDocument/2006/relationships/hyperlink" Target="http://pokemondb.net/type/rock" TargetMode="External"/><Relationship Id="rId351" Type="http://schemas.openxmlformats.org/officeDocument/2006/relationships/hyperlink" Target="http://pokemondb.net/type/water" TargetMode="External"/><Relationship Id="rId449" Type="http://schemas.openxmlformats.org/officeDocument/2006/relationships/hyperlink" Target="http://pokemondb.net/pokedex/togetic" TargetMode="External"/><Relationship Id="rId656" Type="http://schemas.openxmlformats.org/officeDocument/2006/relationships/hyperlink" Target="http://pokemondb.net/type/grass" TargetMode="External"/><Relationship Id="rId863" Type="http://schemas.openxmlformats.org/officeDocument/2006/relationships/hyperlink" Target="http://pokemondb.net/pokedex/swablu" TargetMode="External"/><Relationship Id="rId1079" Type="http://schemas.openxmlformats.org/officeDocument/2006/relationships/hyperlink" Target="http://pokemondb.net/type/bug" TargetMode="External"/><Relationship Id="rId1286" Type="http://schemas.openxmlformats.org/officeDocument/2006/relationships/hyperlink" Target="http://pokemondb.net/pokedex/manaphy" TargetMode="External"/><Relationship Id="rId1493" Type="http://schemas.openxmlformats.org/officeDocument/2006/relationships/hyperlink" Target="http://pokemondb.net/pokedex/gothitelle" TargetMode="External"/><Relationship Id="rId211" Type="http://schemas.openxmlformats.org/officeDocument/2006/relationships/hyperlink" Target="http://pokemondb.net/type/steel" TargetMode="External"/><Relationship Id="rId309" Type="http://schemas.openxmlformats.org/officeDocument/2006/relationships/hyperlink" Target="http://pokemondb.net/type/psychic" TargetMode="External"/><Relationship Id="rId516" Type="http://schemas.openxmlformats.org/officeDocument/2006/relationships/hyperlink" Target="http://pokemondb.net/pokedex/wobbuffet" TargetMode="External"/><Relationship Id="rId1146" Type="http://schemas.openxmlformats.org/officeDocument/2006/relationships/hyperlink" Target="http://pokemondb.net/type/dark" TargetMode="External"/><Relationship Id="rId1798" Type="http://schemas.openxmlformats.org/officeDocument/2006/relationships/hyperlink" Target="http://pokemondb.net/type/psychic" TargetMode="External"/><Relationship Id="rId723" Type="http://schemas.openxmlformats.org/officeDocument/2006/relationships/hyperlink" Target="http://pokemondb.net/type/flying" TargetMode="External"/><Relationship Id="rId930" Type="http://schemas.openxmlformats.org/officeDocument/2006/relationships/hyperlink" Target="http://pokemondb.net/pokedex/absol" TargetMode="External"/><Relationship Id="rId1006" Type="http://schemas.openxmlformats.org/officeDocument/2006/relationships/hyperlink" Target="http://pokemondb.net/type/grass" TargetMode="External"/><Relationship Id="rId1353" Type="http://schemas.openxmlformats.org/officeDocument/2006/relationships/hyperlink" Target="http://pokemondb.net/pokedex/tranquill" TargetMode="External"/><Relationship Id="rId1560" Type="http://schemas.openxmlformats.org/officeDocument/2006/relationships/hyperlink" Target="http://pokemondb.net/type/electric" TargetMode="External"/><Relationship Id="rId1658" Type="http://schemas.openxmlformats.org/officeDocument/2006/relationships/hyperlink" Target="http://pokemondb.net/pokedex/tornadus" TargetMode="External"/><Relationship Id="rId1865" Type="http://schemas.openxmlformats.org/officeDocument/2006/relationships/hyperlink" Target="http://pokemondb.net/pokedex/pumpkaboo" TargetMode="External"/><Relationship Id="rId1213" Type="http://schemas.openxmlformats.org/officeDocument/2006/relationships/hyperlink" Target="http://pokemondb.net/pokedex/electivire" TargetMode="External"/><Relationship Id="rId1420" Type="http://schemas.openxmlformats.org/officeDocument/2006/relationships/hyperlink" Target="http://pokemondb.net/pokedex/whimsicott" TargetMode="External"/><Relationship Id="rId1518" Type="http://schemas.openxmlformats.org/officeDocument/2006/relationships/hyperlink" Target="http://pokemondb.net/type/grass" TargetMode="External"/><Relationship Id="rId1725" Type="http://schemas.openxmlformats.org/officeDocument/2006/relationships/hyperlink" Target="http://pokemondb.net/pokedex/bunnelby" TargetMode="External"/><Relationship Id="rId17" Type="http://schemas.openxmlformats.org/officeDocument/2006/relationships/hyperlink" Target="http://pokemondb.net/type/fire" TargetMode="External"/><Relationship Id="rId166" Type="http://schemas.openxmlformats.org/officeDocument/2006/relationships/hyperlink" Target="http://pokemondb.net/pokedex/machop" TargetMode="External"/><Relationship Id="rId373" Type="http://schemas.openxmlformats.org/officeDocument/2006/relationships/hyperlink" Target="http://pokemondb.net/type/flying" TargetMode="External"/><Relationship Id="rId580" Type="http://schemas.openxmlformats.org/officeDocument/2006/relationships/hyperlink" Target="http://pokemondb.net/type/ice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type/water" TargetMode="External"/><Relationship Id="rId440" Type="http://schemas.openxmlformats.org/officeDocument/2006/relationships/hyperlink" Target="http://pokemondb.net/pokedex/pichu" TargetMode="External"/><Relationship Id="rId678" Type="http://schemas.openxmlformats.org/officeDocument/2006/relationships/hyperlink" Target="http://pokemondb.net/type/dark" TargetMode="External"/><Relationship Id="rId885" Type="http://schemas.openxmlformats.org/officeDocument/2006/relationships/hyperlink" Target="http://pokemondb.net/pokedex/corphish" TargetMode="External"/><Relationship Id="rId1070" Type="http://schemas.openxmlformats.org/officeDocument/2006/relationships/hyperlink" Target="http://pokemondb.net/type/bug" TargetMode="External"/><Relationship Id="rId300" Type="http://schemas.openxmlformats.org/officeDocument/2006/relationships/hyperlink" Target="http://pokemondb.net/type/water" TargetMode="External"/><Relationship Id="rId538" Type="http://schemas.openxmlformats.org/officeDocument/2006/relationships/hyperlink" Target="http://pokemondb.net/pokedex/qwilfish" TargetMode="External"/><Relationship Id="rId745" Type="http://schemas.openxmlformats.org/officeDocument/2006/relationships/hyperlink" Target="http://pokemondb.net/type/fighting" TargetMode="External"/><Relationship Id="rId952" Type="http://schemas.openxmlformats.org/officeDocument/2006/relationships/hyperlink" Target="http://pokemondb.net/pokedex/gorebyss" TargetMode="External"/><Relationship Id="rId1168" Type="http://schemas.openxmlformats.org/officeDocument/2006/relationships/hyperlink" Target="http://pokemondb.net/type/ground" TargetMode="External"/><Relationship Id="rId1375" Type="http://schemas.openxmlformats.org/officeDocument/2006/relationships/hyperlink" Target="http://pokemondb.net/pokedex/drilbur" TargetMode="External"/><Relationship Id="rId1582" Type="http://schemas.openxmlformats.org/officeDocument/2006/relationships/hyperlink" Target="http://pokemondb.net/pokedex/haxorus" TargetMode="External"/><Relationship Id="rId81" Type="http://schemas.openxmlformats.org/officeDocument/2006/relationships/hyperlink" Target="http://pokemondb.net/pokedex/nidoqueen" TargetMode="External"/><Relationship Id="rId605" Type="http://schemas.openxmlformats.org/officeDocument/2006/relationships/hyperlink" Target="http://pokemondb.net/type/normal" TargetMode="External"/><Relationship Id="rId812" Type="http://schemas.openxmlformats.org/officeDocument/2006/relationships/hyperlink" Target="http://pokemondb.net/type/electric" TargetMode="External"/><Relationship Id="rId1028" Type="http://schemas.openxmlformats.org/officeDocument/2006/relationships/hyperlink" Target="http://pokemondb.net/type/normal" TargetMode="External"/><Relationship Id="rId1235" Type="http://schemas.openxmlformats.org/officeDocument/2006/relationships/hyperlink" Target="http://pokemondb.net/pokedex/gallade" TargetMode="External"/><Relationship Id="rId1442" Type="http://schemas.openxmlformats.org/officeDocument/2006/relationships/hyperlink" Target="http://pokemondb.net/type/fire" TargetMode="External"/><Relationship Id="rId1887" Type="http://schemas.openxmlformats.org/officeDocument/2006/relationships/hyperlink" Target="http://pokemondb.net/pokedex/noibat" TargetMode="External"/><Relationship Id="rId1302" Type="http://schemas.openxmlformats.org/officeDocument/2006/relationships/hyperlink" Target="http://pokemondb.net/pokedex/servine" TargetMode="External"/><Relationship Id="rId1747" Type="http://schemas.openxmlformats.org/officeDocument/2006/relationships/hyperlink" Target="http://pokemondb.net/type/fire" TargetMode="External"/><Relationship Id="rId39" Type="http://schemas.openxmlformats.org/officeDocument/2006/relationships/hyperlink" Target="http://pokemondb.net/type/poison" TargetMode="External"/><Relationship Id="rId1607" Type="http://schemas.openxmlformats.org/officeDocument/2006/relationships/hyperlink" Target="http://pokemondb.net/type/ground" TargetMode="External"/><Relationship Id="rId1814" Type="http://schemas.openxmlformats.org/officeDocument/2006/relationships/hyperlink" Target="http://pokemondb.net/type/water" TargetMode="External"/><Relationship Id="rId188" Type="http://schemas.openxmlformats.org/officeDocument/2006/relationships/hyperlink" Target="http://pokemondb.net/type/rock" TargetMode="External"/><Relationship Id="rId395" Type="http://schemas.openxmlformats.org/officeDocument/2006/relationships/hyperlink" Target="http://pokemondb.net/pokedex/meganium" TargetMode="External"/><Relationship Id="rId255" Type="http://schemas.openxmlformats.org/officeDocument/2006/relationships/hyperlink" Target="http://pokemondb.net/pokedex/kingler" TargetMode="External"/><Relationship Id="rId462" Type="http://schemas.openxmlformats.org/officeDocument/2006/relationships/hyperlink" Target="http://pokemondb.net/pokedex/ampharos" TargetMode="External"/><Relationship Id="rId1092" Type="http://schemas.openxmlformats.org/officeDocument/2006/relationships/hyperlink" Target="http://pokemondb.net/pokedex/cherrim" TargetMode="External"/><Relationship Id="rId1397" Type="http://schemas.openxmlformats.org/officeDocument/2006/relationships/hyperlink" Target="http://pokemondb.net/type/fighting" TargetMode="External"/><Relationship Id="rId115" Type="http://schemas.openxmlformats.org/officeDocument/2006/relationships/hyperlink" Target="http://pokemondb.net/type/grass" TargetMode="External"/><Relationship Id="rId322" Type="http://schemas.openxmlformats.org/officeDocument/2006/relationships/hyperlink" Target="http://pokemondb.net/type/bug" TargetMode="External"/><Relationship Id="rId767" Type="http://schemas.openxmlformats.org/officeDocument/2006/relationships/hyperlink" Target="http://pokemondb.net/pokedex/makuhita" TargetMode="External"/><Relationship Id="rId974" Type="http://schemas.openxmlformats.org/officeDocument/2006/relationships/hyperlink" Target="http://pokemondb.net/type/psychic" TargetMode="External"/><Relationship Id="rId627" Type="http://schemas.openxmlformats.org/officeDocument/2006/relationships/hyperlink" Target="http://pokemondb.net/pokedex/entei" TargetMode="External"/><Relationship Id="rId834" Type="http://schemas.openxmlformats.org/officeDocument/2006/relationships/hyperlink" Target="http://pokemondb.net/pokedex/wailord" TargetMode="External"/><Relationship Id="rId1257" Type="http://schemas.openxmlformats.org/officeDocument/2006/relationships/hyperlink" Target="http://pokemondb.net/type/electric" TargetMode="External"/><Relationship Id="rId1464" Type="http://schemas.openxmlformats.org/officeDocument/2006/relationships/hyperlink" Target="http://pokemondb.net/type/ghost" TargetMode="External"/><Relationship Id="rId1671" Type="http://schemas.openxmlformats.org/officeDocument/2006/relationships/hyperlink" Target="http://pokemondb.net/pokedex/zekrom" TargetMode="External"/><Relationship Id="rId901" Type="http://schemas.openxmlformats.org/officeDocument/2006/relationships/hyperlink" Target="http://pokemondb.net/type/grass" TargetMode="External"/><Relationship Id="rId1117" Type="http://schemas.openxmlformats.org/officeDocument/2006/relationships/hyperlink" Target="http://pokemondb.net/type/normal" TargetMode="External"/><Relationship Id="rId1324" Type="http://schemas.openxmlformats.org/officeDocument/2006/relationships/hyperlink" Target="http://pokemondb.net/pokedex/lillipup" TargetMode="External"/><Relationship Id="rId1531" Type="http://schemas.openxmlformats.org/officeDocument/2006/relationships/hyperlink" Target="http://pokemondb.net/type/grass" TargetMode="External"/><Relationship Id="rId1769" Type="http://schemas.openxmlformats.org/officeDocument/2006/relationships/hyperlink" Target="http://pokemondb.net/pokedex/espurr" TargetMode="External"/><Relationship Id="rId30" Type="http://schemas.openxmlformats.org/officeDocument/2006/relationships/hyperlink" Target="http://pokemondb.net/pokedex/caterpie" TargetMode="External"/><Relationship Id="rId1629" Type="http://schemas.openxmlformats.org/officeDocument/2006/relationships/hyperlink" Target="http://pokemondb.net/pokedex/heatmor" TargetMode="External"/><Relationship Id="rId1836" Type="http://schemas.openxmlformats.org/officeDocument/2006/relationships/hyperlink" Target="http://pokemondb.net/type/fighting" TargetMode="External"/><Relationship Id="rId1903" Type="http://schemas.openxmlformats.org/officeDocument/2006/relationships/hyperlink" Target="http://pokemondb.net/pokedex/tornadus" TargetMode="External"/><Relationship Id="rId277" Type="http://schemas.openxmlformats.org/officeDocument/2006/relationships/hyperlink" Target="http://pokemondb.net/pokedex/koffing" TargetMode="External"/><Relationship Id="rId484" Type="http://schemas.openxmlformats.org/officeDocument/2006/relationships/hyperlink" Target="http://pokemondb.net/pokedex/jumpluff" TargetMode="External"/><Relationship Id="rId137" Type="http://schemas.openxmlformats.org/officeDocument/2006/relationships/hyperlink" Target="http://pokemondb.net/type/normal" TargetMode="External"/><Relationship Id="rId344" Type="http://schemas.openxmlformats.org/officeDocument/2006/relationships/hyperlink" Target="http://pokemondb.net/type/electric" TargetMode="External"/><Relationship Id="rId691" Type="http://schemas.openxmlformats.org/officeDocument/2006/relationships/hyperlink" Target="http://pokemondb.net/type/bug" TargetMode="External"/><Relationship Id="rId789" Type="http://schemas.openxmlformats.org/officeDocument/2006/relationships/hyperlink" Target="http://pokemondb.net/type/steel" TargetMode="External"/><Relationship Id="rId996" Type="http://schemas.openxmlformats.org/officeDocument/2006/relationships/hyperlink" Target="http://pokemondb.net/type/psychic" TargetMode="External"/><Relationship Id="rId551" Type="http://schemas.openxmlformats.org/officeDocument/2006/relationships/hyperlink" Target="http://pokemondb.net/type/fighting" TargetMode="External"/><Relationship Id="rId649" Type="http://schemas.openxmlformats.org/officeDocument/2006/relationships/hyperlink" Target="http://pokemondb.net/type/psychic" TargetMode="External"/><Relationship Id="rId856" Type="http://schemas.openxmlformats.org/officeDocument/2006/relationships/hyperlink" Target="http://pokemondb.net/type/ground" TargetMode="External"/><Relationship Id="rId1181" Type="http://schemas.openxmlformats.org/officeDocument/2006/relationships/hyperlink" Target="http://pokemondb.net/type/poison" TargetMode="External"/><Relationship Id="rId1279" Type="http://schemas.openxmlformats.org/officeDocument/2006/relationships/hyperlink" Target="http://pokemondb.net/pokedex/giratina" TargetMode="External"/><Relationship Id="rId1486" Type="http://schemas.openxmlformats.org/officeDocument/2006/relationships/hyperlink" Target="http://pokemondb.net/type/normal" TargetMode="External"/><Relationship Id="rId204" Type="http://schemas.openxmlformats.org/officeDocument/2006/relationships/hyperlink" Target="http://pokemondb.net/type/water" TargetMode="External"/><Relationship Id="rId411" Type="http://schemas.openxmlformats.org/officeDocument/2006/relationships/hyperlink" Target="http://pokemondb.net/pokedex/furret" TargetMode="External"/><Relationship Id="rId509" Type="http://schemas.openxmlformats.org/officeDocument/2006/relationships/hyperlink" Target="http://pokemondb.net/pokedex/slowking" TargetMode="External"/><Relationship Id="rId1041" Type="http://schemas.openxmlformats.org/officeDocument/2006/relationships/hyperlink" Target="http://pokemondb.net/pokedex/kricketot" TargetMode="External"/><Relationship Id="rId1139" Type="http://schemas.openxmlformats.org/officeDocument/2006/relationships/hyperlink" Target="http://pokemondb.net/pokedex/happiny" TargetMode="External"/><Relationship Id="rId1346" Type="http://schemas.openxmlformats.org/officeDocument/2006/relationships/hyperlink" Target="http://pokemondb.net/pokedex/munna" TargetMode="External"/><Relationship Id="rId1693" Type="http://schemas.openxmlformats.org/officeDocument/2006/relationships/hyperlink" Target="http://pokemondb.net/type/water" TargetMode="External"/><Relationship Id="rId716" Type="http://schemas.openxmlformats.org/officeDocument/2006/relationships/hyperlink" Target="http://pokemondb.net/type/normal" TargetMode="External"/><Relationship Id="rId923" Type="http://schemas.openxmlformats.org/officeDocument/2006/relationships/hyperlink" Target="http://pokemondb.net/pokedex/dusclops" TargetMode="External"/><Relationship Id="rId1553" Type="http://schemas.openxmlformats.org/officeDocument/2006/relationships/hyperlink" Target="http://pokemondb.net/pokedex/klink" TargetMode="External"/><Relationship Id="rId1760" Type="http://schemas.openxmlformats.org/officeDocument/2006/relationships/hyperlink" Target="http://pokemondb.net/pokedex/gogoat" TargetMode="External"/><Relationship Id="rId1858" Type="http://schemas.openxmlformats.org/officeDocument/2006/relationships/hyperlink" Target="http://pokemondb.net/type/grass" TargetMode="External"/><Relationship Id="rId52" Type="http://schemas.openxmlformats.org/officeDocument/2006/relationships/hyperlink" Target="http://pokemondb.net/pokedex/pidgeot" TargetMode="External"/><Relationship Id="rId1206" Type="http://schemas.openxmlformats.org/officeDocument/2006/relationships/hyperlink" Target="http://pokemondb.net/pokedex/lickilicky" TargetMode="External"/><Relationship Id="rId1413" Type="http://schemas.openxmlformats.org/officeDocument/2006/relationships/hyperlink" Target="http://pokemondb.net/type/bug" TargetMode="External"/><Relationship Id="rId1620" Type="http://schemas.openxmlformats.org/officeDocument/2006/relationships/hyperlink" Target="http://pokemondb.net/pokedex/braviary" TargetMode="External"/><Relationship Id="rId1718" Type="http://schemas.openxmlformats.org/officeDocument/2006/relationships/hyperlink" Target="http://pokemondb.net/pokedex/froakie" TargetMode="External"/><Relationship Id="rId1925" Type="http://schemas.openxmlformats.org/officeDocument/2006/relationships/hyperlink" Target="http://pokemondb.net/pokedex/gourgeist" TargetMode="External"/><Relationship Id="rId299" Type="http://schemas.openxmlformats.org/officeDocument/2006/relationships/hyperlink" Target="http://pokemondb.net/pokedex/goldeen" TargetMode="External"/><Relationship Id="rId159" Type="http://schemas.openxmlformats.org/officeDocument/2006/relationships/hyperlink" Target="http://pokemondb.net/pokedex/abra" TargetMode="External"/><Relationship Id="rId366" Type="http://schemas.openxmlformats.org/officeDocument/2006/relationships/hyperlink" Target="http://pokemondb.net/pokedex/snorlax" TargetMode="External"/><Relationship Id="rId573" Type="http://schemas.openxmlformats.org/officeDocument/2006/relationships/hyperlink" Target="http://pokemondb.net/type/water" TargetMode="External"/><Relationship Id="rId780" Type="http://schemas.openxmlformats.org/officeDocument/2006/relationships/hyperlink" Target="http://pokemondb.net/pokedex/sableye" TargetMode="External"/><Relationship Id="rId226" Type="http://schemas.openxmlformats.org/officeDocument/2006/relationships/hyperlink" Target="http://pokemondb.net/pokedex/grimer" TargetMode="External"/><Relationship Id="rId433" Type="http://schemas.openxmlformats.org/officeDocument/2006/relationships/hyperlink" Target="http://pokemondb.net/type/flying" TargetMode="External"/><Relationship Id="rId878" Type="http://schemas.openxmlformats.org/officeDocument/2006/relationships/hyperlink" Target="http://pokemondb.net/type/psychic" TargetMode="External"/><Relationship Id="rId1063" Type="http://schemas.openxmlformats.org/officeDocument/2006/relationships/hyperlink" Target="http://pokemondb.net/type/steel" TargetMode="External"/><Relationship Id="rId1270" Type="http://schemas.openxmlformats.org/officeDocument/2006/relationships/hyperlink" Target="http://pokemondb.net/type/dragon" TargetMode="External"/><Relationship Id="rId640" Type="http://schemas.openxmlformats.org/officeDocument/2006/relationships/hyperlink" Target="http://pokemondb.net/type/rock" TargetMode="External"/><Relationship Id="rId738" Type="http://schemas.openxmlformats.org/officeDocument/2006/relationships/hyperlink" Target="http://pokemondb.net/pokedex/masquerain" TargetMode="External"/><Relationship Id="rId945" Type="http://schemas.openxmlformats.org/officeDocument/2006/relationships/hyperlink" Target="http://pokemondb.net/pokedex/walrein" TargetMode="External"/><Relationship Id="rId1368" Type="http://schemas.openxmlformats.org/officeDocument/2006/relationships/hyperlink" Target="http://pokemondb.net/type/rock" TargetMode="External"/><Relationship Id="rId1575" Type="http://schemas.openxmlformats.org/officeDocument/2006/relationships/hyperlink" Target="http://pokemondb.net/pokedex/chandelure" TargetMode="External"/><Relationship Id="rId1782" Type="http://schemas.openxmlformats.org/officeDocument/2006/relationships/hyperlink" Target="http://pokemondb.net/pokedex/aegislash" TargetMode="External"/><Relationship Id="rId74" Type="http://schemas.openxmlformats.org/officeDocument/2006/relationships/hyperlink" Target="http://pokemondb.net/type/ground" TargetMode="External"/><Relationship Id="rId500" Type="http://schemas.openxmlformats.org/officeDocument/2006/relationships/hyperlink" Target="http://pokemondb.net/type/water" TargetMode="External"/><Relationship Id="rId805" Type="http://schemas.openxmlformats.org/officeDocument/2006/relationships/hyperlink" Target="http://pokemondb.net/type/psychic" TargetMode="External"/><Relationship Id="rId1130" Type="http://schemas.openxmlformats.org/officeDocument/2006/relationships/hyperlink" Target="http://pokemondb.net/type/psychic" TargetMode="External"/><Relationship Id="rId1228" Type="http://schemas.openxmlformats.org/officeDocument/2006/relationships/hyperlink" Target="http://pokemondb.net/type/ground" TargetMode="External"/><Relationship Id="rId1435" Type="http://schemas.openxmlformats.org/officeDocument/2006/relationships/hyperlink" Target="http://pokemondb.net/type/ground" TargetMode="External"/><Relationship Id="rId1642" Type="http://schemas.openxmlformats.org/officeDocument/2006/relationships/hyperlink" Target="http://pokemondb.net/type/dragon" TargetMode="External"/><Relationship Id="rId1502" Type="http://schemas.openxmlformats.org/officeDocument/2006/relationships/hyperlink" Target="http://pokemondb.net/type/water" TargetMode="External"/><Relationship Id="rId1807" Type="http://schemas.openxmlformats.org/officeDocument/2006/relationships/hyperlink" Target="http://pokemondb.net/type/water" TargetMode="External"/><Relationship Id="rId290" Type="http://schemas.openxmlformats.org/officeDocument/2006/relationships/hyperlink" Target="http://pokemondb.net/type/grass" TargetMode="External"/><Relationship Id="rId388" Type="http://schemas.openxmlformats.org/officeDocument/2006/relationships/hyperlink" Target="http://pokemondb.net/type/psychic" TargetMode="External"/><Relationship Id="rId150" Type="http://schemas.openxmlformats.org/officeDocument/2006/relationships/hyperlink" Target="http://pokemondb.net/pokedex/arcanine" TargetMode="External"/><Relationship Id="rId595" Type="http://schemas.openxmlformats.org/officeDocument/2006/relationships/hyperlink" Target="http://pokemondb.net/type/dark" TargetMode="External"/><Relationship Id="rId248" Type="http://schemas.openxmlformats.org/officeDocument/2006/relationships/hyperlink" Target="http://pokemondb.net/type/ground" TargetMode="External"/><Relationship Id="rId455" Type="http://schemas.openxmlformats.org/officeDocument/2006/relationships/hyperlink" Target="http://pokemondb.net/pokedex/xatu" TargetMode="External"/><Relationship Id="rId662" Type="http://schemas.openxmlformats.org/officeDocument/2006/relationships/hyperlink" Target="http://pokemondb.net/pokedex/blaziken" TargetMode="External"/><Relationship Id="rId1085" Type="http://schemas.openxmlformats.org/officeDocument/2006/relationships/hyperlink" Target="http://pokemondb.net/type/electric" TargetMode="External"/><Relationship Id="rId1292" Type="http://schemas.openxmlformats.org/officeDocument/2006/relationships/hyperlink" Target="http://pokemondb.net/pokedex/shaymin" TargetMode="External"/><Relationship Id="rId108" Type="http://schemas.openxmlformats.org/officeDocument/2006/relationships/hyperlink" Target="http://pokemondb.net/pokedex/golbat" TargetMode="External"/><Relationship Id="rId315" Type="http://schemas.openxmlformats.org/officeDocument/2006/relationships/hyperlink" Target="http://pokemondb.net/type/ice" TargetMode="External"/><Relationship Id="rId522" Type="http://schemas.openxmlformats.org/officeDocument/2006/relationships/hyperlink" Target="http://pokemondb.net/type/bug" TargetMode="External"/><Relationship Id="rId967" Type="http://schemas.openxmlformats.org/officeDocument/2006/relationships/hyperlink" Target="http://pokemondb.net/type/steel" TargetMode="External"/><Relationship Id="rId1152" Type="http://schemas.openxmlformats.org/officeDocument/2006/relationships/hyperlink" Target="http://pokemondb.net/type/ground" TargetMode="External"/><Relationship Id="rId1597" Type="http://schemas.openxmlformats.org/officeDocument/2006/relationships/hyperlink" Target="http://pokemondb.net/pokedex/mienfoo" TargetMode="External"/><Relationship Id="rId96" Type="http://schemas.openxmlformats.org/officeDocument/2006/relationships/hyperlink" Target="http://pokemondb.net/type/fire" TargetMode="External"/><Relationship Id="rId827" Type="http://schemas.openxmlformats.org/officeDocument/2006/relationships/hyperlink" Target="http://pokemondb.net/type/water" TargetMode="External"/><Relationship Id="rId1012" Type="http://schemas.openxmlformats.org/officeDocument/2006/relationships/hyperlink" Target="http://pokemondb.net/pokedex/chimchar" TargetMode="External"/><Relationship Id="rId1457" Type="http://schemas.openxmlformats.org/officeDocument/2006/relationships/hyperlink" Target="http://pokemondb.net/type/fighting" TargetMode="External"/><Relationship Id="rId1664" Type="http://schemas.openxmlformats.org/officeDocument/2006/relationships/hyperlink" Target="http://pokemondb.net/type/flying" TargetMode="External"/><Relationship Id="rId1871" Type="http://schemas.openxmlformats.org/officeDocument/2006/relationships/hyperlink" Target="http://pokemondb.net/pokedex/gourgeist" TargetMode="External"/><Relationship Id="rId1317" Type="http://schemas.openxmlformats.org/officeDocument/2006/relationships/hyperlink" Target="http://pokemondb.net/type/water" TargetMode="External"/><Relationship Id="rId1524" Type="http://schemas.openxmlformats.org/officeDocument/2006/relationships/hyperlink" Target="http://pokemondb.net/pokedex/escavalier" TargetMode="External"/><Relationship Id="rId1731" Type="http://schemas.openxmlformats.org/officeDocument/2006/relationships/hyperlink" Target="http://pokemondb.net/type/normal" TargetMode="External"/><Relationship Id="rId23" Type="http://schemas.openxmlformats.org/officeDocument/2006/relationships/hyperlink" Target="http://pokemondb.net/pokedex/squirtle" TargetMode="External"/><Relationship Id="rId1829" Type="http://schemas.openxmlformats.org/officeDocument/2006/relationships/hyperlink" Target="http://pokemondb.net/type/ice" TargetMode="External"/><Relationship Id="rId172" Type="http://schemas.openxmlformats.org/officeDocument/2006/relationships/hyperlink" Target="http://pokemondb.net/pokedex/bellsprout" TargetMode="External"/><Relationship Id="rId477" Type="http://schemas.openxmlformats.org/officeDocument/2006/relationships/hyperlink" Target="http://pokemondb.net/type/water" TargetMode="External"/><Relationship Id="rId684" Type="http://schemas.openxmlformats.org/officeDocument/2006/relationships/hyperlink" Target="http://pokemondb.net/type/bug" TargetMode="External"/><Relationship Id="rId337" Type="http://schemas.openxmlformats.org/officeDocument/2006/relationships/hyperlink" Target="http://pokemondb.net/pokedex/ditto" TargetMode="External"/><Relationship Id="rId891" Type="http://schemas.openxmlformats.org/officeDocument/2006/relationships/hyperlink" Target="http://pokemondb.net/type/ground" TargetMode="External"/><Relationship Id="rId989" Type="http://schemas.openxmlformats.org/officeDocument/2006/relationships/hyperlink" Target="http://pokemondb.net/pokedex/groudon" TargetMode="External"/><Relationship Id="rId544" Type="http://schemas.openxmlformats.org/officeDocument/2006/relationships/hyperlink" Target="http://pokemondb.net/type/bug" TargetMode="External"/><Relationship Id="rId751" Type="http://schemas.openxmlformats.org/officeDocument/2006/relationships/hyperlink" Target="http://pokemondb.net/type/normal" TargetMode="External"/><Relationship Id="rId849" Type="http://schemas.openxmlformats.org/officeDocument/2006/relationships/hyperlink" Target="http://pokemondb.net/type/normal" TargetMode="External"/><Relationship Id="rId1174" Type="http://schemas.openxmlformats.org/officeDocument/2006/relationships/hyperlink" Target="http://pokemondb.net/pokedex/drapion" TargetMode="External"/><Relationship Id="rId1381" Type="http://schemas.openxmlformats.org/officeDocument/2006/relationships/hyperlink" Target="http://pokemondb.net/type/normal" TargetMode="External"/><Relationship Id="rId1479" Type="http://schemas.openxmlformats.org/officeDocument/2006/relationships/hyperlink" Target="http://pokemondb.net/pokedex/garbodor" TargetMode="External"/><Relationship Id="rId1686" Type="http://schemas.openxmlformats.org/officeDocument/2006/relationships/hyperlink" Target="http://pokemondb.net/pokedex/kyurem" TargetMode="External"/><Relationship Id="rId404" Type="http://schemas.openxmlformats.org/officeDocument/2006/relationships/hyperlink" Target="http://pokemondb.net/type/water" TargetMode="External"/><Relationship Id="rId611" Type="http://schemas.openxmlformats.org/officeDocument/2006/relationships/hyperlink" Target="http://pokemondb.net/type/fighting" TargetMode="External"/><Relationship Id="rId1034" Type="http://schemas.openxmlformats.org/officeDocument/2006/relationships/hyperlink" Target="http://pokemondb.net/type/normal" TargetMode="External"/><Relationship Id="rId1241" Type="http://schemas.openxmlformats.org/officeDocument/2006/relationships/hyperlink" Target="http://pokemondb.net/pokedex/dusknoir" TargetMode="External"/><Relationship Id="rId1339" Type="http://schemas.openxmlformats.org/officeDocument/2006/relationships/hyperlink" Target="http://pokemondb.net/type/fire" TargetMode="External"/><Relationship Id="rId1893" Type="http://schemas.openxmlformats.org/officeDocument/2006/relationships/hyperlink" Target="http://pokemondb.net/pokedex/xerneas" TargetMode="External"/><Relationship Id="rId709" Type="http://schemas.openxmlformats.org/officeDocument/2006/relationships/hyperlink" Target="http://pokemondb.net/pokedex/shiftry" TargetMode="External"/><Relationship Id="rId916" Type="http://schemas.openxmlformats.org/officeDocument/2006/relationships/hyperlink" Target="http://pokemondb.net/pokedex/shuppet" TargetMode="External"/><Relationship Id="rId1101" Type="http://schemas.openxmlformats.org/officeDocument/2006/relationships/hyperlink" Target="http://pokemondb.net/pokedex/drifloon" TargetMode="External"/><Relationship Id="rId1546" Type="http://schemas.openxmlformats.org/officeDocument/2006/relationships/hyperlink" Target="http://pokemondb.net/type/electric" TargetMode="External"/><Relationship Id="rId1753" Type="http://schemas.openxmlformats.org/officeDocument/2006/relationships/hyperlink" Target="http://pokemondb.net/type/fairy" TargetMode="External"/><Relationship Id="rId45" Type="http://schemas.openxmlformats.org/officeDocument/2006/relationships/hyperlink" Target="http://pokemondb.net/type/poison" TargetMode="External"/><Relationship Id="rId1406" Type="http://schemas.openxmlformats.org/officeDocument/2006/relationships/hyperlink" Target="http://pokemondb.net/pokedex/leavanny" TargetMode="External"/><Relationship Id="rId1613" Type="http://schemas.openxmlformats.org/officeDocument/2006/relationships/hyperlink" Target="http://pokemondb.net/type/dark" TargetMode="External"/><Relationship Id="rId1820" Type="http://schemas.openxmlformats.org/officeDocument/2006/relationships/hyperlink" Target="http://pokemondb.net/type/normal" TargetMode="External"/><Relationship Id="rId194" Type="http://schemas.openxmlformats.org/officeDocument/2006/relationships/hyperlink" Target="http://pokemondb.net/type/rock" TargetMode="External"/><Relationship Id="rId1918" Type="http://schemas.openxmlformats.org/officeDocument/2006/relationships/hyperlink" Target="http://pokemondb.net/pokedex/pumpkaboo" TargetMode="External"/><Relationship Id="rId261" Type="http://schemas.openxmlformats.org/officeDocument/2006/relationships/hyperlink" Target="http://pokemondb.net/pokedex/exeggcute" TargetMode="External"/><Relationship Id="rId499" Type="http://schemas.openxmlformats.org/officeDocument/2006/relationships/hyperlink" Target="http://pokemondb.net/pokedex/quagsire" TargetMode="External"/><Relationship Id="rId359" Type="http://schemas.openxmlformats.org/officeDocument/2006/relationships/hyperlink" Target="http://pokemondb.net/type/rock" TargetMode="External"/><Relationship Id="rId566" Type="http://schemas.openxmlformats.org/officeDocument/2006/relationships/hyperlink" Target="http://pokemondb.net/pokedex/swinub" TargetMode="External"/><Relationship Id="rId773" Type="http://schemas.openxmlformats.org/officeDocument/2006/relationships/hyperlink" Target="http://pokemondb.net/type/fairy" TargetMode="External"/><Relationship Id="rId1196" Type="http://schemas.openxmlformats.org/officeDocument/2006/relationships/hyperlink" Target="http://pokemondb.net/type/grass" TargetMode="External"/><Relationship Id="rId121" Type="http://schemas.openxmlformats.org/officeDocument/2006/relationships/hyperlink" Target="http://pokemondb.net/type/bug" TargetMode="External"/><Relationship Id="rId219" Type="http://schemas.openxmlformats.org/officeDocument/2006/relationships/hyperlink" Target="http://pokemondb.net/type/normal" TargetMode="External"/><Relationship Id="rId426" Type="http://schemas.openxmlformats.org/officeDocument/2006/relationships/hyperlink" Target="http://pokemondb.net/type/bug" TargetMode="External"/><Relationship Id="rId633" Type="http://schemas.openxmlformats.org/officeDocument/2006/relationships/hyperlink" Target="http://pokemondb.net/type/ground" TargetMode="External"/><Relationship Id="rId980" Type="http://schemas.openxmlformats.org/officeDocument/2006/relationships/hyperlink" Target="http://pokemondb.net/type/steel" TargetMode="External"/><Relationship Id="rId1056" Type="http://schemas.openxmlformats.org/officeDocument/2006/relationships/hyperlink" Target="http://pokemondb.net/type/poison" TargetMode="External"/><Relationship Id="rId1263" Type="http://schemas.openxmlformats.org/officeDocument/2006/relationships/hyperlink" Target="http://pokemondb.net/pokedex/azelf" TargetMode="External"/><Relationship Id="rId840" Type="http://schemas.openxmlformats.org/officeDocument/2006/relationships/hyperlink" Target="http://pokemondb.net/type/fire" TargetMode="External"/><Relationship Id="rId938" Type="http://schemas.openxmlformats.org/officeDocument/2006/relationships/hyperlink" Target="http://pokemondb.net/type/ice" TargetMode="External"/><Relationship Id="rId1470" Type="http://schemas.openxmlformats.org/officeDocument/2006/relationships/hyperlink" Target="http://pokemondb.net/type/rock" TargetMode="External"/><Relationship Id="rId1568" Type="http://schemas.openxmlformats.org/officeDocument/2006/relationships/hyperlink" Target="http://pokemondb.net/type/psychic" TargetMode="External"/><Relationship Id="rId1775" Type="http://schemas.openxmlformats.org/officeDocument/2006/relationships/hyperlink" Target="http://pokemondb.net/type/ghost" TargetMode="External"/><Relationship Id="rId67" Type="http://schemas.openxmlformats.org/officeDocument/2006/relationships/hyperlink" Target="http://pokemondb.net/pokedex/arbok" TargetMode="External"/><Relationship Id="rId700" Type="http://schemas.openxmlformats.org/officeDocument/2006/relationships/hyperlink" Target="http://pokemondb.net/type/grass" TargetMode="External"/><Relationship Id="rId1123" Type="http://schemas.openxmlformats.org/officeDocument/2006/relationships/hyperlink" Target="http://pokemondb.net/type/poison" TargetMode="External"/><Relationship Id="rId1330" Type="http://schemas.openxmlformats.org/officeDocument/2006/relationships/hyperlink" Target="http://pokemondb.net/pokedex/purrloin" TargetMode="External"/><Relationship Id="rId1428" Type="http://schemas.openxmlformats.org/officeDocument/2006/relationships/hyperlink" Target="http://pokemondb.net/pokedex/sandile" TargetMode="External"/><Relationship Id="rId1635" Type="http://schemas.openxmlformats.org/officeDocument/2006/relationships/hyperlink" Target="http://pokemondb.net/type/dark" TargetMode="External"/><Relationship Id="rId1842" Type="http://schemas.openxmlformats.org/officeDocument/2006/relationships/hyperlink" Target="http://pokemondb.net/type/rock" TargetMode="External"/><Relationship Id="rId1702" Type="http://schemas.openxmlformats.org/officeDocument/2006/relationships/hyperlink" Target="http://pokemondb.net/type/bug" TargetMode="External"/><Relationship Id="rId283" Type="http://schemas.openxmlformats.org/officeDocument/2006/relationships/hyperlink" Target="http://pokemondb.net/type/rock" TargetMode="External"/><Relationship Id="rId490" Type="http://schemas.openxmlformats.org/officeDocument/2006/relationships/hyperlink" Target="http://pokemondb.net/type/grass" TargetMode="External"/><Relationship Id="rId143" Type="http://schemas.openxmlformats.org/officeDocument/2006/relationships/hyperlink" Target="http://pokemondb.net/type/water" TargetMode="External"/><Relationship Id="rId350" Type="http://schemas.openxmlformats.org/officeDocument/2006/relationships/hyperlink" Target="http://pokemondb.net/type/rock" TargetMode="External"/><Relationship Id="rId588" Type="http://schemas.openxmlformats.org/officeDocument/2006/relationships/hyperlink" Target="http://pokemondb.net/pokedex/houndour" TargetMode="External"/><Relationship Id="rId795" Type="http://schemas.openxmlformats.org/officeDocument/2006/relationships/hyperlink" Target="http://pokemondb.net/type/steel" TargetMode="External"/><Relationship Id="rId9" Type="http://schemas.openxmlformats.org/officeDocument/2006/relationships/hyperlink" Target="http://pokemondb.net/type/poison" TargetMode="External"/><Relationship Id="rId210" Type="http://schemas.openxmlformats.org/officeDocument/2006/relationships/hyperlink" Target="http://pokemondb.net/type/electric" TargetMode="External"/><Relationship Id="rId448" Type="http://schemas.openxmlformats.org/officeDocument/2006/relationships/hyperlink" Target="http://pokemondb.net/type/fairy" TargetMode="External"/><Relationship Id="rId655" Type="http://schemas.openxmlformats.org/officeDocument/2006/relationships/hyperlink" Target="http://pokemondb.net/pokedex/sceptile" TargetMode="External"/><Relationship Id="rId862" Type="http://schemas.openxmlformats.org/officeDocument/2006/relationships/hyperlink" Target="http://pokemondb.net/type/dark" TargetMode="External"/><Relationship Id="rId1078" Type="http://schemas.openxmlformats.org/officeDocument/2006/relationships/hyperlink" Target="http://pokemondb.net/pokedex/combee" TargetMode="External"/><Relationship Id="rId1285" Type="http://schemas.openxmlformats.org/officeDocument/2006/relationships/hyperlink" Target="http://pokemondb.net/type/water" TargetMode="External"/><Relationship Id="rId1492" Type="http://schemas.openxmlformats.org/officeDocument/2006/relationships/hyperlink" Target="http://pokemondb.net/type/psychic" TargetMode="External"/><Relationship Id="rId308" Type="http://schemas.openxmlformats.org/officeDocument/2006/relationships/hyperlink" Target="http://pokemondb.net/pokedex/mr-mime" TargetMode="External"/><Relationship Id="rId515" Type="http://schemas.openxmlformats.org/officeDocument/2006/relationships/hyperlink" Target="http://pokemondb.net/type/psychic" TargetMode="External"/><Relationship Id="rId722" Type="http://schemas.openxmlformats.org/officeDocument/2006/relationships/hyperlink" Target="http://pokemondb.net/type/water" TargetMode="External"/><Relationship Id="rId1145" Type="http://schemas.openxmlformats.org/officeDocument/2006/relationships/hyperlink" Target="http://pokemondb.net/type/ghost" TargetMode="External"/><Relationship Id="rId1352" Type="http://schemas.openxmlformats.org/officeDocument/2006/relationships/hyperlink" Target="http://pokemondb.net/type/flying" TargetMode="External"/><Relationship Id="rId1797" Type="http://schemas.openxmlformats.org/officeDocument/2006/relationships/hyperlink" Target="http://pokemondb.net/type/dark" TargetMode="External"/><Relationship Id="rId89" Type="http://schemas.openxmlformats.org/officeDocument/2006/relationships/hyperlink" Target="http://pokemondb.net/type/poison" TargetMode="External"/><Relationship Id="rId1005" Type="http://schemas.openxmlformats.org/officeDocument/2006/relationships/hyperlink" Target="http://pokemondb.net/pokedex/turtwig" TargetMode="External"/><Relationship Id="rId1212" Type="http://schemas.openxmlformats.org/officeDocument/2006/relationships/hyperlink" Target="http://pokemondb.net/type/grass" TargetMode="External"/><Relationship Id="rId1657" Type="http://schemas.openxmlformats.org/officeDocument/2006/relationships/hyperlink" Target="http://pokemondb.net/type/fighting" TargetMode="External"/><Relationship Id="rId1864" Type="http://schemas.openxmlformats.org/officeDocument/2006/relationships/hyperlink" Target="http://pokemondb.net/type/grass" TargetMode="External"/><Relationship Id="rId1517" Type="http://schemas.openxmlformats.org/officeDocument/2006/relationships/hyperlink" Target="http://pokemondb.net/type/normal" TargetMode="External"/><Relationship Id="rId1724" Type="http://schemas.openxmlformats.org/officeDocument/2006/relationships/hyperlink" Target="http://pokemondb.net/type/dark" TargetMode="External"/><Relationship Id="rId16" Type="http://schemas.openxmlformats.org/officeDocument/2006/relationships/hyperlink" Target="http://pokemondb.net/pokedex/charizard" TargetMode="External"/><Relationship Id="rId165" Type="http://schemas.openxmlformats.org/officeDocument/2006/relationships/hyperlink" Target="http://pokemondb.net/type/psychic" TargetMode="External"/><Relationship Id="rId372" Type="http://schemas.openxmlformats.org/officeDocument/2006/relationships/hyperlink" Target="http://pokemondb.net/type/electric" TargetMode="External"/><Relationship Id="rId677" Type="http://schemas.openxmlformats.org/officeDocument/2006/relationships/hyperlink" Target="http://pokemondb.net/pokedex/mightyena" TargetMode="External"/><Relationship Id="rId232" Type="http://schemas.openxmlformats.org/officeDocument/2006/relationships/hyperlink" Target="http://pokemondb.net/pokedex/cloyster" TargetMode="External"/><Relationship Id="rId884" Type="http://schemas.openxmlformats.org/officeDocument/2006/relationships/hyperlink" Target="http://pokemondb.net/type/ground" TargetMode="External"/><Relationship Id="rId537" Type="http://schemas.openxmlformats.org/officeDocument/2006/relationships/hyperlink" Target="http://pokemondb.net/type/fairy" TargetMode="External"/><Relationship Id="rId744" Type="http://schemas.openxmlformats.org/officeDocument/2006/relationships/hyperlink" Target="http://pokemondb.net/type/grass" TargetMode="External"/><Relationship Id="rId951" Type="http://schemas.openxmlformats.org/officeDocument/2006/relationships/hyperlink" Target="http://pokemondb.net/type/water" TargetMode="External"/><Relationship Id="rId1167" Type="http://schemas.openxmlformats.org/officeDocument/2006/relationships/hyperlink" Target="http://pokemondb.net/pokedex/hippopotas" TargetMode="External"/><Relationship Id="rId1374" Type="http://schemas.openxmlformats.org/officeDocument/2006/relationships/hyperlink" Target="http://pokemondb.net/type/flying" TargetMode="External"/><Relationship Id="rId1581" Type="http://schemas.openxmlformats.org/officeDocument/2006/relationships/hyperlink" Target="http://pokemondb.net/type/dragon" TargetMode="External"/><Relationship Id="rId1679" Type="http://schemas.openxmlformats.org/officeDocument/2006/relationships/hyperlink" Target="http://pokemondb.net/type/flying" TargetMode="External"/><Relationship Id="rId80" Type="http://schemas.openxmlformats.org/officeDocument/2006/relationships/hyperlink" Target="http://pokemondb.net/type/poison" TargetMode="External"/><Relationship Id="rId604" Type="http://schemas.openxmlformats.org/officeDocument/2006/relationships/hyperlink" Target="http://pokemondb.net/pokedex/porygon2" TargetMode="External"/><Relationship Id="rId811" Type="http://schemas.openxmlformats.org/officeDocument/2006/relationships/hyperlink" Target="http://pokemondb.net/pokedex/plusle" TargetMode="External"/><Relationship Id="rId1027" Type="http://schemas.openxmlformats.org/officeDocument/2006/relationships/hyperlink" Target="http://pokemondb.net/pokedex/starly" TargetMode="External"/><Relationship Id="rId1234" Type="http://schemas.openxmlformats.org/officeDocument/2006/relationships/hyperlink" Target="http://pokemondb.net/type/normal" TargetMode="External"/><Relationship Id="rId1441" Type="http://schemas.openxmlformats.org/officeDocument/2006/relationships/hyperlink" Target="http://pokemondb.net/pokedex/darmanitan" TargetMode="External"/><Relationship Id="rId1886" Type="http://schemas.openxmlformats.org/officeDocument/2006/relationships/hyperlink" Target="http://pokemondb.net/type/ice" TargetMode="External"/><Relationship Id="rId909" Type="http://schemas.openxmlformats.org/officeDocument/2006/relationships/hyperlink" Target="http://pokemondb.net/type/water" TargetMode="External"/><Relationship Id="rId1301" Type="http://schemas.openxmlformats.org/officeDocument/2006/relationships/hyperlink" Target="http://pokemondb.net/type/grass" TargetMode="External"/><Relationship Id="rId1539" Type="http://schemas.openxmlformats.org/officeDocument/2006/relationships/hyperlink" Target="http://pokemondb.net/pokedex/alomomola" TargetMode="External"/><Relationship Id="rId1746" Type="http://schemas.openxmlformats.org/officeDocument/2006/relationships/hyperlink" Target="http://pokemondb.net/pokedex/litleo" TargetMode="External"/><Relationship Id="rId38" Type="http://schemas.openxmlformats.org/officeDocument/2006/relationships/hyperlink" Target="http://pokemondb.net/type/bug" TargetMode="External"/><Relationship Id="rId1606" Type="http://schemas.openxmlformats.org/officeDocument/2006/relationships/hyperlink" Target="http://pokemondb.net/pokedex/golurk" TargetMode="External"/><Relationship Id="rId1813" Type="http://schemas.openxmlformats.org/officeDocument/2006/relationships/hyperlink" Target="http://pokemondb.net/pokedex/clawitzer" TargetMode="External"/><Relationship Id="rId187" Type="http://schemas.openxmlformats.org/officeDocument/2006/relationships/hyperlink" Target="http://pokemondb.net/pokedex/geodude" TargetMode="External"/><Relationship Id="rId394" Type="http://schemas.openxmlformats.org/officeDocument/2006/relationships/hyperlink" Target="http://pokemondb.net/type/grass" TargetMode="External"/><Relationship Id="rId254" Type="http://schemas.openxmlformats.org/officeDocument/2006/relationships/hyperlink" Target="http://pokemondb.net/type/water" TargetMode="External"/><Relationship Id="rId699" Type="http://schemas.openxmlformats.org/officeDocument/2006/relationships/hyperlink" Target="http://pokemondb.net/type/water" TargetMode="External"/><Relationship Id="rId1091" Type="http://schemas.openxmlformats.org/officeDocument/2006/relationships/hyperlink" Target="http://pokemondb.net/type/grass" TargetMode="External"/><Relationship Id="rId114" Type="http://schemas.openxmlformats.org/officeDocument/2006/relationships/hyperlink" Target="http://pokemondb.net/pokedex/gloom" TargetMode="External"/><Relationship Id="rId461" Type="http://schemas.openxmlformats.org/officeDocument/2006/relationships/hyperlink" Target="http://pokemondb.net/type/electric" TargetMode="External"/><Relationship Id="rId559" Type="http://schemas.openxmlformats.org/officeDocument/2006/relationships/hyperlink" Target="http://pokemondb.net/pokedex/ursaring" TargetMode="External"/><Relationship Id="rId766" Type="http://schemas.openxmlformats.org/officeDocument/2006/relationships/hyperlink" Target="http://pokemondb.net/type/normal" TargetMode="External"/><Relationship Id="rId1189" Type="http://schemas.openxmlformats.org/officeDocument/2006/relationships/hyperlink" Target="http://pokemondb.net/pokedex/mantyke" TargetMode="External"/><Relationship Id="rId1396" Type="http://schemas.openxmlformats.org/officeDocument/2006/relationships/hyperlink" Target="http://pokemondb.net/pokedex/throh" TargetMode="External"/><Relationship Id="rId321" Type="http://schemas.openxmlformats.org/officeDocument/2006/relationships/hyperlink" Target="http://pokemondb.net/pokedex/pinsir" TargetMode="External"/><Relationship Id="rId419" Type="http://schemas.openxmlformats.org/officeDocument/2006/relationships/hyperlink" Target="http://pokemondb.net/pokedex/ledyba" TargetMode="External"/><Relationship Id="rId626" Type="http://schemas.openxmlformats.org/officeDocument/2006/relationships/hyperlink" Target="http://pokemondb.net/type/electric" TargetMode="External"/><Relationship Id="rId973" Type="http://schemas.openxmlformats.org/officeDocument/2006/relationships/hyperlink" Target="http://pokemondb.net/type/steel" TargetMode="External"/><Relationship Id="rId1049" Type="http://schemas.openxmlformats.org/officeDocument/2006/relationships/hyperlink" Target="http://pokemondb.net/pokedex/luxray" TargetMode="External"/><Relationship Id="rId1256" Type="http://schemas.openxmlformats.org/officeDocument/2006/relationships/hyperlink" Target="http://pokemondb.net/type/flying" TargetMode="External"/><Relationship Id="rId833" Type="http://schemas.openxmlformats.org/officeDocument/2006/relationships/hyperlink" Target="http://pokemondb.net/type/water" TargetMode="External"/><Relationship Id="rId1116" Type="http://schemas.openxmlformats.org/officeDocument/2006/relationships/hyperlink" Target="http://pokemondb.net/pokedex/glameow" TargetMode="External"/><Relationship Id="rId1463" Type="http://schemas.openxmlformats.org/officeDocument/2006/relationships/hyperlink" Target="http://pokemondb.net/pokedex/cofagrigus" TargetMode="External"/><Relationship Id="rId1670" Type="http://schemas.openxmlformats.org/officeDocument/2006/relationships/hyperlink" Target="http://pokemondb.net/type/fire" TargetMode="External"/><Relationship Id="rId1768" Type="http://schemas.openxmlformats.org/officeDocument/2006/relationships/hyperlink" Target="http://pokemondb.net/type/normal" TargetMode="External"/><Relationship Id="rId900" Type="http://schemas.openxmlformats.org/officeDocument/2006/relationships/hyperlink" Target="http://pokemondb.net/type/rock" TargetMode="External"/><Relationship Id="rId1323" Type="http://schemas.openxmlformats.org/officeDocument/2006/relationships/hyperlink" Target="http://pokemondb.net/type/normal" TargetMode="External"/><Relationship Id="rId1530" Type="http://schemas.openxmlformats.org/officeDocument/2006/relationships/hyperlink" Target="http://pokemondb.net/pokedex/amoonguss" TargetMode="External"/><Relationship Id="rId1628" Type="http://schemas.openxmlformats.org/officeDocument/2006/relationships/hyperlink" Target="http://pokemondb.net/type/flying" TargetMode="External"/><Relationship Id="rId1835" Type="http://schemas.openxmlformats.org/officeDocument/2006/relationships/hyperlink" Target="http://pokemondb.net/pokedex/hawlucha" TargetMode="External"/><Relationship Id="rId1902" Type="http://schemas.openxmlformats.org/officeDocument/2006/relationships/hyperlink" Target="http://pokemondb.net/pokedex/darmanitan" TargetMode="External"/><Relationship Id="rId276" Type="http://schemas.openxmlformats.org/officeDocument/2006/relationships/hyperlink" Target="http://pokemondb.net/type/normal" TargetMode="External"/><Relationship Id="rId483" Type="http://schemas.openxmlformats.org/officeDocument/2006/relationships/hyperlink" Target="http://pokemondb.net/type/flying" TargetMode="External"/><Relationship Id="rId690" Type="http://schemas.openxmlformats.org/officeDocument/2006/relationships/hyperlink" Target="http://pokemondb.net/pokedex/cascoon" TargetMode="External"/><Relationship Id="rId136" Type="http://schemas.openxmlformats.org/officeDocument/2006/relationships/hyperlink" Target="http://pokemondb.net/pokedex/meowth" TargetMode="External"/><Relationship Id="rId343" Type="http://schemas.openxmlformats.org/officeDocument/2006/relationships/hyperlink" Target="http://pokemondb.net/pokedex/jolteon" TargetMode="External"/><Relationship Id="rId550" Type="http://schemas.openxmlformats.org/officeDocument/2006/relationships/hyperlink" Target="http://pokemondb.net/type/bug" TargetMode="External"/><Relationship Id="rId788" Type="http://schemas.openxmlformats.org/officeDocument/2006/relationships/hyperlink" Target="http://pokemondb.net/pokedex/aron" TargetMode="External"/><Relationship Id="rId995" Type="http://schemas.openxmlformats.org/officeDocument/2006/relationships/hyperlink" Target="http://pokemondb.net/type/steel" TargetMode="External"/><Relationship Id="rId1180" Type="http://schemas.openxmlformats.org/officeDocument/2006/relationships/hyperlink" Target="http://pokemondb.net/pokedex/toxicroak" TargetMode="External"/><Relationship Id="rId203" Type="http://schemas.openxmlformats.org/officeDocument/2006/relationships/hyperlink" Target="http://pokemondb.net/pokedex/slowbro" TargetMode="External"/><Relationship Id="rId648" Type="http://schemas.openxmlformats.org/officeDocument/2006/relationships/hyperlink" Target="http://pokemondb.net/pokedex/celebi" TargetMode="External"/><Relationship Id="rId855" Type="http://schemas.openxmlformats.org/officeDocument/2006/relationships/hyperlink" Target="http://pokemondb.net/pokedex/flygon" TargetMode="External"/><Relationship Id="rId1040" Type="http://schemas.openxmlformats.org/officeDocument/2006/relationships/hyperlink" Target="http://pokemondb.net/type/water" TargetMode="External"/><Relationship Id="rId1278" Type="http://schemas.openxmlformats.org/officeDocument/2006/relationships/hyperlink" Target="http://pokemondb.net/type/dragon" TargetMode="External"/><Relationship Id="rId1485" Type="http://schemas.openxmlformats.org/officeDocument/2006/relationships/hyperlink" Target="http://pokemondb.net/pokedex/minccino" TargetMode="External"/><Relationship Id="rId1692" Type="http://schemas.openxmlformats.org/officeDocument/2006/relationships/hyperlink" Target="http://pokemondb.net/pokedex/keldeo" TargetMode="External"/><Relationship Id="rId410" Type="http://schemas.openxmlformats.org/officeDocument/2006/relationships/hyperlink" Target="http://pokemondb.net/type/normal" TargetMode="External"/><Relationship Id="rId508" Type="http://schemas.openxmlformats.org/officeDocument/2006/relationships/hyperlink" Target="http://pokemondb.net/type/flying" TargetMode="External"/><Relationship Id="rId715" Type="http://schemas.openxmlformats.org/officeDocument/2006/relationships/hyperlink" Target="http://pokemondb.net/pokedex/swellow" TargetMode="External"/><Relationship Id="rId922" Type="http://schemas.openxmlformats.org/officeDocument/2006/relationships/hyperlink" Target="http://pokemondb.net/type/ghost" TargetMode="External"/><Relationship Id="rId1138" Type="http://schemas.openxmlformats.org/officeDocument/2006/relationships/hyperlink" Target="http://pokemondb.net/type/fairy" TargetMode="External"/><Relationship Id="rId1345" Type="http://schemas.openxmlformats.org/officeDocument/2006/relationships/hyperlink" Target="http://pokemondb.net/type/water" TargetMode="External"/><Relationship Id="rId1552" Type="http://schemas.openxmlformats.org/officeDocument/2006/relationships/hyperlink" Target="http://pokemondb.net/type/steel" TargetMode="External"/><Relationship Id="rId1205" Type="http://schemas.openxmlformats.org/officeDocument/2006/relationships/hyperlink" Target="http://pokemondb.net/type/steel" TargetMode="External"/><Relationship Id="rId1857" Type="http://schemas.openxmlformats.org/officeDocument/2006/relationships/hyperlink" Target="http://pokemondb.net/type/ghost" TargetMode="External"/><Relationship Id="rId51" Type="http://schemas.openxmlformats.org/officeDocument/2006/relationships/hyperlink" Target="http://pokemondb.net/type/flying" TargetMode="External"/><Relationship Id="rId1412" Type="http://schemas.openxmlformats.org/officeDocument/2006/relationships/hyperlink" Target="http://pokemondb.net/pokedex/whirlipede" TargetMode="External"/><Relationship Id="rId1717" Type="http://schemas.openxmlformats.org/officeDocument/2006/relationships/hyperlink" Target="http://pokemondb.net/type/psychic" TargetMode="External"/><Relationship Id="rId1924" Type="http://schemas.openxmlformats.org/officeDocument/2006/relationships/hyperlink" Target="http://pokemondb.net/pokedex/gourgeist" TargetMode="External"/><Relationship Id="rId298" Type="http://schemas.openxmlformats.org/officeDocument/2006/relationships/hyperlink" Target="http://pokemondb.net/type/water" TargetMode="External"/><Relationship Id="rId158" Type="http://schemas.openxmlformats.org/officeDocument/2006/relationships/hyperlink" Target="http://pokemondb.net/type/fighting" TargetMode="External"/><Relationship Id="rId365" Type="http://schemas.openxmlformats.org/officeDocument/2006/relationships/hyperlink" Target="http://pokemondb.net/type/flying" TargetMode="External"/><Relationship Id="rId572" Type="http://schemas.openxmlformats.org/officeDocument/2006/relationships/hyperlink" Target="http://pokemondb.net/pokedex/corsola" TargetMode="External"/><Relationship Id="rId225" Type="http://schemas.openxmlformats.org/officeDocument/2006/relationships/hyperlink" Target="http://pokemondb.net/type/ice" TargetMode="External"/><Relationship Id="rId432" Type="http://schemas.openxmlformats.org/officeDocument/2006/relationships/hyperlink" Target="http://pokemondb.net/type/poison" TargetMode="External"/><Relationship Id="rId877" Type="http://schemas.openxmlformats.org/officeDocument/2006/relationships/hyperlink" Target="http://pokemondb.net/type/rock" TargetMode="External"/><Relationship Id="rId1062" Type="http://schemas.openxmlformats.org/officeDocument/2006/relationships/hyperlink" Target="http://pokemondb.net/type/rock" TargetMode="External"/><Relationship Id="rId737" Type="http://schemas.openxmlformats.org/officeDocument/2006/relationships/hyperlink" Target="http://pokemondb.net/type/water" TargetMode="External"/><Relationship Id="rId944" Type="http://schemas.openxmlformats.org/officeDocument/2006/relationships/hyperlink" Target="http://pokemondb.net/type/water" TargetMode="External"/><Relationship Id="rId1367" Type="http://schemas.openxmlformats.org/officeDocument/2006/relationships/hyperlink" Target="http://pokemondb.net/pokedex/gigalith" TargetMode="External"/><Relationship Id="rId1574" Type="http://schemas.openxmlformats.org/officeDocument/2006/relationships/hyperlink" Target="http://pokemondb.net/type/fire" TargetMode="External"/><Relationship Id="rId1781" Type="http://schemas.openxmlformats.org/officeDocument/2006/relationships/hyperlink" Target="http://pokemondb.net/type/ghost" TargetMode="External"/><Relationship Id="rId73" Type="http://schemas.openxmlformats.org/officeDocument/2006/relationships/hyperlink" Target="http://pokemondb.net/pokedex/sandshrew" TargetMode="External"/><Relationship Id="rId804" Type="http://schemas.openxmlformats.org/officeDocument/2006/relationships/hyperlink" Target="http://pokemondb.net/type/fighting" TargetMode="External"/><Relationship Id="rId1227" Type="http://schemas.openxmlformats.org/officeDocument/2006/relationships/hyperlink" Target="http://pokemondb.net/pokedex/gliscor" TargetMode="External"/><Relationship Id="rId1434" Type="http://schemas.openxmlformats.org/officeDocument/2006/relationships/hyperlink" Target="http://pokemondb.net/pokedex/krookodile" TargetMode="External"/><Relationship Id="rId1641" Type="http://schemas.openxmlformats.org/officeDocument/2006/relationships/hyperlink" Target="http://pokemondb.net/type/dark" TargetMode="External"/><Relationship Id="rId1879" Type="http://schemas.openxmlformats.org/officeDocument/2006/relationships/hyperlink" Target="http://pokemondb.net/type/grass" TargetMode="External"/><Relationship Id="rId1501" Type="http://schemas.openxmlformats.org/officeDocument/2006/relationships/hyperlink" Target="http://pokemondb.net/pokedex/ducklett" TargetMode="External"/><Relationship Id="rId1739" Type="http://schemas.openxmlformats.org/officeDocument/2006/relationships/hyperlink" Target="http://pokemondb.net/pokedex/scatterbug" TargetMode="External"/><Relationship Id="rId1806" Type="http://schemas.openxmlformats.org/officeDocument/2006/relationships/hyperlink" Target="http://pokemondb.net/type/poison" TargetMode="External"/><Relationship Id="rId387" Type="http://schemas.openxmlformats.org/officeDocument/2006/relationships/hyperlink" Target="http://pokemondb.net/type/fighting" TargetMode="External"/><Relationship Id="rId594" Type="http://schemas.openxmlformats.org/officeDocument/2006/relationships/hyperlink" Target="http://pokemondb.net/pokedex/houndoom" TargetMode="External"/><Relationship Id="rId247" Type="http://schemas.openxmlformats.org/officeDocument/2006/relationships/hyperlink" Target="http://pokemondb.net/type/rock" TargetMode="External"/><Relationship Id="rId899" Type="http://schemas.openxmlformats.org/officeDocument/2006/relationships/hyperlink" Target="http://pokemondb.net/pokedex/cradily" TargetMode="External"/><Relationship Id="rId1084" Type="http://schemas.openxmlformats.org/officeDocument/2006/relationships/hyperlink" Target="http://pokemondb.net/pokedex/pachirisu" TargetMode="External"/><Relationship Id="rId107" Type="http://schemas.openxmlformats.org/officeDocument/2006/relationships/hyperlink" Target="http://pokemondb.net/type/flying" TargetMode="External"/><Relationship Id="rId454" Type="http://schemas.openxmlformats.org/officeDocument/2006/relationships/hyperlink" Target="http://pokemondb.net/type/flying" TargetMode="External"/><Relationship Id="rId661" Type="http://schemas.openxmlformats.org/officeDocument/2006/relationships/hyperlink" Target="http://pokemondb.net/type/fighting" TargetMode="External"/><Relationship Id="rId759" Type="http://schemas.openxmlformats.org/officeDocument/2006/relationships/hyperlink" Target="http://pokemondb.net/type/bug" TargetMode="External"/><Relationship Id="rId966" Type="http://schemas.openxmlformats.org/officeDocument/2006/relationships/hyperlink" Target="http://pokemondb.net/pokedex/beldum" TargetMode="External"/><Relationship Id="rId1291" Type="http://schemas.openxmlformats.org/officeDocument/2006/relationships/hyperlink" Target="http://pokemondb.net/type/grass" TargetMode="External"/><Relationship Id="rId1389" Type="http://schemas.openxmlformats.org/officeDocument/2006/relationships/hyperlink" Target="http://pokemondb.net/type/water" TargetMode="External"/><Relationship Id="rId1596" Type="http://schemas.openxmlformats.org/officeDocument/2006/relationships/hyperlink" Target="http://pokemondb.net/type/ground" TargetMode="External"/><Relationship Id="rId314" Type="http://schemas.openxmlformats.org/officeDocument/2006/relationships/hyperlink" Target="http://pokemondb.net/pokedex/jynx" TargetMode="External"/><Relationship Id="rId521" Type="http://schemas.openxmlformats.org/officeDocument/2006/relationships/hyperlink" Target="http://pokemondb.net/pokedex/pineco" TargetMode="External"/><Relationship Id="rId619" Type="http://schemas.openxmlformats.org/officeDocument/2006/relationships/hyperlink" Target="http://pokemondb.net/pokedex/magby" TargetMode="External"/><Relationship Id="rId1151" Type="http://schemas.openxmlformats.org/officeDocument/2006/relationships/hyperlink" Target="http://pokemondb.net/type/dragon" TargetMode="External"/><Relationship Id="rId1249" Type="http://schemas.openxmlformats.org/officeDocument/2006/relationships/hyperlink" Target="http://pokemondb.net/type/electric" TargetMode="External"/><Relationship Id="rId95" Type="http://schemas.openxmlformats.org/officeDocument/2006/relationships/hyperlink" Target="http://pokemondb.net/pokedex/vulpix" TargetMode="External"/><Relationship Id="rId826" Type="http://schemas.openxmlformats.org/officeDocument/2006/relationships/hyperlink" Target="http://pokemondb.net/pokedex/carvanha" TargetMode="External"/><Relationship Id="rId1011" Type="http://schemas.openxmlformats.org/officeDocument/2006/relationships/hyperlink" Target="http://pokemondb.net/type/ground" TargetMode="External"/><Relationship Id="rId1109" Type="http://schemas.openxmlformats.org/officeDocument/2006/relationships/hyperlink" Target="http://pokemondb.net/pokedex/lopunny" TargetMode="External"/><Relationship Id="rId1456" Type="http://schemas.openxmlformats.org/officeDocument/2006/relationships/hyperlink" Target="http://pokemondb.net/type/dark" TargetMode="External"/><Relationship Id="rId1663" Type="http://schemas.openxmlformats.org/officeDocument/2006/relationships/hyperlink" Target="http://pokemondb.net/type/electric" TargetMode="External"/><Relationship Id="rId1870" Type="http://schemas.openxmlformats.org/officeDocument/2006/relationships/hyperlink" Target="http://pokemondb.net/type/grass" TargetMode="External"/><Relationship Id="rId1316" Type="http://schemas.openxmlformats.org/officeDocument/2006/relationships/hyperlink" Target="http://pokemondb.net/pokedex/dewott" TargetMode="External"/><Relationship Id="rId1523" Type="http://schemas.openxmlformats.org/officeDocument/2006/relationships/hyperlink" Target="http://pokemondb.net/type/bug" TargetMode="External"/><Relationship Id="rId1730" Type="http://schemas.openxmlformats.org/officeDocument/2006/relationships/hyperlink" Target="http://pokemondb.net/pokedex/fletchling" TargetMode="External"/><Relationship Id="rId22" Type="http://schemas.openxmlformats.org/officeDocument/2006/relationships/hyperlink" Target="http://pokemondb.net/type/flying" TargetMode="External"/><Relationship Id="rId1828" Type="http://schemas.openxmlformats.org/officeDocument/2006/relationships/hyperlink" Target="http://pokemondb.net/type/rock" TargetMode="External"/><Relationship Id="rId171" Type="http://schemas.openxmlformats.org/officeDocument/2006/relationships/hyperlink" Target="http://pokemondb.net/type/fighting" TargetMode="External"/><Relationship Id="rId269" Type="http://schemas.openxmlformats.org/officeDocument/2006/relationships/hyperlink" Target="http://pokemondb.net/pokedex/marowak" TargetMode="External"/><Relationship Id="rId476" Type="http://schemas.openxmlformats.org/officeDocument/2006/relationships/hyperlink" Target="http://pokemondb.net/pokedex/politoed" TargetMode="External"/><Relationship Id="rId683" Type="http://schemas.openxmlformats.org/officeDocument/2006/relationships/hyperlink" Target="http://pokemondb.net/pokedex/wurmple" TargetMode="External"/><Relationship Id="rId890" Type="http://schemas.openxmlformats.org/officeDocument/2006/relationships/hyperlink" Target="http://pokemondb.net/pokedex/baltoy" TargetMode="External"/><Relationship Id="rId129" Type="http://schemas.openxmlformats.org/officeDocument/2006/relationships/hyperlink" Target="http://pokemondb.net/pokedex/venomoth" TargetMode="External"/><Relationship Id="rId336" Type="http://schemas.openxmlformats.org/officeDocument/2006/relationships/hyperlink" Target="http://pokemondb.net/type/ice" TargetMode="External"/><Relationship Id="rId543" Type="http://schemas.openxmlformats.org/officeDocument/2006/relationships/hyperlink" Target="http://pokemondb.net/type/steel" TargetMode="External"/><Relationship Id="rId988" Type="http://schemas.openxmlformats.org/officeDocument/2006/relationships/hyperlink" Target="http://pokemondb.net/type/water" TargetMode="External"/><Relationship Id="rId1173" Type="http://schemas.openxmlformats.org/officeDocument/2006/relationships/hyperlink" Target="http://pokemondb.net/type/bug" TargetMode="External"/><Relationship Id="rId1380" Type="http://schemas.openxmlformats.org/officeDocument/2006/relationships/hyperlink" Target="http://pokemondb.net/pokedex/audino" TargetMode="External"/><Relationship Id="rId403" Type="http://schemas.openxmlformats.org/officeDocument/2006/relationships/hyperlink" Target="http://pokemondb.net/pokedex/totodile" TargetMode="External"/><Relationship Id="rId750" Type="http://schemas.openxmlformats.org/officeDocument/2006/relationships/hyperlink" Target="http://pokemondb.net/pokedex/slaking" TargetMode="External"/><Relationship Id="rId848" Type="http://schemas.openxmlformats.org/officeDocument/2006/relationships/hyperlink" Target="http://pokemondb.net/pokedex/spinda" TargetMode="External"/><Relationship Id="rId1033" Type="http://schemas.openxmlformats.org/officeDocument/2006/relationships/hyperlink" Target="http://pokemondb.net/pokedex/staraptor" TargetMode="External"/><Relationship Id="rId1478" Type="http://schemas.openxmlformats.org/officeDocument/2006/relationships/hyperlink" Target="http://pokemondb.net/type/poison" TargetMode="External"/><Relationship Id="rId1685" Type="http://schemas.openxmlformats.org/officeDocument/2006/relationships/hyperlink" Target="http://pokemondb.net/type/ice" TargetMode="External"/><Relationship Id="rId1892" Type="http://schemas.openxmlformats.org/officeDocument/2006/relationships/hyperlink" Target="http://pokemondb.net/type/dragon" TargetMode="External"/><Relationship Id="rId610" Type="http://schemas.openxmlformats.org/officeDocument/2006/relationships/hyperlink" Target="http://pokemondb.net/pokedex/tyrogue" TargetMode="External"/><Relationship Id="rId708" Type="http://schemas.openxmlformats.org/officeDocument/2006/relationships/hyperlink" Target="http://pokemondb.net/type/dark" TargetMode="External"/><Relationship Id="rId915" Type="http://schemas.openxmlformats.org/officeDocument/2006/relationships/hyperlink" Target="http://pokemondb.net/type/normal" TargetMode="External"/><Relationship Id="rId1240" Type="http://schemas.openxmlformats.org/officeDocument/2006/relationships/hyperlink" Target="http://pokemondb.net/type/steel" TargetMode="External"/><Relationship Id="rId1338" Type="http://schemas.openxmlformats.org/officeDocument/2006/relationships/hyperlink" Target="http://pokemondb.net/pokedex/pansear" TargetMode="External"/><Relationship Id="rId1545" Type="http://schemas.openxmlformats.org/officeDocument/2006/relationships/hyperlink" Target="http://pokemondb.net/type/bug" TargetMode="External"/><Relationship Id="rId1100" Type="http://schemas.openxmlformats.org/officeDocument/2006/relationships/hyperlink" Target="http://pokemondb.net/type/normal" TargetMode="External"/><Relationship Id="rId1405" Type="http://schemas.openxmlformats.org/officeDocument/2006/relationships/hyperlink" Target="http://pokemondb.net/type/grass" TargetMode="External"/><Relationship Id="rId1752" Type="http://schemas.openxmlformats.org/officeDocument/2006/relationships/hyperlink" Target="http://pokemondb.net/pokedex/flabebe" TargetMode="External"/><Relationship Id="rId44" Type="http://schemas.openxmlformats.org/officeDocument/2006/relationships/hyperlink" Target="http://pokemondb.net/type/bug" TargetMode="External"/><Relationship Id="rId1612" Type="http://schemas.openxmlformats.org/officeDocument/2006/relationships/hyperlink" Target="http://pokemondb.net/pokedex/bisharp" TargetMode="External"/><Relationship Id="rId1917" Type="http://schemas.openxmlformats.org/officeDocument/2006/relationships/hyperlink" Target="http://pokemondb.net/pokedex/aegislash" TargetMode="External"/><Relationship Id="rId193" Type="http://schemas.openxmlformats.org/officeDocument/2006/relationships/hyperlink" Target="http://pokemondb.net/pokedex/golem" TargetMode="External"/><Relationship Id="rId498" Type="http://schemas.openxmlformats.org/officeDocument/2006/relationships/hyperlink" Target="http://pokemondb.net/type/ground" TargetMode="External"/><Relationship Id="rId260" Type="http://schemas.openxmlformats.org/officeDocument/2006/relationships/hyperlink" Target="http://pokemondb.net/type/electric" TargetMode="External"/><Relationship Id="rId120" Type="http://schemas.openxmlformats.org/officeDocument/2006/relationships/hyperlink" Target="http://pokemondb.net/pokedex/paras" TargetMode="External"/><Relationship Id="rId358" Type="http://schemas.openxmlformats.org/officeDocument/2006/relationships/hyperlink" Target="http://pokemondb.net/pokedex/kabutops" TargetMode="External"/><Relationship Id="rId565" Type="http://schemas.openxmlformats.org/officeDocument/2006/relationships/hyperlink" Target="http://pokemondb.net/type/rock" TargetMode="External"/><Relationship Id="rId772" Type="http://schemas.openxmlformats.org/officeDocument/2006/relationships/hyperlink" Target="http://pokemondb.net/type/normal" TargetMode="External"/><Relationship Id="rId1195" Type="http://schemas.openxmlformats.org/officeDocument/2006/relationships/hyperlink" Target="http://pokemondb.net/pokedex/abomasnow" TargetMode="External"/><Relationship Id="rId218" Type="http://schemas.openxmlformats.org/officeDocument/2006/relationships/hyperlink" Target="http://pokemondb.net/pokedex/dodrio" TargetMode="External"/><Relationship Id="rId425" Type="http://schemas.openxmlformats.org/officeDocument/2006/relationships/hyperlink" Target="http://pokemondb.net/pokedex/spinarak" TargetMode="External"/><Relationship Id="rId632" Type="http://schemas.openxmlformats.org/officeDocument/2006/relationships/hyperlink" Target="http://pokemondb.net/type/rock" TargetMode="External"/><Relationship Id="rId1055" Type="http://schemas.openxmlformats.org/officeDocument/2006/relationships/hyperlink" Target="http://pokemondb.net/type/grass" TargetMode="External"/><Relationship Id="rId1262" Type="http://schemas.openxmlformats.org/officeDocument/2006/relationships/hyperlink" Target="http://pokemondb.net/type/psychic" TargetMode="External"/><Relationship Id="rId937" Type="http://schemas.openxmlformats.org/officeDocument/2006/relationships/hyperlink" Target="http://pokemondb.net/pokedex/glalie" TargetMode="External"/><Relationship Id="rId1122" Type="http://schemas.openxmlformats.org/officeDocument/2006/relationships/hyperlink" Target="http://pokemondb.net/pokedex/stunky" TargetMode="External"/><Relationship Id="rId1567" Type="http://schemas.openxmlformats.org/officeDocument/2006/relationships/hyperlink" Target="http://pokemondb.net/pokedex/beheeyem" TargetMode="External"/><Relationship Id="rId1774" Type="http://schemas.openxmlformats.org/officeDocument/2006/relationships/hyperlink" Target="http://pokemondb.net/type/steel" TargetMode="External"/><Relationship Id="rId66" Type="http://schemas.openxmlformats.org/officeDocument/2006/relationships/hyperlink" Target="http://pokemondb.net/type/poison" TargetMode="External"/><Relationship Id="rId1427" Type="http://schemas.openxmlformats.org/officeDocument/2006/relationships/hyperlink" Target="http://pokemondb.net/type/water" TargetMode="External"/><Relationship Id="rId1634" Type="http://schemas.openxmlformats.org/officeDocument/2006/relationships/hyperlink" Target="http://pokemondb.net/pokedex/deino" TargetMode="External"/><Relationship Id="rId1841" Type="http://schemas.openxmlformats.org/officeDocument/2006/relationships/hyperlink" Target="http://pokemondb.net/pokedex/carbink" TargetMode="External"/><Relationship Id="rId1701" Type="http://schemas.openxmlformats.org/officeDocument/2006/relationships/hyperlink" Target="http://pokemondb.net/pokedex/genesect" TargetMode="External"/><Relationship Id="rId282" Type="http://schemas.openxmlformats.org/officeDocument/2006/relationships/hyperlink" Target="http://pokemondb.net/type/ground" TargetMode="External"/><Relationship Id="rId587" Type="http://schemas.openxmlformats.org/officeDocument/2006/relationships/hyperlink" Target="http://pokemondb.net/type/flying" TargetMode="External"/><Relationship Id="rId8" Type="http://schemas.openxmlformats.org/officeDocument/2006/relationships/hyperlink" Target="http://pokemondb.net/type/grass" TargetMode="External"/><Relationship Id="rId142" Type="http://schemas.openxmlformats.org/officeDocument/2006/relationships/hyperlink" Target="http://pokemondb.net/pokedex/golduck" TargetMode="External"/><Relationship Id="rId447" Type="http://schemas.openxmlformats.org/officeDocument/2006/relationships/hyperlink" Target="http://pokemondb.net/pokedex/togepi" TargetMode="External"/><Relationship Id="rId794" Type="http://schemas.openxmlformats.org/officeDocument/2006/relationships/hyperlink" Target="http://pokemondb.net/pokedex/aggron" TargetMode="External"/><Relationship Id="rId1077" Type="http://schemas.openxmlformats.org/officeDocument/2006/relationships/hyperlink" Target="http://pokemondb.net/type/flying" TargetMode="External"/><Relationship Id="rId654" Type="http://schemas.openxmlformats.org/officeDocument/2006/relationships/hyperlink" Target="http://pokemondb.net/type/grass" TargetMode="External"/><Relationship Id="rId861" Type="http://schemas.openxmlformats.org/officeDocument/2006/relationships/hyperlink" Target="http://pokemondb.net/type/grass" TargetMode="External"/><Relationship Id="rId959" Type="http://schemas.openxmlformats.org/officeDocument/2006/relationships/hyperlink" Target="http://pokemondb.net/pokedex/bagon" TargetMode="External"/><Relationship Id="rId1284" Type="http://schemas.openxmlformats.org/officeDocument/2006/relationships/hyperlink" Target="http://pokemondb.net/pokedex/phione" TargetMode="External"/><Relationship Id="rId1491" Type="http://schemas.openxmlformats.org/officeDocument/2006/relationships/hyperlink" Target="http://pokemondb.net/pokedex/gothorita" TargetMode="External"/><Relationship Id="rId1589" Type="http://schemas.openxmlformats.org/officeDocument/2006/relationships/hyperlink" Target="http://pokemondb.net/type/ice" TargetMode="External"/><Relationship Id="rId307" Type="http://schemas.openxmlformats.org/officeDocument/2006/relationships/hyperlink" Target="http://pokemondb.net/type/psychic" TargetMode="External"/><Relationship Id="rId514" Type="http://schemas.openxmlformats.org/officeDocument/2006/relationships/hyperlink" Target="http://pokemondb.net/pokedex/unown" TargetMode="External"/><Relationship Id="rId721" Type="http://schemas.openxmlformats.org/officeDocument/2006/relationships/hyperlink" Target="http://pokemondb.net/pokedex/pelipper" TargetMode="External"/><Relationship Id="rId1144" Type="http://schemas.openxmlformats.org/officeDocument/2006/relationships/hyperlink" Target="http://pokemondb.net/pokedex/spiritomb" TargetMode="External"/><Relationship Id="rId1351" Type="http://schemas.openxmlformats.org/officeDocument/2006/relationships/hyperlink" Target="http://pokemondb.net/type/normal" TargetMode="External"/><Relationship Id="rId1449" Type="http://schemas.openxmlformats.org/officeDocument/2006/relationships/hyperlink" Target="http://pokemondb.net/pokedex/crustle" TargetMode="External"/><Relationship Id="rId1796" Type="http://schemas.openxmlformats.org/officeDocument/2006/relationships/hyperlink" Target="http://pokemondb.net/pokedex/malamar" TargetMode="External"/><Relationship Id="rId88" Type="http://schemas.openxmlformats.org/officeDocument/2006/relationships/hyperlink" Target="http://pokemondb.net/pokedex/nidoking" TargetMode="External"/><Relationship Id="rId819" Type="http://schemas.openxmlformats.org/officeDocument/2006/relationships/hyperlink" Target="http://pokemondb.net/pokedex/roselia" TargetMode="External"/><Relationship Id="rId1004" Type="http://schemas.openxmlformats.org/officeDocument/2006/relationships/hyperlink" Target="http://pokemondb.net/type/psychic" TargetMode="External"/><Relationship Id="rId1211" Type="http://schemas.openxmlformats.org/officeDocument/2006/relationships/hyperlink" Target="http://pokemondb.net/pokedex/tangrowth" TargetMode="External"/><Relationship Id="rId1656" Type="http://schemas.openxmlformats.org/officeDocument/2006/relationships/hyperlink" Target="http://pokemondb.net/type/grass" TargetMode="External"/><Relationship Id="rId1863" Type="http://schemas.openxmlformats.org/officeDocument/2006/relationships/hyperlink" Target="http://pokemondb.net/type/ghost" TargetMode="External"/><Relationship Id="rId1309" Type="http://schemas.openxmlformats.org/officeDocument/2006/relationships/hyperlink" Target="http://pokemondb.net/type/fire" TargetMode="External"/><Relationship Id="rId1516" Type="http://schemas.openxmlformats.org/officeDocument/2006/relationships/hyperlink" Target="http://pokemondb.net/pokedex/sawsbuck" TargetMode="External"/><Relationship Id="rId1723" Type="http://schemas.openxmlformats.org/officeDocument/2006/relationships/hyperlink" Target="http://pokemondb.net/type/water" TargetMode="External"/><Relationship Id="rId1930" Type="http://schemas.openxmlformats.org/officeDocument/2006/relationships/table" Target="../tables/table1.xml"/><Relationship Id="rId15" Type="http://schemas.openxmlformats.org/officeDocument/2006/relationships/hyperlink" Target="http://pokemondb.net/type/fire" TargetMode="External"/><Relationship Id="rId164" Type="http://schemas.openxmlformats.org/officeDocument/2006/relationships/hyperlink" Target="http://pokemondb.net/type/psychic" TargetMode="External"/><Relationship Id="rId371" Type="http://schemas.openxmlformats.org/officeDocument/2006/relationships/hyperlink" Target="http://pokemondb.net/pokedex/zapdos" TargetMode="External"/><Relationship Id="rId469" Type="http://schemas.openxmlformats.org/officeDocument/2006/relationships/hyperlink" Target="http://pokemondb.net/type/water" TargetMode="External"/><Relationship Id="rId676" Type="http://schemas.openxmlformats.org/officeDocument/2006/relationships/hyperlink" Target="http://pokemondb.net/type/dark" TargetMode="External"/><Relationship Id="rId883" Type="http://schemas.openxmlformats.org/officeDocument/2006/relationships/hyperlink" Target="http://pokemondb.net/type/water" TargetMode="External"/><Relationship Id="rId1099" Type="http://schemas.openxmlformats.org/officeDocument/2006/relationships/hyperlink" Target="http://pokemondb.net/pokedex/ambipom" TargetMode="External"/><Relationship Id="rId231" Type="http://schemas.openxmlformats.org/officeDocument/2006/relationships/hyperlink" Target="http://pokemondb.net/type/water" TargetMode="External"/><Relationship Id="rId329" Type="http://schemas.openxmlformats.org/officeDocument/2006/relationships/hyperlink" Target="http://pokemondb.net/pokedex/gyarados" TargetMode="External"/><Relationship Id="rId536" Type="http://schemas.openxmlformats.org/officeDocument/2006/relationships/hyperlink" Target="http://pokemondb.net/pokedex/granbull" TargetMode="External"/><Relationship Id="rId1166" Type="http://schemas.openxmlformats.org/officeDocument/2006/relationships/hyperlink" Target="http://pokemondb.net/type/steel" TargetMode="External"/><Relationship Id="rId1373" Type="http://schemas.openxmlformats.org/officeDocument/2006/relationships/hyperlink" Target="http://pokemondb.net/type/psychic" TargetMode="External"/><Relationship Id="rId743" Type="http://schemas.openxmlformats.org/officeDocument/2006/relationships/hyperlink" Target="http://pokemondb.net/pokedex/breloom" TargetMode="External"/><Relationship Id="rId950" Type="http://schemas.openxmlformats.org/officeDocument/2006/relationships/hyperlink" Target="http://pokemondb.net/pokedex/huntail" TargetMode="External"/><Relationship Id="rId1026" Type="http://schemas.openxmlformats.org/officeDocument/2006/relationships/hyperlink" Target="http://pokemondb.net/type/steel" TargetMode="External"/><Relationship Id="rId1580" Type="http://schemas.openxmlformats.org/officeDocument/2006/relationships/hyperlink" Target="http://pokemondb.net/pokedex/fraxure" TargetMode="External"/><Relationship Id="rId1678" Type="http://schemas.openxmlformats.org/officeDocument/2006/relationships/hyperlink" Target="http://pokemondb.net/type/ground" TargetMode="External"/><Relationship Id="rId1885" Type="http://schemas.openxmlformats.org/officeDocument/2006/relationships/hyperlink" Target="http://pokemondb.net/pokedex/avalugg" TargetMode="External"/><Relationship Id="rId603" Type="http://schemas.openxmlformats.org/officeDocument/2006/relationships/hyperlink" Target="http://pokemondb.net/type/ground" TargetMode="External"/><Relationship Id="rId810" Type="http://schemas.openxmlformats.org/officeDocument/2006/relationships/hyperlink" Target="http://pokemondb.net/type/electric" TargetMode="External"/><Relationship Id="rId908" Type="http://schemas.openxmlformats.org/officeDocument/2006/relationships/hyperlink" Target="http://pokemondb.net/pokedex/feebas" TargetMode="External"/><Relationship Id="rId1233" Type="http://schemas.openxmlformats.org/officeDocument/2006/relationships/hyperlink" Target="http://pokemondb.net/pokedex/porygon-z" TargetMode="External"/><Relationship Id="rId1440" Type="http://schemas.openxmlformats.org/officeDocument/2006/relationships/hyperlink" Target="http://pokemondb.net/type/fire" TargetMode="External"/><Relationship Id="rId1538" Type="http://schemas.openxmlformats.org/officeDocument/2006/relationships/hyperlink" Target="http://pokemondb.net/type/ghost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://pokemondb.net/move/air-cutter" TargetMode="External"/><Relationship Id="rId170" Type="http://schemas.openxmlformats.org/officeDocument/2006/relationships/hyperlink" Target="http://pokemondb.net/type/normal" TargetMode="External"/><Relationship Id="rId268" Type="http://schemas.openxmlformats.org/officeDocument/2006/relationships/hyperlink" Target="http://pokemondb.net/type/fighting" TargetMode="External"/><Relationship Id="rId475" Type="http://schemas.openxmlformats.org/officeDocument/2006/relationships/hyperlink" Target="http://pokemondb.net/move/heart-stamp" TargetMode="External"/><Relationship Id="rId682" Type="http://schemas.openxmlformats.org/officeDocument/2006/relationships/hyperlink" Target="http://pokemondb.net/type/ground" TargetMode="External"/><Relationship Id="rId128" Type="http://schemas.openxmlformats.org/officeDocument/2006/relationships/hyperlink" Target="http://pokemondb.net/type/grass" TargetMode="External"/><Relationship Id="rId335" Type="http://schemas.openxmlformats.org/officeDocument/2006/relationships/hyperlink" Target="http://pokemondb.net/move/fire-fang" TargetMode="External"/><Relationship Id="rId542" Type="http://schemas.openxmlformats.org/officeDocument/2006/relationships/hyperlink" Target="http://pokemondb.net/type/bug" TargetMode="External"/><Relationship Id="rId987" Type="http://schemas.openxmlformats.org/officeDocument/2006/relationships/hyperlink" Target="http://pokemondb.net/move/solarbeam" TargetMode="External"/><Relationship Id="rId1172" Type="http://schemas.openxmlformats.org/officeDocument/2006/relationships/hyperlink" Target="http://pokemondb.net/type/water" TargetMode="External"/><Relationship Id="rId402" Type="http://schemas.openxmlformats.org/officeDocument/2006/relationships/hyperlink" Target="http://pokemondb.net/type/normal" TargetMode="External"/><Relationship Id="rId847" Type="http://schemas.openxmlformats.org/officeDocument/2006/relationships/hyperlink" Target="http://pokemondb.net/move/roar" TargetMode="External"/><Relationship Id="rId1032" Type="http://schemas.openxmlformats.org/officeDocument/2006/relationships/hyperlink" Target="http://pokemondb.net/type/bug" TargetMode="External"/><Relationship Id="rId707" Type="http://schemas.openxmlformats.org/officeDocument/2006/relationships/hyperlink" Target="http://pokemondb.net/move/oblivion-wing" TargetMode="External"/><Relationship Id="rId914" Type="http://schemas.openxmlformats.org/officeDocument/2006/relationships/hyperlink" Target="http://pokemondb.net/type/ghost" TargetMode="External"/><Relationship Id="rId43" Type="http://schemas.openxmlformats.org/officeDocument/2006/relationships/hyperlink" Target="http://pokemondb.net/move/assist" TargetMode="External"/><Relationship Id="rId192" Type="http://schemas.openxmlformats.org/officeDocument/2006/relationships/hyperlink" Target="http://pokemondb.net/type/normal" TargetMode="External"/><Relationship Id="rId497" Type="http://schemas.openxmlformats.org/officeDocument/2006/relationships/hyperlink" Target="http://pokemondb.net/move/horn-drill" TargetMode="External"/><Relationship Id="rId357" Type="http://schemas.openxmlformats.org/officeDocument/2006/relationships/hyperlink" Target="http://pokemondb.net/move/flash" TargetMode="External"/><Relationship Id="rId1194" Type="http://schemas.openxmlformats.org/officeDocument/2006/relationships/hyperlink" Target="http://pokemondb.net/type/water" TargetMode="External"/><Relationship Id="rId217" Type="http://schemas.openxmlformats.org/officeDocument/2006/relationships/hyperlink" Target="http://pokemondb.net/move/disable" TargetMode="External"/><Relationship Id="rId564" Type="http://schemas.openxmlformats.org/officeDocument/2006/relationships/hyperlink" Target="http://pokemondb.net/type/dark" TargetMode="External"/><Relationship Id="rId771" Type="http://schemas.openxmlformats.org/officeDocument/2006/relationships/hyperlink" Target="http://pokemondb.net/move/power-trick" TargetMode="External"/><Relationship Id="rId869" Type="http://schemas.openxmlformats.org/officeDocument/2006/relationships/hyperlink" Target="http://pokemondb.net/move/rolling-kick" TargetMode="External"/><Relationship Id="rId424" Type="http://schemas.openxmlformats.org/officeDocument/2006/relationships/hyperlink" Target="http://pokemondb.net/type/grass" TargetMode="External"/><Relationship Id="rId631" Type="http://schemas.openxmlformats.org/officeDocument/2006/relationships/hyperlink" Target="http://pokemondb.net/move/mega-punch" TargetMode="External"/><Relationship Id="rId729" Type="http://schemas.openxmlformats.org/officeDocument/2006/relationships/hyperlink" Target="http://pokemondb.net/move/peck" TargetMode="External"/><Relationship Id="rId1054" Type="http://schemas.openxmlformats.org/officeDocument/2006/relationships/hyperlink" Target="http://pokemondb.net/type/water" TargetMode="External"/><Relationship Id="rId936" Type="http://schemas.openxmlformats.org/officeDocument/2006/relationships/hyperlink" Target="http://pokemondb.net/type/bug" TargetMode="External"/><Relationship Id="rId1121" Type="http://schemas.openxmlformats.org/officeDocument/2006/relationships/hyperlink" Target="http://pokemondb.net/move/transform" TargetMode="External"/><Relationship Id="rId65" Type="http://schemas.openxmlformats.org/officeDocument/2006/relationships/hyperlink" Target="http://pokemondb.net/move/barrier" TargetMode="External"/><Relationship Id="rId281" Type="http://schemas.openxmlformats.org/officeDocument/2006/relationships/hyperlink" Target="http://pokemondb.net/move/electrify" TargetMode="External"/><Relationship Id="rId141" Type="http://schemas.openxmlformats.org/officeDocument/2006/relationships/hyperlink" Target="http://pokemondb.net/move/chatter" TargetMode="External"/><Relationship Id="rId379" Type="http://schemas.openxmlformats.org/officeDocument/2006/relationships/hyperlink" Target="http://pokemondb.net/move/force-palm" TargetMode="External"/><Relationship Id="rId586" Type="http://schemas.openxmlformats.org/officeDocument/2006/relationships/hyperlink" Target="http://pokemondb.net/type/psychic" TargetMode="External"/><Relationship Id="rId793" Type="http://schemas.openxmlformats.org/officeDocument/2006/relationships/hyperlink" Target="http://pokemondb.net/move/psyshock" TargetMode="External"/><Relationship Id="rId7" Type="http://schemas.openxmlformats.org/officeDocument/2006/relationships/hyperlink" Target="http://pokemondb.net/move/acid-spray" TargetMode="External"/><Relationship Id="rId239" Type="http://schemas.openxmlformats.org/officeDocument/2006/relationships/hyperlink" Target="http://pokemondb.net/move/draco-meteor" TargetMode="External"/><Relationship Id="rId446" Type="http://schemas.openxmlformats.org/officeDocument/2006/relationships/hyperlink" Target="http://pokemondb.net/type/poison" TargetMode="External"/><Relationship Id="rId653" Type="http://schemas.openxmlformats.org/officeDocument/2006/relationships/hyperlink" Target="http://pokemondb.net/move/minimize" TargetMode="External"/><Relationship Id="rId1076" Type="http://schemas.openxmlformats.org/officeDocument/2006/relationships/hyperlink" Target="http://pokemondb.net/type/bug" TargetMode="External"/><Relationship Id="rId306" Type="http://schemas.openxmlformats.org/officeDocument/2006/relationships/hyperlink" Target="http://pokemondb.net/type/psychic" TargetMode="External"/><Relationship Id="rId860" Type="http://schemas.openxmlformats.org/officeDocument/2006/relationships/hyperlink" Target="http://pokemondb.net/type/fighting" TargetMode="External"/><Relationship Id="rId958" Type="http://schemas.openxmlformats.org/officeDocument/2006/relationships/hyperlink" Target="http://pokemondb.net/type/normal" TargetMode="External"/><Relationship Id="rId1143" Type="http://schemas.openxmlformats.org/officeDocument/2006/relationships/hyperlink" Target="http://pokemondb.net/move/v-create" TargetMode="External"/><Relationship Id="rId87" Type="http://schemas.openxmlformats.org/officeDocument/2006/relationships/hyperlink" Target="http://pokemondb.net/move/blizzard" TargetMode="External"/><Relationship Id="rId513" Type="http://schemas.openxmlformats.org/officeDocument/2006/relationships/hyperlink" Target="http://pokemondb.net/move/hyper-voice" TargetMode="External"/><Relationship Id="rId720" Type="http://schemas.openxmlformats.org/officeDocument/2006/relationships/hyperlink" Target="http://pokemondb.net/type/normal" TargetMode="External"/><Relationship Id="rId818" Type="http://schemas.openxmlformats.org/officeDocument/2006/relationships/hyperlink" Target="http://pokemondb.net/type/normal" TargetMode="External"/><Relationship Id="rId1003" Type="http://schemas.openxmlformats.org/officeDocument/2006/relationships/hyperlink" Target="http://pokemondb.net/move/spit-up" TargetMode="External"/><Relationship Id="rId1210" Type="http://schemas.openxmlformats.org/officeDocument/2006/relationships/hyperlink" Target="http://pokemondb.net/type/normal" TargetMode="External"/><Relationship Id="rId14" Type="http://schemas.openxmlformats.org/officeDocument/2006/relationships/hyperlink" Target="http://pokemondb.net/type/flying" TargetMode="External"/><Relationship Id="rId163" Type="http://schemas.openxmlformats.org/officeDocument/2006/relationships/hyperlink" Target="http://pokemondb.net/move/constrict" TargetMode="External"/><Relationship Id="rId370" Type="http://schemas.openxmlformats.org/officeDocument/2006/relationships/hyperlink" Target="http://pokemondb.net/type/fighting" TargetMode="External"/><Relationship Id="rId230" Type="http://schemas.openxmlformats.org/officeDocument/2006/relationships/hyperlink" Target="http://pokemondb.net/type/normal" TargetMode="External"/><Relationship Id="rId468" Type="http://schemas.openxmlformats.org/officeDocument/2006/relationships/hyperlink" Target="http://pokemondb.net/type/psychic" TargetMode="External"/><Relationship Id="rId675" Type="http://schemas.openxmlformats.org/officeDocument/2006/relationships/hyperlink" Target="http://pokemondb.net/move/mud-bomb" TargetMode="External"/><Relationship Id="rId882" Type="http://schemas.openxmlformats.org/officeDocument/2006/relationships/hyperlink" Target="http://pokemondb.net/type/fighting" TargetMode="External"/><Relationship Id="rId1098" Type="http://schemas.openxmlformats.org/officeDocument/2006/relationships/hyperlink" Target="http://pokemondb.net/type/normal" TargetMode="External"/><Relationship Id="rId328" Type="http://schemas.openxmlformats.org/officeDocument/2006/relationships/hyperlink" Target="http://pokemondb.net/type/bug" TargetMode="External"/><Relationship Id="rId535" Type="http://schemas.openxmlformats.org/officeDocument/2006/relationships/hyperlink" Target="http://pokemondb.net/move/imprison" TargetMode="External"/><Relationship Id="rId742" Type="http://schemas.openxmlformats.org/officeDocument/2006/relationships/hyperlink" Target="http://pokemondb.net/type/electric" TargetMode="External"/><Relationship Id="rId1165" Type="http://schemas.openxmlformats.org/officeDocument/2006/relationships/hyperlink" Target="http://pokemondb.net/move/water-pledge" TargetMode="External"/><Relationship Id="rId602" Type="http://schemas.openxmlformats.org/officeDocument/2006/relationships/hyperlink" Target="http://pokemondb.net/type/fighting" TargetMode="External"/><Relationship Id="rId1025" Type="http://schemas.openxmlformats.org/officeDocument/2006/relationships/hyperlink" Target="http://pokemondb.net/move/stored-power" TargetMode="External"/><Relationship Id="rId907" Type="http://schemas.openxmlformats.org/officeDocument/2006/relationships/hyperlink" Target="http://pokemondb.net/move/seed-flare" TargetMode="External"/><Relationship Id="rId36" Type="http://schemas.openxmlformats.org/officeDocument/2006/relationships/hyperlink" Target="http://pokemondb.net/type/water" TargetMode="External"/><Relationship Id="rId185" Type="http://schemas.openxmlformats.org/officeDocument/2006/relationships/hyperlink" Target="http://pokemondb.net/move/cross-chop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move/night-shade" TargetMode="External"/><Relationship Id="rId252" Type="http://schemas.openxmlformats.org/officeDocument/2006/relationships/hyperlink" Target="http://pokemondb.net/type/dragon" TargetMode="External"/><Relationship Id="rId1187" Type="http://schemas.openxmlformats.org/officeDocument/2006/relationships/hyperlink" Target="http://pokemondb.net/move/will-o-wisp" TargetMode="External"/><Relationship Id="rId112" Type="http://schemas.openxmlformats.org/officeDocument/2006/relationships/hyperlink" Target="http://pokemondb.net/type/water" TargetMode="External"/><Relationship Id="rId557" Type="http://schemas.openxmlformats.org/officeDocument/2006/relationships/hyperlink" Target="http://pokemondb.net/move/karate-chop" TargetMode="External"/><Relationship Id="rId764" Type="http://schemas.openxmlformats.org/officeDocument/2006/relationships/hyperlink" Target="http://pokemondb.net/type/ice" TargetMode="External"/><Relationship Id="rId971" Type="http://schemas.openxmlformats.org/officeDocument/2006/relationships/hyperlink" Target="http://pokemondb.net/move/smellingsalt" TargetMode="External"/><Relationship Id="rId417" Type="http://schemas.openxmlformats.org/officeDocument/2006/relationships/hyperlink" Target="http://pokemondb.net/move/giga-impact" TargetMode="External"/><Relationship Id="rId624" Type="http://schemas.openxmlformats.org/officeDocument/2006/relationships/hyperlink" Target="http://pokemondb.net/type/normal" TargetMode="External"/><Relationship Id="rId831" Type="http://schemas.openxmlformats.org/officeDocument/2006/relationships/hyperlink" Target="http://pokemondb.net/move/reflect-type" TargetMode="External"/><Relationship Id="rId1047" Type="http://schemas.openxmlformats.org/officeDocument/2006/relationships/hyperlink" Target="http://pokemondb.net/move/super-fang" TargetMode="External"/><Relationship Id="rId929" Type="http://schemas.openxmlformats.org/officeDocument/2006/relationships/hyperlink" Target="http://pokemondb.net/move/shift-gear" TargetMode="External"/><Relationship Id="rId1114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steel" TargetMode="External"/><Relationship Id="rId274" Type="http://schemas.openxmlformats.org/officeDocument/2006/relationships/hyperlink" Target="http://pokemondb.net/type/normal" TargetMode="External"/><Relationship Id="rId481" Type="http://schemas.openxmlformats.org/officeDocument/2006/relationships/hyperlink" Target="http://pokemondb.net/move/heat-wave" TargetMode="External"/><Relationship Id="rId134" Type="http://schemas.openxmlformats.org/officeDocument/2006/relationships/hyperlink" Target="http://pokemondb.net/type/normal" TargetMode="External"/><Relationship Id="rId579" Type="http://schemas.openxmlformats.org/officeDocument/2006/relationships/hyperlink" Target="http://pokemondb.net/move/leech-seed" TargetMode="External"/><Relationship Id="rId786" Type="http://schemas.openxmlformats.org/officeDocument/2006/relationships/hyperlink" Target="http://pokemondb.net/type/psychic" TargetMode="External"/><Relationship Id="rId993" Type="http://schemas.openxmlformats.org/officeDocument/2006/relationships/hyperlink" Target="http://pokemondb.net/move/spark" TargetMode="External"/><Relationship Id="rId341" Type="http://schemas.openxmlformats.org/officeDocument/2006/relationships/hyperlink" Target="http://pokemondb.net/move/fire-spin" TargetMode="External"/><Relationship Id="rId439" Type="http://schemas.openxmlformats.org/officeDocument/2006/relationships/hyperlink" Target="http://pokemondb.net/move/guard-split" TargetMode="External"/><Relationship Id="rId646" Type="http://schemas.openxmlformats.org/officeDocument/2006/relationships/hyperlink" Target="http://pokemondb.net/type/normal" TargetMode="External"/><Relationship Id="rId1069" Type="http://schemas.openxmlformats.org/officeDocument/2006/relationships/hyperlink" Target="http://pokemondb.net/move/synchronoise" TargetMode="External"/><Relationship Id="rId201" Type="http://schemas.openxmlformats.org/officeDocument/2006/relationships/hyperlink" Target="http://pokemondb.net/move/dark-void" TargetMode="External"/><Relationship Id="rId506" Type="http://schemas.openxmlformats.org/officeDocument/2006/relationships/hyperlink" Target="http://pokemondb.net/type/water" TargetMode="External"/><Relationship Id="rId853" Type="http://schemas.openxmlformats.org/officeDocument/2006/relationships/hyperlink" Target="http://pokemondb.net/move/rock-climb" TargetMode="External"/><Relationship Id="rId1136" Type="http://schemas.openxmlformats.org/officeDocument/2006/relationships/hyperlink" Target="http://pokemondb.net/type/bug" TargetMode="External"/><Relationship Id="rId713" Type="http://schemas.openxmlformats.org/officeDocument/2006/relationships/hyperlink" Target="http://pokemondb.net/move/ominous-wind" TargetMode="External"/><Relationship Id="rId920" Type="http://schemas.openxmlformats.org/officeDocument/2006/relationships/hyperlink" Target="http://pokemondb.net/type/ghost" TargetMode="External"/><Relationship Id="rId1203" Type="http://schemas.openxmlformats.org/officeDocument/2006/relationships/hyperlink" Target="http://pokemondb.net/move/wrap" TargetMode="External"/><Relationship Id="rId296" Type="http://schemas.openxmlformats.org/officeDocument/2006/relationships/hyperlink" Target="http://pokemondb.net/type/normal" TargetMode="External"/><Relationship Id="rId156" Type="http://schemas.openxmlformats.org/officeDocument/2006/relationships/hyperlink" Target="http://pokemondb.net/type/normal" TargetMode="External"/><Relationship Id="rId363" Type="http://schemas.openxmlformats.org/officeDocument/2006/relationships/hyperlink" Target="http://pokemondb.net/move/fling" TargetMode="External"/><Relationship Id="rId570" Type="http://schemas.openxmlformats.org/officeDocument/2006/relationships/hyperlink" Target="http://pokemondb.net/type/fire" TargetMode="External"/><Relationship Id="rId223" Type="http://schemas.openxmlformats.org/officeDocument/2006/relationships/hyperlink" Target="http://pokemondb.net/move/dive" TargetMode="External"/><Relationship Id="rId430" Type="http://schemas.openxmlformats.org/officeDocument/2006/relationships/hyperlink" Target="http://pokemondb.net/type/grass" TargetMode="External"/><Relationship Id="rId668" Type="http://schemas.openxmlformats.org/officeDocument/2006/relationships/hyperlink" Target="http://pokemondb.net/type/fairy" TargetMode="External"/><Relationship Id="rId875" Type="http://schemas.openxmlformats.org/officeDocument/2006/relationships/hyperlink" Target="http://pokemondb.net/move/rototiller" TargetMode="External"/><Relationship Id="rId1060" Type="http://schemas.openxmlformats.org/officeDocument/2006/relationships/hyperlink" Target="http://pokemondb.net/type/fairy" TargetMode="External"/><Relationship Id="rId18" Type="http://schemas.openxmlformats.org/officeDocument/2006/relationships/hyperlink" Target="http://pokemondb.net/type/normal" TargetMode="External"/><Relationship Id="rId528" Type="http://schemas.openxmlformats.org/officeDocument/2006/relationships/hyperlink" Target="http://pokemondb.net/type/ice" TargetMode="External"/><Relationship Id="rId735" Type="http://schemas.openxmlformats.org/officeDocument/2006/relationships/hyperlink" Target="http://pokemondb.net/move/petal-dance" TargetMode="External"/><Relationship Id="rId942" Type="http://schemas.openxmlformats.org/officeDocument/2006/relationships/hyperlink" Target="http://pokemondb.net/type/normal" TargetMode="External"/><Relationship Id="rId1158" Type="http://schemas.openxmlformats.org/officeDocument/2006/relationships/hyperlink" Target="http://pokemondb.net/type/electric" TargetMode="External"/><Relationship Id="rId167" Type="http://schemas.openxmlformats.org/officeDocument/2006/relationships/hyperlink" Target="http://pokemondb.net/move/conversion-2" TargetMode="External"/><Relationship Id="rId374" Type="http://schemas.openxmlformats.org/officeDocument/2006/relationships/hyperlink" Target="http://pokemondb.net/type/normal" TargetMode="External"/><Relationship Id="rId581" Type="http://schemas.openxmlformats.org/officeDocument/2006/relationships/hyperlink" Target="http://pokemondb.net/move/leer" TargetMode="External"/><Relationship Id="rId1018" Type="http://schemas.openxmlformats.org/officeDocument/2006/relationships/hyperlink" Target="http://pokemondb.net/type/bug" TargetMode="External"/><Relationship Id="rId71" Type="http://schemas.openxmlformats.org/officeDocument/2006/relationships/hyperlink" Target="http://pokemondb.net/move/belch" TargetMode="External"/><Relationship Id="rId234" Type="http://schemas.openxmlformats.org/officeDocument/2006/relationships/hyperlink" Target="http://pokemondb.net/type/normal" TargetMode="External"/><Relationship Id="rId679" Type="http://schemas.openxmlformats.org/officeDocument/2006/relationships/hyperlink" Target="http://pokemondb.net/move/mud-sport" TargetMode="External"/><Relationship Id="rId802" Type="http://schemas.openxmlformats.org/officeDocument/2006/relationships/hyperlink" Target="http://pokemondb.net/type/dark" TargetMode="External"/><Relationship Id="rId886" Type="http://schemas.openxmlformats.org/officeDocument/2006/relationships/hyperlink" Target="http://pokemondb.net/type/ground" TargetMode="External"/><Relationship Id="rId2" Type="http://schemas.openxmlformats.org/officeDocument/2006/relationships/hyperlink" Target="http://pokemondb.net/type/grass" TargetMode="External"/><Relationship Id="rId29" Type="http://schemas.openxmlformats.org/officeDocument/2006/relationships/hyperlink" Target="http://pokemondb.net/move/ancientpower" TargetMode="External"/><Relationship Id="rId441" Type="http://schemas.openxmlformats.org/officeDocument/2006/relationships/hyperlink" Target="http://pokemondb.net/move/guard-swap" TargetMode="External"/><Relationship Id="rId539" Type="http://schemas.openxmlformats.org/officeDocument/2006/relationships/hyperlink" Target="http://pokemondb.net/move/inferno" TargetMode="External"/><Relationship Id="rId746" Type="http://schemas.openxmlformats.org/officeDocument/2006/relationships/hyperlink" Target="http://pokemondb.net/type/flying" TargetMode="External"/><Relationship Id="rId1071" Type="http://schemas.openxmlformats.org/officeDocument/2006/relationships/hyperlink" Target="http://pokemondb.net/move/synthesis" TargetMode="External"/><Relationship Id="rId1169" Type="http://schemas.openxmlformats.org/officeDocument/2006/relationships/hyperlink" Target="http://pokemondb.net/move/water-shuriken" TargetMode="External"/><Relationship Id="rId178" Type="http://schemas.openxmlformats.org/officeDocument/2006/relationships/hyperlink" Target="http://pokemondb.net/type/fighting" TargetMode="External"/><Relationship Id="rId301" Type="http://schemas.openxmlformats.org/officeDocument/2006/relationships/hyperlink" Target="http://pokemondb.net/move/eruption" TargetMode="External"/><Relationship Id="rId953" Type="http://schemas.openxmlformats.org/officeDocument/2006/relationships/hyperlink" Target="http://pokemondb.net/move/slack-off" TargetMode="External"/><Relationship Id="rId1029" Type="http://schemas.openxmlformats.org/officeDocument/2006/relationships/hyperlink" Target="http://pokemondb.net/move/strength" TargetMode="External"/><Relationship Id="rId82" Type="http://schemas.openxmlformats.org/officeDocument/2006/relationships/hyperlink" Target="http://pokemondb.net/type/dark" TargetMode="External"/><Relationship Id="rId385" Type="http://schemas.openxmlformats.org/officeDocument/2006/relationships/hyperlink" Target="http://pokemondb.net/move/foul-play" TargetMode="External"/><Relationship Id="rId592" Type="http://schemas.openxmlformats.org/officeDocument/2006/relationships/hyperlink" Target="http://pokemondb.net/type/fighting" TargetMode="External"/><Relationship Id="rId606" Type="http://schemas.openxmlformats.org/officeDocument/2006/relationships/hyperlink" Target="http://pokemondb.net/type/psychic" TargetMode="External"/><Relationship Id="rId813" Type="http://schemas.openxmlformats.org/officeDocument/2006/relationships/hyperlink" Target="http://pokemondb.net/move/rage-powder" TargetMode="External"/><Relationship Id="rId245" Type="http://schemas.openxmlformats.org/officeDocument/2006/relationships/hyperlink" Target="http://pokemondb.net/move/dragon-pulse" TargetMode="External"/><Relationship Id="rId452" Type="http://schemas.openxmlformats.org/officeDocument/2006/relationships/hyperlink" Target="http://pokemondb.net/type/ice" TargetMode="External"/><Relationship Id="rId897" Type="http://schemas.openxmlformats.org/officeDocument/2006/relationships/hyperlink" Target="http://pokemondb.net/move/screech" TargetMode="External"/><Relationship Id="rId1082" Type="http://schemas.openxmlformats.org/officeDocument/2006/relationships/hyperlink" Target="http://pokemondb.net/type/flying" TargetMode="External"/><Relationship Id="rId105" Type="http://schemas.openxmlformats.org/officeDocument/2006/relationships/hyperlink" Target="http://pokemondb.net/move/bounce" TargetMode="External"/><Relationship Id="rId312" Type="http://schemas.openxmlformats.org/officeDocument/2006/relationships/hyperlink" Target="http://pokemondb.net/type/dark" TargetMode="External"/><Relationship Id="rId757" Type="http://schemas.openxmlformats.org/officeDocument/2006/relationships/hyperlink" Target="http://pokemondb.net/move/poisonpowder" TargetMode="External"/><Relationship Id="rId964" Type="http://schemas.openxmlformats.org/officeDocument/2006/relationships/hyperlink" Target="http://pokemondb.net/type/poison" TargetMode="External"/><Relationship Id="rId93" Type="http://schemas.openxmlformats.org/officeDocument/2006/relationships/hyperlink" Target="http://pokemondb.net/move/body-slam" TargetMode="External"/><Relationship Id="rId189" Type="http://schemas.openxmlformats.org/officeDocument/2006/relationships/hyperlink" Target="http://pokemondb.net/move/crunch" TargetMode="External"/><Relationship Id="rId396" Type="http://schemas.openxmlformats.org/officeDocument/2006/relationships/hyperlink" Target="http://pokemondb.net/type/normal" TargetMode="External"/><Relationship Id="rId617" Type="http://schemas.openxmlformats.org/officeDocument/2006/relationships/hyperlink" Target="http://pokemondb.net/move/magnitude" TargetMode="External"/><Relationship Id="rId824" Type="http://schemas.openxmlformats.org/officeDocument/2006/relationships/hyperlink" Target="http://pokemondb.net/type/normal" TargetMode="External"/><Relationship Id="rId256" Type="http://schemas.openxmlformats.org/officeDocument/2006/relationships/hyperlink" Target="http://pokemondb.net/type/fighting" TargetMode="External"/><Relationship Id="rId463" Type="http://schemas.openxmlformats.org/officeDocument/2006/relationships/hyperlink" Target="http://pokemondb.net/move/headbutt" TargetMode="External"/><Relationship Id="rId670" Type="http://schemas.openxmlformats.org/officeDocument/2006/relationships/hyperlink" Target="http://pokemondb.net/type/fairy" TargetMode="External"/><Relationship Id="rId1093" Type="http://schemas.openxmlformats.org/officeDocument/2006/relationships/hyperlink" Target="http://pokemondb.net/move/teleport" TargetMode="External"/><Relationship Id="rId1107" Type="http://schemas.openxmlformats.org/officeDocument/2006/relationships/hyperlink" Target="http://pokemondb.net/move/thundershock" TargetMode="External"/><Relationship Id="rId116" Type="http://schemas.openxmlformats.org/officeDocument/2006/relationships/hyperlink" Target="http://pokemondb.net/type/water" TargetMode="External"/><Relationship Id="rId323" Type="http://schemas.openxmlformats.org/officeDocument/2006/relationships/hyperlink" Target="http://pokemondb.net/move/featherdance" TargetMode="External"/><Relationship Id="rId530" Type="http://schemas.openxmlformats.org/officeDocument/2006/relationships/hyperlink" Target="http://pokemondb.net/type/ice" TargetMode="External"/><Relationship Id="rId768" Type="http://schemas.openxmlformats.org/officeDocument/2006/relationships/hyperlink" Target="http://pokemondb.net/type/psychic" TargetMode="External"/><Relationship Id="rId975" Type="http://schemas.openxmlformats.org/officeDocument/2006/relationships/hyperlink" Target="http://pokemondb.net/move/smokescreen" TargetMode="External"/><Relationship Id="rId1160" Type="http://schemas.openxmlformats.org/officeDocument/2006/relationships/hyperlink" Target="http://pokemondb.net/type/electric" TargetMode="External"/><Relationship Id="rId20" Type="http://schemas.openxmlformats.org/officeDocument/2006/relationships/hyperlink" Target="http://pokemondb.net/type/psychic" TargetMode="External"/><Relationship Id="rId628" Type="http://schemas.openxmlformats.org/officeDocument/2006/relationships/hyperlink" Target="http://pokemondb.net/type/grass" TargetMode="External"/><Relationship Id="rId835" Type="http://schemas.openxmlformats.org/officeDocument/2006/relationships/hyperlink" Target="http://pokemondb.net/move/relic-song" TargetMode="External"/><Relationship Id="rId267" Type="http://schemas.openxmlformats.org/officeDocument/2006/relationships/hyperlink" Target="http://pokemondb.net/move/dynamicpunch" TargetMode="External"/><Relationship Id="rId474" Type="http://schemas.openxmlformats.org/officeDocument/2006/relationships/hyperlink" Target="http://pokemondb.net/type/psychic" TargetMode="External"/><Relationship Id="rId1020" Type="http://schemas.openxmlformats.org/officeDocument/2006/relationships/hyperlink" Target="http://pokemondb.net/type/normal" TargetMode="External"/><Relationship Id="rId1118" Type="http://schemas.openxmlformats.org/officeDocument/2006/relationships/hyperlink" Target="http://pokemondb.net/type/poison" TargetMode="External"/><Relationship Id="rId127" Type="http://schemas.openxmlformats.org/officeDocument/2006/relationships/hyperlink" Target="http://pokemondb.net/move/bullet-seed" TargetMode="External"/><Relationship Id="rId681" Type="http://schemas.openxmlformats.org/officeDocument/2006/relationships/hyperlink" Target="http://pokemondb.net/move/mud-slap" TargetMode="External"/><Relationship Id="rId779" Type="http://schemas.openxmlformats.org/officeDocument/2006/relationships/hyperlink" Target="http://pokemondb.net/move/protect" TargetMode="External"/><Relationship Id="rId902" Type="http://schemas.openxmlformats.org/officeDocument/2006/relationships/hyperlink" Target="http://pokemondb.net/type/normal" TargetMode="External"/><Relationship Id="rId986" Type="http://schemas.openxmlformats.org/officeDocument/2006/relationships/hyperlink" Target="http://pokemondb.net/type/normal" TargetMode="External"/><Relationship Id="rId31" Type="http://schemas.openxmlformats.org/officeDocument/2006/relationships/hyperlink" Target="http://pokemondb.net/move/aqua-jet" TargetMode="External"/><Relationship Id="rId334" Type="http://schemas.openxmlformats.org/officeDocument/2006/relationships/hyperlink" Target="http://pokemondb.net/type/fire" TargetMode="External"/><Relationship Id="rId541" Type="http://schemas.openxmlformats.org/officeDocument/2006/relationships/hyperlink" Target="http://pokemondb.net/move/infestation" TargetMode="External"/><Relationship Id="rId639" Type="http://schemas.openxmlformats.org/officeDocument/2006/relationships/hyperlink" Target="http://pokemondb.net/move/metal-claw" TargetMode="External"/><Relationship Id="rId1171" Type="http://schemas.openxmlformats.org/officeDocument/2006/relationships/hyperlink" Target="http://pokemondb.net/move/water-sport" TargetMode="External"/><Relationship Id="rId180" Type="http://schemas.openxmlformats.org/officeDocument/2006/relationships/hyperlink" Target="http://pokemondb.net/type/normal" TargetMode="External"/><Relationship Id="rId278" Type="http://schemas.openxmlformats.org/officeDocument/2006/relationships/hyperlink" Target="http://pokemondb.net/type/normal" TargetMode="External"/><Relationship Id="rId401" Type="http://schemas.openxmlformats.org/officeDocument/2006/relationships/hyperlink" Target="http://pokemondb.net/move/fury-swipes" TargetMode="External"/><Relationship Id="rId846" Type="http://schemas.openxmlformats.org/officeDocument/2006/relationships/hyperlink" Target="http://pokemondb.net/type/fighting" TargetMode="External"/><Relationship Id="rId1031" Type="http://schemas.openxmlformats.org/officeDocument/2006/relationships/hyperlink" Target="http://pokemondb.net/move/string-shot" TargetMode="External"/><Relationship Id="rId1129" Type="http://schemas.openxmlformats.org/officeDocument/2006/relationships/hyperlink" Target="http://pokemondb.net/move/trick-or-treat" TargetMode="External"/><Relationship Id="rId485" Type="http://schemas.openxmlformats.org/officeDocument/2006/relationships/hyperlink" Target="http://pokemondb.net/move/helping-hand" TargetMode="External"/><Relationship Id="rId692" Type="http://schemas.openxmlformats.org/officeDocument/2006/relationships/hyperlink" Target="http://pokemondb.net/type/normal" TargetMode="External"/><Relationship Id="rId706" Type="http://schemas.openxmlformats.org/officeDocument/2006/relationships/hyperlink" Target="http://pokemondb.net/type/electric" TargetMode="External"/><Relationship Id="rId913" Type="http://schemas.openxmlformats.org/officeDocument/2006/relationships/hyperlink" Target="http://pokemondb.net/move/shadow-ball" TargetMode="External"/><Relationship Id="rId42" Type="http://schemas.openxmlformats.org/officeDocument/2006/relationships/hyperlink" Target="http://pokemondb.net/type/fairy" TargetMode="External"/><Relationship Id="rId138" Type="http://schemas.openxmlformats.org/officeDocument/2006/relationships/hyperlink" Target="http://pokemondb.net/type/electric" TargetMode="External"/><Relationship Id="rId345" Type="http://schemas.openxmlformats.org/officeDocument/2006/relationships/hyperlink" Target="http://pokemondb.net/move/flail" TargetMode="External"/><Relationship Id="rId552" Type="http://schemas.openxmlformats.org/officeDocument/2006/relationships/hyperlink" Target="http://pokemondb.net/type/steel" TargetMode="External"/><Relationship Id="rId997" Type="http://schemas.openxmlformats.org/officeDocument/2006/relationships/hyperlink" Target="http://pokemondb.net/move/spike-cannon" TargetMode="External"/><Relationship Id="rId1182" Type="http://schemas.openxmlformats.org/officeDocument/2006/relationships/hyperlink" Target="http://pokemondb.net/type/normal" TargetMode="External"/><Relationship Id="rId191" Type="http://schemas.openxmlformats.org/officeDocument/2006/relationships/hyperlink" Target="http://pokemondb.net/move/crush-claw" TargetMode="External"/><Relationship Id="rId205" Type="http://schemas.openxmlformats.org/officeDocument/2006/relationships/hyperlink" Target="http://pokemondb.net/move/defend-order" TargetMode="External"/><Relationship Id="rId412" Type="http://schemas.openxmlformats.org/officeDocument/2006/relationships/hyperlink" Target="http://pokemondb.net/type/steel" TargetMode="External"/><Relationship Id="rId857" Type="http://schemas.openxmlformats.org/officeDocument/2006/relationships/hyperlink" Target="http://pokemondb.net/move/rock-slide" TargetMode="External"/><Relationship Id="rId1042" Type="http://schemas.openxmlformats.org/officeDocument/2006/relationships/hyperlink" Target="http://pokemondb.net/type/normal" TargetMode="External"/><Relationship Id="rId289" Type="http://schemas.openxmlformats.org/officeDocument/2006/relationships/hyperlink" Target="http://pokemondb.net/move/ember" TargetMode="External"/><Relationship Id="rId496" Type="http://schemas.openxmlformats.org/officeDocument/2006/relationships/hyperlink" Target="http://pokemondb.net/type/normal" TargetMode="External"/><Relationship Id="rId717" Type="http://schemas.openxmlformats.org/officeDocument/2006/relationships/hyperlink" Target="http://pokemondb.net/move/overheat" TargetMode="External"/><Relationship Id="rId924" Type="http://schemas.openxmlformats.org/officeDocument/2006/relationships/hyperlink" Target="http://pokemondb.net/type/normal" TargetMode="External"/><Relationship Id="rId53" Type="http://schemas.openxmlformats.org/officeDocument/2006/relationships/hyperlink" Target="http://pokemondb.net/move/aura-sphere" TargetMode="External"/><Relationship Id="rId149" Type="http://schemas.openxmlformats.org/officeDocument/2006/relationships/hyperlink" Target="http://pokemondb.net/move/clear-smog" TargetMode="External"/><Relationship Id="rId356" Type="http://schemas.openxmlformats.org/officeDocument/2006/relationships/hyperlink" Target="http://pokemondb.net/type/fire" TargetMode="External"/><Relationship Id="rId563" Type="http://schemas.openxmlformats.org/officeDocument/2006/relationships/hyperlink" Target="http://pokemondb.net/move/knock-off" TargetMode="External"/><Relationship Id="rId770" Type="http://schemas.openxmlformats.org/officeDocument/2006/relationships/hyperlink" Target="http://pokemondb.net/type/psychic" TargetMode="External"/><Relationship Id="rId1193" Type="http://schemas.openxmlformats.org/officeDocument/2006/relationships/hyperlink" Target="http://pokemondb.net/move/withdraw" TargetMode="External"/><Relationship Id="rId1207" Type="http://schemas.openxmlformats.org/officeDocument/2006/relationships/hyperlink" Target="http://pokemondb.net/move/x-scissor" TargetMode="External"/><Relationship Id="rId216" Type="http://schemas.openxmlformats.org/officeDocument/2006/relationships/hyperlink" Target="http://pokemondb.net/type/ground" TargetMode="External"/><Relationship Id="rId423" Type="http://schemas.openxmlformats.org/officeDocument/2006/relationships/hyperlink" Target="http://pokemondb.net/move/grass-knot" TargetMode="External"/><Relationship Id="rId868" Type="http://schemas.openxmlformats.org/officeDocument/2006/relationships/hyperlink" Target="http://pokemondb.net/type/psychic" TargetMode="External"/><Relationship Id="rId1053" Type="http://schemas.openxmlformats.org/officeDocument/2006/relationships/hyperlink" Target="http://pokemondb.net/move/surf" TargetMode="External"/><Relationship Id="rId630" Type="http://schemas.openxmlformats.org/officeDocument/2006/relationships/hyperlink" Target="http://pokemondb.net/type/normal" TargetMode="External"/><Relationship Id="rId728" Type="http://schemas.openxmlformats.org/officeDocument/2006/relationships/hyperlink" Target="http://pokemondb.net/type/dark" TargetMode="External"/><Relationship Id="rId935" Type="http://schemas.openxmlformats.org/officeDocument/2006/relationships/hyperlink" Target="http://pokemondb.net/move/silver-wind" TargetMode="External"/><Relationship Id="rId64" Type="http://schemas.openxmlformats.org/officeDocument/2006/relationships/hyperlink" Target="http://pokemondb.net/type/normal" TargetMode="External"/><Relationship Id="rId367" Type="http://schemas.openxmlformats.org/officeDocument/2006/relationships/hyperlink" Target="http://pokemondb.net/move/fly" TargetMode="External"/><Relationship Id="rId574" Type="http://schemas.openxmlformats.org/officeDocument/2006/relationships/hyperlink" Target="http://pokemondb.net/type/grass" TargetMode="External"/><Relationship Id="rId1120" Type="http://schemas.openxmlformats.org/officeDocument/2006/relationships/hyperlink" Target="http://pokemondb.net/type/poison" TargetMode="External"/><Relationship Id="rId227" Type="http://schemas.openxmlformats.org/officeDocument/2006/relationships/hyperlink" Target="http://pokemondb.net/move/doom-desire" TargetMode="External"/><Relationship Id="rId781" Type="http://schemas.openxmlformats.org/officeDocument/2006/relationships/hyperlink" Target="http://pokemondb.net/move/psybeam" TargetMode="External"/><Relationship Id="rId879" Type="http://schemas.openxmlformats.org/officeDocument/2006/relationships/hyperlink" Target="http://pokemondb.net/move/sacred-fire" TargetMode="External"/><Relationship Id="rId434" Type="http://schemas.openxmlformats.org/officeDocument/2006/relationships/hyperlink" Target="http://pokemondb.net/type/normal" TargetMode="External"/><Relationship Id="rId641" Type="http://schemas.openxmlformats.org/officeDocument/2006/relationships/hyperlink" Target="http://pokemondb.net/move/metal-sound" TargetMode="External"/><Relationship Id="rId739" Type="http://schemas.openxmlformats.org/officeDocument/2006/relationships/hyperlink" Target="http://pokemondb.net/move/pin-missile" TargetMode="External"/><Relationship Id="rId1064" Type="http://schemas.openxmlformats.org/officeDocument/2006/relationships/hyperlink" Target="http://pokemondb.net/type/normal" TargetMode="External"/><Relationship Id="rId280" Type="http://schemas.openxmlformats.org/officeDocument/2006/relationships/hyperlink" Target="http://pokemondb.net/type/electric" TargetMode="External"/><Relationship Id="rId501" Type="http://schemas.openxmlformats.org/officeDocument/2006/relationships/hyperlink" Target="http://pokemondb.net/move/howl" TargetMode="External"/><Relationship Id="rId946" Type="http://schemas.openxmlformats.org/officeDocument/2006/relationships/hyperlink" Target="http://pokemondb.net/type/normal" TargetMode="External"/><Relationship Id="rId1131" Type="http://schemas.openxmlformats.org/officeDocument/2006/relationships/hyperlink" Target="http://pokemondb.net/move/triple-kick" TargetMode="External"/><Relationship Id="rId75" Type="http://schemas.openxmlformats.org/officeDocument/2006/relationships/hyperlink" Target="http://pokemondb.net/move/bestow" TargetMode="External"/><Relationship Id="rId140" Type="http://schemas.openxmlformats.org/officeDocument/2006/relationships/hyperlink" Target="http://pokemondb.net/type/fairy" TargetMode="External"/><Relationship Id="rId378" Type="http://schemas.openxmlformats.org/officeDocument/2006/relationships/hyperlink" Target="http://pokemondb.net/type/normal" TargetMode="External"/><Relationship Id="rId585" Type="http://schemas.openxmlformats.org/officeDocument/2006/relationships/hyperlink" Target="http://pokemondb.net/move/light-screen" TargetMode="External"/><Relationship Id="rId792" Type="http://schemas.openxmlformats.org/officeDocument/2006/relationships/hyperlink" Target="http://pokemondb.net/type/psychic" TargetMode="External"/><Relationship Id="rId806" Type="http://schemas.openxmlformats.org/officeDocument/2006/relationships/hyperlink" Target="http://pokemondb.net/type/normal" TargetMode="External"/><Relationship Id="rId6" Type="http://schemas.openxmlformats.org/officeDocument/2006/relationships/hyperlink" Target="http://pokemondb.net/type/poison" TargetMode="External"/><Relationship Id="rId238" Type="http://schemas.openxmlformats.org/officeDocument/2006/relationships/hyperlink" Target="http://pokemondb.net/type/normal" TargetMode="External"/><Relationship Id="rId445" Type="http://schemas.openxmlformats.org/officeDocument/2006/relationships/hyperlink" Target="http://pokemondb.net/move/gunk-shot" TargetMode="External"/><Relationship Id="rId652" Type="http://schemas.openxmlformats.org/officeDocument/2006/relationships/hyperlink" Target="http://pokemondb.net/type/normal" TargetMode="External"/><Relationship Id="rId1075" Type="http://schemas.openxmlformats.org/officeDocument/2006/relationships/hyperlink" Target="http://pokemondb.net/move/tail-glow" TargetMode="External"/><Relationship Id="rId291" Type="http://schemas.openxmlformats.org/officeDocument/2006/relationships/hyperlink" Target="http://pokemondb.net/move/encore" TargetMode="External"/><Relationship Id="rId305" Type="http://schemas.openxmlformats.org/officeDocument/2006/relationships/hyperlink" Target="http://pokemondb.net/move/extrasensory" TargetMode="External"/><Relationship Id="rId512" Type="http://schemas.openxmlformats.org/officeDocument/2006/relationships/hyperlink" Target="http://pokemondb.net/type/normal" TargetMode="External"/><Relationship Id="rId957" Type="http://schemas.openxmlformats.org/officeDocument/2006/relationships/hyperlink" Target="http://pokemondb.net/move/slash" TargetMode="External"/><Relationship Id="rId1142" Type="http://schemas.openxmlformats.org/officeDocument/2006/relationships/hyperlink" Target="http://pokemondb.net/type/normal" TargetMode="External"/><Relationship Id="rId86" Type="http://schemas.openxmlformats.org/officeDocument/2006/relationships/hyperlink" Target="http://pokemondb.net/type/fire" TargetMode="External"/><Relationship Id="rId151" Type="http://schemas.openxmlformats.org/officeDocument/2006/relationships/hyperlink" Target="http://pokemondb.net/move/close-combat" TargetMode="External"/><Relationship Id="rId389" Type="http://schemas.openxmlformats.org/officeDocument/2006/relationships/hyperlink" Target="http://pokemondb.net/move/freeze-dry" TargetMode="External"/><Relationship Id="rId596" Type="http://schemas.openxmlformats.org/officeDocument/2006/relationships/hyperlink" Target="http://pokemondb.net/type/normal" TargetMode="External"/><Relationship Id="rId817" Type="http://schemas.openxmlformats.org/officeDocument/2006/relationships/hyperlink" Target="http://pokemondb.net/move/rapid-spin" TargetMode="External"/><Relationship Id="rId1002" Type="http://schemas.openxmlformats.org/officeDocument/2006/relationships/hyperlink" Target="http://pokemondb.net/type/grass" TargetMode="External"/><Relationship Id="rId249" Type="http://schemas.openxmlformats.org/officeDocument/2006/relationships/hyperlink" Target="http://pokemondb.net/move/dragon-rush" TargetMode="External"/><Relationship Id="rId456" Type="http://schemas.openxmlformats.org/officeDocument/2006/relationships/hyperlink" Target="http://pokemondb.net/type/normal" TargetMode="External"/><Relationship Id="rId663" Type="http://schemas.openxmlformats.org/officeDocument/2006/relationships/hyperlink" Target="http://pokemondb.net/move/mist" TargetMode="External"/><Relationship Id="rId870" Type="http://schemas.openxmlformats.org/officeDocument/2006/relationships/hyperlink" Target="http://pokemondb.net/type/fighting" TargetMode="External"/><Relationship Id="rId1086" Type="http://schemas.openxmlformats.org/officeDocument/2006/relationships/hyperlink" Target="http://pokemondb.net/type/dark" TargetMode="External"/><Relationship Id="rId13" Type="http://schemas.openxmlformats.org/officeDocument/2006/relationships/hyperlink" Target="http://pokemondb.net/move/aerial-ace" TargetMode="External"/><Relationship Id="rId109" Type="http://schemas.openxmlformats.org/officeDocument/2006/relationships/hyperlink" Target="http://pokemondb.net/move/brick-break" TargetMode="External"/><Relationship Id="rId316" Type="http://schemas.openxmlformats.org/officeDocument/2006/relationships/hyperlink" Target="http://pokemondb.net/type/fairy" TargetMode="External"/><Relationship Id="rId523" Type="http://schemas.openxmlformats.org/officeDocument/2006/relationships/hyperlink" Target="http://pokemondb.net/move/ice-fang" TargetMode="External"/><Relationship Id="rId968" Type="http://schemas.openxmlformats.org/officeDocument/2006/relationships/hyperlink" Target="http://pokemondb.net/type/poison" TargetMode="External"/><Relationship Id="rId1153" Type="http://schemas.openxmlformats.org/officeDocument/2006/relationships/hyperlink" Target="http://pokemondb.net/move/vine-whip" TargetMode="External"/><Relationship Id="rId97" Type="http://schemas.openxmlformats.org/officeDocument/2006/relationships/hyperlink" Target="http://pokemondb.net/move/bone-club" TargetMode="External"/><Relationship Id="rId730" Type="http://schemas.openxmlformats.org/officeDocument/2006/relationships/hyperlink" Target="http://pokemondb.net/type/flying" TargetMode="External"/><Relationship Id="rId828" Type="http://schemas.openxmlformats.org/officeDocument/2006/relationships/hyperlink" Target="http://pokemondb.net/type/normal" TargetMode="External"/><Relationship Id="rId1013" Type="http://schemas.openxmlformats.org/officeDocument/2006/relationships/hyperlink" Target="http://pokemondb.net/move/steamroller" TargetMode="External"/><Relationship Id="rId162" Type="http://schemas.openxmlformats.org/officeDocument/2006/relationships/hyperlink" Target="http://pokemondb.net/type/psychic" TargetMode="External"/><Relationship Id="rId467" Type="http://schemas.openxmlformats.org/officeDocument/2006/relationships/hyperlink" Target="http://pokemondb.net/move/heal-block" TargetMode="External"/><Relationship Id="rId1097" Type="http://schemas.openxmlformats.org/officeDocument/2006/relationships/hyperlink" Target="http://pokemondb.net/move/thrash" TargetMode="External"/><Relationship Id="rId674" Type="http://schemas.openxmlformats.org/officeDocument/2006/relationships/hyperlink" Target="http://pokemondb.net/type/normal" TargetMode="External"/><Relationship Id="rId881" Type="http://schemas.openxmlformats.org/officeDocument/2006/relationships/hyperlink" Target="http://pokemondb.net/move/sacred-sword" TargetMode="External"/><Relationship Id="rId979" Type="http://schemas.openxmlformats.org/officeDocument/2006/relationships/hyperlink" Target="http://pokemondb.net/move/snatch" TargetMode="External"/><Relationship Id="rId24" Type="http://schemas.openxmlformats.org/officeDocument/2006/relationships/hyperlink" Target="http://pokemondb.net/type/flying" TargetMode="External"/><Relationship Id="rId327" Type="http://schemas.openxmlformats.org/officeDocument/2006/relationships/hyperlink" Target="http://pokemondb.net/move/fell-stinger" TargetMode="External"/><Relationship Id="rId534" Type="http://schemas.openxmlformats.org/officeDocument/2006/relationships/hyperlink" Target="http://pokemondb.net/type/ice" TargetMode="External"/><Relationship Id="rId741" Type="http://schemas.openxmlformats.org/officeDocument/2006/relationships/hyperlink" Target="http://pokemondb.net/move/play-nice" TargetMode="External"/><Relationship Id="rId839" Type="http://schemas.openxmlformats.org/officeDocument/2006/relationships/hyperlink" Target="http://pokemondb.net/move/retaliate" TargetMode="External"/><Relationship Id="rId1164" Type="http://schemas.openxmlformats.org/officeDocument/2006/relationships/hyperlink" Target="http://pokemondb.net/type/water" TargetMode="External"/><Relationship Id="rId173" Type="http://schemas.openxmlformats.org/officeDocument/2006/relationships/hyperlink" Target="http://pokemondb.net/move/cotton-guard" TargetMode="External"/><Relationship Id="rId380" Type="http://schemas.openxmlformats.org/officeDocument/2006/relationships/hyperlink" Target="http://pokemondb.net/type/fighting" TargetMode="External"/><Relationship Id="rId601" Type="http://schemas.openxmlformats.org/officeDocument/2006/relationships/hyperlink" Target="http://pokemondb.net/move/mach-punch" TargetMode="External"/><Relationship Id="rId1024" Type="http://schemas.openxmlformats.org/officeDocument/2006/relationships/hyperlink" Target="http://pokemondb.net/type/rock" TargetMode="External"/><Relationship Id="rId240" Type="http://schemas.openxmlformats.org/officeDocument/2006/relationships/hyperlink" Target="http://pokemondb.net/type/dragon" TargetMode="External"/><Relationship Id="rId478" Type="http://schemas.openxmlformats.org/officeDocument/2006/relationships/hyperlink" Target="http://pokemondb.net/type/psychic" TargetMode="External"/><Relationship Id="rId685" Type="http://schemas.openxmlformats.org/officeDocument/2006/relationships/hyperlink" Target="http://pokemondb.net/move/mystical-fire" TargetMode="External"/><Relationship Id="rId892" Type="http://schemas.openxmlformats.org/officeDocument/2006/relationships/hyperlink" Target="http://pokemondb.net/type/water" TargetMode="External"/><Relationship Id="rId906" Type="http://schemas.openxmlformats.org/officeDocument/2006/relationships/hyperlink" Target="http://pokemondb.net/type/grass" TargetMode="External"/><Relationship Id="rId35" Type="http://schemas.openxmlformats.org/officeDocument/2006/relationships/hyperlink" Target="http://pokemondb.net/move/aqua-tail" TargetMode="External"/><Relationship Id="rId100" Type="http://schemas.openxmlformats.org/officeDocument/2006/relationships/hyperlink" Target="http://pokemondb.net/type/ground" TargetMode="External"/><Relationship Id="rId338" Type="http://schemas.openxmlformats.org/officeDocument/2006/relationships/hyperlink" Target="http://pokemondb.net/type/fire" TargetMode="External"/><Relationship Id="rId545" Type="http://schemas.openxmlformats.org/officeDocument/2006/relationships/hyperlink" Target="http://pokemondb.net/move/ion-deluge" TargetMode="External"/><Relationship Id="rId752" Type="http://schemas.openxmlformats.org/officeDocument/2006/relationships/hyperlink" Target="http://pokemondb.net/type/poison" TargetMode="External"/><Relationship Id="rId1175" Type="http://schemas.openxmlformats.org/officeDocument/2006/relationships/hyperlink" Target="http://pokemondb.net/move/waterfall" TargetMode="External"/><Relationship Id="rId184" Type="http://schemas.openxmlformats.org/officeDocument/2006/relationships/hyperlink" Target="http://pokemondb.net/type/fairy" TargetMode="External"/><Relationship Id="rId391" Type="http://schemas.openxmlformats.org/officeDocument/2006/relationships/hyperlink" Target="http://pokemondb.net/move/frenzy-plant" TargetMode="External"/><Relationship Id="rId405" Type="http://schemas.openxmlformats.org/officeDocument/2006/relationships/hyperlink" Target="http://pokemondb.net/move/fusion-flare" TargetMode="External"/><Relationship Id="rId612" Type="http://schemas.openxmlformats.org/officeDocument/2006/relationships/hyperlink" Target="http://pokemondb.net/type/steel" TargetMode="External"/><Relationship Id="rId1035" Type="http://schemas.openxmlformats.org/officeDocument/2006/relationships/hyperlink" Target="http://pokemondb.net/move/struggle-bug" TargetMode="External"/><Relationship Id="rId251" Type="http://schemas.openxmlformats.org/officeDocument/2006/relationships/hyperlink" Target="http://pokemondb.net/move/dragon-tail" TargetMode="External"/><Relationship Id="rId489" Type="http://schemas.openxmlformats.org/officeDocument/2006/relationships/hyperlink" Target="http://pokemondb.net/move/hi-jump-kick" TargetMode="External"/><Relationship Id="rId696" Type="http://schemas.openxmlformats.org/officeDocument/2006/relationships/hyperlink" Target="http://pokemondb.net/type/dark" TargetMode="External"/><Relationship Id="rId917" Type="http://schemas.openxmlformats.org/officeDocument/2006/relationships/hyperlink" Target="http://pokemondb.net/move/shadow-force" TargetMode="External"/><Relationship Id="rId1102" Type="http://schemas.openxmlformats.org/officeDocument/2006/relationships/hyperlink" Target="http://pokemondb.net/type/electric" TargetMode="External"/><Relationship Id="rId46" Type="http://schemas.openxmlformats.org/officeDocument/2006/relationships/hyperlink" Target="http://pokemondb.net/type/dark" TargetMode="External"/><Relationship Id="rId349" Type="http://schemas.openxmlformats.org/officeDocument/2006/relationships/hyperlink" Target="http://pokemondb.net/move/flame-charge" TargetMode="External"/><Relationship Id="rId556" Type="http://schemas.openxmlformats.org/officeDocument/2006/relationships/hyperlink" Target="http://pokemondb.net/type/fighting" TargetMode="External"/><Relationship Id="rId763" Type="http://schemas.openxmlformats.org/officeDocument/2006/relationships/hyperlink" Target="http://pokemondb.net/move/powder-snow" TargetMode="External"/><Relationship Id="rId1186" Type="http://schemas.openxmlformats.org/officeDocument/2006/relationships/hyperlink" Target="http://pokemondb.net/type/electric" TargetMode="External"/><Relationship Id="rId111" Type="http://schemas.openxmlformats.org/officeDocument/2006/relationships/hyperlink" Target="http://pokemondb.net/move/brine" TargetMode="External"/><Relationship Id="rId195" Type="http://schemas.openxmlformats.org/officeDocument/2006/relationships/hyperlink" Target="http://pokemondb.net/move/curse" TargetMode="External"/><Relationship Id="rId209" Type="http://schemas.openxmlformats.org/officeDocument/2006/relationships/hyperlink" Target="http://pokemondb.net/move/defog" TargetMode="External"/><Relationship Id="rId416" Type="http://schemas.openxmlformats.org/officeDocument/2006/relationships/hyperlink" Target="http://pokemondb.net/type/grass" TargetMode="External"/><Relationship Id="rId970" Type="http://schemas.openxmlformats.org/officeDocument/2006/relationships/hyperlink" Target="http://pokemondb.net/type/rock" TargetMode="External"/><Relationship Id="rId1046" Type="http://schemas.openxmlformats.org/officeDocument/2006/relationships/hyperlink" Target="http://pokemondb.net/type/fire" TargetMode="External"/><Relationship Id="rId623" Type="http://schemas.openxmlformats.org/officeDocument/2006/relationships/hyperlink" Target="http://pokemondb.net/move/mean-look" TargetMode="External"/><Relationship Id="rId830" Type="http://schemas.openxmlformats.org/officeDocument/2006/relationships/hyperlink" Target="http://pokemondb.net/type/psychic" TargetMode="External"/><Relationship Id="rId928" Type="http://schemas.openxmlformats.org/officeDocument/2006/relationships/hyperlink" Target="http://pokemondb.net/type/normal" TargetMode="External"/><Relationship Id="rId57" Type="http://schemas.openxmlformats.org/officeDocument/2006/relationships/hyperlink" Target="http://pokemondb.net/move/autotomize" TargetMode="External"/><Relationship Id="rId262" Type="http://schemas.openxmlformats.org/officeDocument/2006/relationships/hyperlink" Target="http://pokemondb.net/type/flying" TargetMode="External"/><Relationship Id="rId567" Type="http://schemas.openxmlformats.org/officeDocument/2006/relationships/hyperlink" Target="http://pokemondb.net/move/last-resort" TargetMode="External"/><Relationship Id="rId1113" Type="http://schemas.openxmlformats.org/officeDocument/2006/relationships/hyperlink" Target="http://pokemondb.net/move/topsy-turvy" TargetMode="External"/><Relationship Id="rId1197" Type="http://schemas.openxmlformats.org/officeDocument/2006/relationships/hyperlink" Target="http://pokemondb.net/move/wood-hammer" TargetMode="External"/><Relationship Id="rId122" Type="http://schemas.openxmlformats.org/officeDocument/2006/relationships/hyperlink" Target="http://pokemondb.net/type/fighting" TargetMode="External"/><Relationship Id="rId774" Type="http://schemas.openxmlformats.org/officeDocument/2006/relationships/hyperlink" Target="http://pokemondb.net/type/grass" TargetMode="External"/><Relationship Id="rId981" Type="http://schemas.openxmlformats.org/officeDocument/2006/relationships/hyperlink" Target="http://pokemondb.net/move/snore" TargetMode="External"/><Relationship Id="rId1057" Type="http://schemas.openxmlformats.org/officeDocument/2006/relationships/hyperlink" Target="http://pokemondb.net/move/swallow" TargetMode="External"/><Relationship Id="rId427" Type="http://schemas.openxmlformats.org/officeDocument/2006/relationships/hyperlink" Target="http://pokemondb.net/move/grasswhistle" TargetMode="External"/><Relationship Id="rId634" Type="http://schemas.openxmlformats.org/officeDocument/2006/relationships/hyperlink" Target="http://pokemondb.net/type/bug" TargetMode="External"/><Relationship Id="rId841" Type="http://schemas.openxmlformats.org/officeDocument/2006/relationships/hyperlink" Target="http://pokemondb.net/move/return" TargetMode="External"/><Relationship Id="rId273" Type="http://schemas.openxmlformats.org/officeDocument/2006/relationships/hyperlink" Target="http://pokemondb.net/move/echoed-voice" TargetMode="External"/><Relationship Id="rId480" Type="http://schemas.openxmlformats.org/officeDocument/2006/relationships/hyperlink" Target="http://pokemondb.net/type/fire" TargetMode="External"/><Relationship Id="rId701" Type="http://schemas.openxmlformats.org/officeDocument/2006/relationships/hyperlink" Target="http://pokemondb.net/move/nightmare" TargetMode="External"/><Relationship Id="rId939" Type="http://schemas.openxmlformats.org/officeDocument/2006/relationships/hyperlink" Target="http://pokemondb.net/move/sing" TargetMode="External"/><Relationship Id="rId1124" Type="http://schemas.openxmlformats.org/officeDocument/2006/relationships/hyperlink" Target="http://pokemondb.net/type/normal" TargetMode="External"/><Relationship Id="rId68" Type="http://schemas.openxmlformats.org/officeDocument/2006/relationships/hyperlink" Target="http://pokemondb.net/type/normal" TargetMode="External"/><Relationship Id="rId133" Type="http://schemas.openxmlformats.org/officeDocument/2006/relationships/hyperlink" Target="http://pokemondb.net/move/captivate" TargetMode="External"/><Relationship Id="rId340" Type="http://schemas.openxmlformats.org/officeDocument/2006/relationships/hyperlink" Target="http://pokemondb.net/type/fire" TargetMode="External"/><Relationship Id="rId578" Type="http://schemas.openxmlformats.org/officeDocument/2006/relationships/hyperlink" Target="http://pokemondb.net/type/bug" TargetMode="External"/><Relationship Id="rId785" Type="http://schemas.openxmlformats.org/officeDocument/2006/relationships/hyperlink" Target="http://pokemondb.net/move/psychic" TargetMode="External"/><Relationship Id="rId992" Type="http://schemas.openxmlformats.org/officeDocument/2006/relationships/hyperlink" Target="http://pokemondb.net/type/dragon" TargetMode="External"/><Relationship Id="rId200" Type="http://schemas.openxmlformats.org/officeDocument/2006/relationships/hyperlink" Target="http://pokemondb.net/type/dark" TargetMode="External"/><Relationship Id="rId438" Type="http://schemas.openxmlformats.org/officeDocument/2006/relationships/hyperlink" Target="http://pokemondb.net/type/ghost" TargetMode="External"/><Relationship Id="rId645" Type="http://schemas.openxmlformats.org/officeDocument/2006/relationships/hyperlink" Target="http://pokemondb.net/move/metronome" TargetMode="External"/><Relationship Id="rId852" Type="http://schemas.openxmlformats.org/officeDocument/2006/relationships/hyperlink" Target="http://pokemondb.net/type/rock" TargetMode="External"/><Relationship Id="rId1068" Type="http://schemas.openxmlformats.org/officeDocument/2006/relationships/hyperlink" Target="http://pokemondb.net/type/normal" TargetMode="External"/><Relationship Id="rId284" Type="http://schemas.openxmlformats.org/officeDocument/2006/relationships/hyperlink" Target="http://pokemondb.net/type/electric" TargetMode="External"/><Relationship Id="rId491" Type="http://schemas.openxmlformats.org/officeDocument/2006/relationships/hyperlink" Target="http://pokemondb.net/move/hidden-power" TargetMode="External"/><Relationship Id="rId505" Type="http://schemas.openxmlformats.org/officeDocument/2006/relationships/hyperlink" Target="http://pokemondb.net/move/hydro-cannon" TargetMode="External"/><Relationship Id="rId712" Type="http://schemas.openxmlformats.org/officeDocument/2006/relationships/hyperlink" Target="http://pokemondb.net/type/normal" TargetMode="External"/><Relationship Id="rId1135" Type="http://schemas.openxmlformats.org/officeDocument/2006/relationships/hyperlink" Target="http://pokemondb.net/move/twineedle" TargetMode="External"/><Relationship Id="rId79" Type="http://schemas.openxmlformats.org/officeDocument/2006/relationships/hyperlink" Target="http://pokemondb.net/move/bind" TargetMode="External"/><Relationship Id="rId144" Type="http://schemas.openxmlformats.org/officeDocument/2006/relationships/hyperlink" Target="http://pokemondb.net/type/normal" TargetMode="External"/><Relationship Id="rId589" Type="http://schemas.openxmlformats.org/officeDocument/2006/relationships/hyperlink" Target="http://pokemondb.net/move/lovely-kiss" TargetMode="External"/><Relationship Id="rId796" Type="http://schemas.openxmlformats.org/officeDocument/2006/relationships/hyperlink" Target="http://pokemondb.net/type/psychic" TargetMode="External"/><Relationship Id="rId1202" Type="http://schemas.openxmlformats.org/officeDocument/2006/relationships/hyperlink" Target="http://pokemondb.net/type/grass" TargetMode="External"/><Relationship Id="rId351" Type="http://schemas.openxmlformats.org/officeDocument/2006/relationships/hyperlink" Target="http://pokemondb.net/move/flame-wheel" TargetMode="External"/><Relationship Id="rId449" Type="http://schemas.openxmlformats.org/officeDocument/2006/relationships/hyperlink" Target="http://pokemondb.net/move/gyro-ball" TargetMode="External"/><Relationship Id="rId656" Type="http://schemas.openxmlformats.org/officeDocument/2006/relationships/hyperlink" Target="http://pokemondb.net/type/psychic" TargetMode="External"/><Relationship Id="rId863" Type="http://schemas.openxmlformats.org/officeDocument/2006/relationships/hyperlink" Target="http://pokemondb.net/move/rock-tomb" TargetMode="External"/><Relationship Id="rId1079" Type="http://schemas.openxmlformats.org/officeDocument/2006/relationships/hyperlink" Target="http://pokemondb.net/move/tail-whip" TargetMode="External"/><Relationship Id="rId211" Type="http://schemas.openxmlformats.org/officeDocument/2006/relationships/hyperlink" Target="http://pokemondb.net/move/destiny-bond" TargetMode="External"/><Relationship Id="rId295" Type="http://schemas.openxmlformats.org/officeDocument/2006/relationships/hyperlink" Target="http://pokemondb.net/move/endure" TargetMode="External"/><Relationship Id="rId309" Type="http://schemas.openxmlformats.org/officeDocument/2006/relationships/hyperlink" Target="http://pokemondb.net/move/facade" TargetMode="External"/><Relationship Id="rId516" Type="http://schemas.openxmlformats.org/officeDocument/2006/relationships/hyperlink" Target="http://pokemondb.net/type/psychic" TargetMode="External"/><Relationship Id="rId1146" Type="http://schemas.openxmlformats.org/officeDocument/2006/relationships/hyperlink" Target="http://pokemondb.net/type/fighting" TargetMode="External"/><Relationship Id="rId723" Type="http://schemas.openxmlformats.org/officeDocument/2006/relationships/hyperlink" Target="http://pokemondb.net/move/parting-shot" TargetMode="External"/><Relationship Id="rId930" Type="http://schemas.openxmlformats.org/officeDocument/2006/relationships/hyperlink" Target="http://pokemondb.net/type/steel" TargetMode="External"/><Relationship Id="rId1006" Type="http://schemas.openxmlformats.org/officeDocument/2006/relationships/hyperlink" Target="http://pokemondb.net/type/ghost" TargetMode="External"/><Relationship Id="rId155" Type="http://schemas.openxmlformats.org/officeDocument/2006/relationships/hyperlink" Target="http://pokemondb.net/move/comet-punch" TargetMode="External"/><Relationship Id="rId362" Type="http://schemas.openxmlformats.org/officeDocument/2006/relationships/hyperlink" Target="http://pokemondb.net/type/dark" TargetMode="External"/><Relationship Id="rId1213" Type="http://schemas.openxmlformats.org/officeDocument/2006/relationships/hyperlink" Target="http://pokemondb.net/move/zen-headbutt" TargetMode="External"/><Relationship Id="rId222" Type="http://schemas.openxmlformats.org/officeDocument/2006/relationships/hyperlink" Target="http://pokemondb.net/type/electric" TargetMode="External"/><Relationship Id="rId667" Type="http://schemas.openxmlformats.org/officeDocument/2006/relationships/hyperlink" Target="http://pokemondb.net/move/misty-terrain" TargetMode="External"/><Relationship Id="rId874" Type="http://schemas.openxmlformats.org/officeDocument/2006/relationships/hyperlink" Target="http://pokemondb.net/type/flying" TargetMode="External"/><Relationship Id="rId17" Type="http://schemas.openxmlformats.org/officeDocument/2006/relationships/hyperlink" Target="http://pokemondb.net/move/after-you" TargetMode="External"/><Relationship Id="rId527" Type="http://schemas.openxmlformats.org/officeDocument/2006/relationships/hyperlink" Target="http://pokemondb.net/move/ice-shard" TargetMode="External"/><Relationship Id="rId734" Type="http://schemas.openxmlformats.org/officeDocument/2006/relationships/hyperlink" Target="http://pokemondb.net/type/grass" TargetMode="External"/><Relationship Id="rId941" Type="http://schemas.openxmlformats.org/officeDocument/2006/relationships/hyperlink" Target="http://pokemondb.net/move/sketch" TargetMode="External"/><Relationship Id="rId1157" Type="http://schemas.openxmlformats.org/officeDocument/2006/relationships/hyperlink" Target="http://pokemondb.net/move/volt-switch" TargetMode="External"/><Relationship Id="rId70" Type="http://schemas.openxmlformats.org/officeDocument/2006/relationships/hyperlink" Target="http://pokemondb.net/type/dark" TargetMode="External"/><Relationship Id="rId166" Type="http://schemas.openxmlformats.org/officeDocument/2006/relationships/hyperlink" Target="http://pokemondb.net/type/normal" TargetMode="External"/><Relationship Id="rId373" Type="http://schemas.openxmlformats.org/officeDocument/2006/relationships/hyperlink" Target="http://pokemondb.net/move/focus-energy" TargetMode="External"/><Relationship Id="rId580" Type="http://schemas.openxmlformats.org/officeDocument/2006/relationships/hyperlink" Target="http://pokemondb.net/type/grass" TargetMode="External"/><Relationship Id="rId801" Type="http://schemas.openxmlformats.org/officeDocument/2006/relationships/hyperlink" Target="http://pokemondb.net/move/pursuit" TargetMode="External"/><Relationship Id="rId1017" Type="http://schemas.openxmlformats.org/officeDocument/2006/relationships/hyperlink" Target="http://pokemondb.net/move/sticky-web" TargetMode="External"/><Relationship Id="rId1" Type="http://schemas.openxmlformats.org/officeDocument/2006/relationships/hyperlink" Target="http://pokemondb.net/move/absorb" TargetMode="External"/><Relationship Id="rId233" Type="http://schemas.openxmlformats.org/officeDocument/2006/relationships/hyperlink" Target="http://pokemondb.net/move/double-team" TargetMode="External"/><Relationship Id="rId440" Type="http://schemas.openxmlformats.org/officeDocument/2006/relationships/hyperlink" Target="http://pokemondb.net/type/psychic" TargetMode="External"/><Relationship Id="rId678" Type="http://schemas.openxmlformats.org/officeDocument/2006/relationships/hyperlink" Target="http://pokemondb.net/type/ground" TargetMode="External"/><Relationship Id="rId885" Type="http://schemas.openxmlformats.org/officeDocument/2006/relationships/hyperlink" Target="http://pokemondb.net/move/sand-tomb" TargetMode="External"/><Relationship Id="rId1070" Type="http://schemas.openxmlformats.org/officeDocument/2006/relationships/hyperlink" Target="http://pokemondb.net/type/psychic" TargetMode="External"/><Relationship Id="rId28" Type="http://schemas.openxmlformats.org/officeDocument/2006/relationships/hyperlink" Target="http://pokemondb.net/type/psychic" TargetMode="External"/><Relationship Id="rId300" Type="http://schemas.openxmlformats.org/officeDocument/2006/relationships/hyperlink" Target="http://pokemondb.net/type/normal" TargetMode="External"/><Relationship Id="rId538" Type="http://schemas.openxmlformats.org/officeDocument/2006/relationships/hyperlink" Target="http://pokemondb.net/type/fire" TargetMode="External"/><Relationship Id="rId745" Type="http://schemas.openxmlformats.org/officeDocument/2006/relationships/hyperlink" Target="http://pokemondb.net/move/pluck" TargetMode="External"/><Relationship Id="rId952" Type="http://schemas.openxmlformats.org/officeDocument/2006/relationships/hyperlink" Target="http://pokemondb.net/type/fighting" TargetMode="External"/><Relationship Id="rId1168" Type="http://schemas.openxmlformats.org/officeDocument/2006/relationships/hyperlink" Target="http://pokemondb.net/type/water" TargetMode="External"/><Relationship Id="rId81" Type="http://schemas.openxmlformats.org/officeDocument/2006/relationships/hyperlink" Target="http://pokemondb.net/move/bite" TargetMode="External"/><Relationship Id="rId177" Type="http://schemas.openxmlformats.org/officeDocument/2006/relationships/hyperlink" Target="http://pokemondb.net/move/counter" TargetMode="External"/><Relationship Id="rId384" Type="http://schemas.openxmlformats.org/officeDocument/2006/relationships/hyperlink" Target="http://pokemondb.net/type/grass" TargetMode="External"/><Relationship Id="rId591" Type="http://schemas.openxmlformats.org/officeDocument/2006/relationships/hyperlink" Target="http://pokemondb.net/move/low-kick" TargetMode="External"/><Relationship Id="rId605" Type="http://schemas.openxmlformats.org/officeDocument/2006/relationships/hyperlink" Target="http://pokemondb.net/move/magic-room" TargetMode="External"/><Relationship Id="rId812" Type="http://schemas.openxmlformats.org/officeDocument/2006/relationships/hyperlink" Target="http://pokemondb.net/type/normal" TargetMode="External"/><Relationship Id="rId1028" Type="http://schemas.openxmlformats.org/officeDocument/2006/relationships/hyperlink" Target="http://pokemondb.net/type/fighting" TargetMode="External"/><Relationship Id="rId244" Type="http://schemas.openxmlformats.org/officeDocument/2006/relationships/hyperlink" Target="http://pokemondb.net/type/dragon" TargetMode="External"/><Relationship Id="rId689" Type="http://schemas.openxmlformats.org/officeDocument/2006/relationships/hyperlink" Target="http://pokemondb.net/move/natural-gift" TargetMode="External"/><Relationship Id="rId896" Type="http://schemas.openxmlformats.org/officeDocument/2006/relationships/hyperlink" Target="http://pokemondb.net/type/normal" TargetMode="External"/><Relationship Id="rId1081" Type="http://schemas.openxmlformats.org/officeDocument/2006/relationships/hyperlink" Target="http://pokemondb.net/move/tailwind" TargetMode="External"/><Relationship Id="rId39" Type="http://schemas.openxmlformats.org/officeDocument/2006/relationships/hyperlink" Target="http://pokemondb.net/move/aromatherapy" TargetMode="External"/><Relationship Id="rId451" Type="http://schemas.openxmlformats.org/officeDocument/2006/relationships/hyperlink" Target="http://pokemondb.net/move/hail" TargetMode="External"/><Relationship Id="rId549" Type="http://schemas.openxmlformats.org/officeDocument/2006/relationships/hyperlink" Target="http://pokemondb.net/move/iron-head" TargetMode="External"/><Relationship Id="rId756" Type="http://schemas.openxmlformats.org/officeDocument/2006/relationships/hyperlink" Target="http://pokemondb.net/type/poison" TargetMode="External"/><Relationship Id="rId1179" Type="http://schemas.openxmlformats.org/officeDocument/2006/relationships/hyperlink" Target="http://pokemondb.net/move/whirlpool" TargetMode="External"/><Relationship Id="rId104" Type="http://schemas.openxmlformats.org/officeDocument/2006/relationships/hyperlink" Target="http://pokemondb.net/type/normal" TargetMode="External"/><Relationship Id="rId188" Type="http://schemas.openxmlformats.org/officeDocument/2006/relationships/hyperlink" Target="http://pokemondb.net/type/poison" TargetMode="External"/><Relationship Id="rId311" Type="http://schemas.openxmlformats.org/officeDocument/2006/relationships/hyperlink" Target="http://pokemondb.net/move/faint-attack" TargetMode="External"/><Relationship Id="rId395" Type="http://schemas.openxmlformats.org/officeDocument/2006/relationships/hyperlink" Target="http://pokemondb.net/move/frustration" TargetMode="External"/><Relationship Id="rId409" Type="http://schemas.openxmlformats.org/officeDocument/2006/relationships/hyperlink" Target="http://pokemondb.net/move/gastro-acid" TargetMode="External"/><Relationship Id="rId963" Type="http://schemas.openxmlformats.org/officeDocument/2006/relationships/hyperlink" Target="http://pokemondb.net/move/sludge" TargetMode="External"/><Relationship Id="rId1039" Type="http://schemas.openxmlformats.org/officeDocument/2006/relationships/hyperlink" Target="http://pokemondb.net/move/submission" TargetMode="External"/><Relationship Id="rId92" Type="http://schemas.openxmlformats.org/officeDocument/2006/relationships/hyperlink" Target="http://pokemondb.net/type/fire" TargetMode="External"/><Relationship Id="rId616" Type="http://schemas.openxmlformats.org/officeDocument/2006/relationships/hyperlink" Target="http://pokemondb.net/type/electric" TargetMode="External"/><Relationship Id="rId823" Type="http://schemas.openxmlformats.org/officeDocument/2006/relationships/hyperlink" Target="http://pokemondb.net/move/razor-wind" TargetMode="External"/><Relationship Id="rId255" Type="http://schemas.openxmlformats.org/officeDocument/2006/relationships/hyperlink" Target="http://pokemondb.net/move/drain-punch" TargetMode="External"/><Relationship Id="rId462" Type="http://schemas.openxmlformats.org/officeDocument/2006/relationships/hyperlink" Target="http://pokemondb.net/type/rock" TargetMode="External"/><Relationship Id="rId1092" Type="http://schemas.openxmlformats.org/officeDocument/2006/relationships/hyperlink" Target="http://pokemondb.net/type/psychic" TargetMode="External"/><Relationship Id="rId1106" Type="http://schemas.openxmlformats.org/officeDocument/2006/relationships/hyperlink" Target="http://pokemondb.net/type/electric" TargetMode="External"/><Relationship Id="rId115" Type="http://schemas.openxmlformats.org/officeDocument/2006/relationships/hyperlink" Target="http://pokemondb.net/move/bubblebeam" TargetMode="External"/><Relationship Id="rId322" Type="http://schemas.openxmlformats.org/officeDocument/2006/relationships/hyperlink" Target="http://pokemondb.net/type/normal" TargetMode="External"/><Relationship Id="rId767" Type="http://schemas.openxmlformats.org/officeDocument/2006/relationships/hyperlink" Target="http://pokemondb.net/move/power-split" TargetMode="External"/><Relationship Id="rId974" Type="http://schemas.openxmlformats.org/officeDocument/2006/relationships/hyperlink" Target="http://pokemondb.net/type/poison" TargetMode="External"/><Relationship Id="rId199" Type="http://schemas.openxmlformats.org/officeDocument/2006/relationships/hyperlink" Target="http://pokemondb.net/move/dark-pulse" TargetMode="External"/><Relationship Id="rId627" Type="http://schemas.openxmlformats.org/officeDocument/2006/relationships/hyperlink" Target="http://pokemondb.net/move/mega-drain" TargetMode="External"/><Relationship Id="rId834" Type="http://schemas.openxmlformats.org/officeDocument/2006/relationships/hyperlink" Target="http://pokemondb.net/type/normal" TargetMode="External"/><Relationship Id="rId266" Type="http://schemas.openxmlformats.org/officeDocument/2006/relationships/hyperlink" Target="http://pokemondb.net/type/dragon" TargetMode="External"/><Relationship Id="rId473" Type="http://schemas.openxmlformats.org/officeDocument/2006/relationships/hyperlink" Target="http://pokemondb.net/move/healing-wish" TargetMode="External"/><Relationship Id="rId680" Type="http://schemas.openxmlformats.org/officeDocument/2006/relationships/hyperlink" Target="http://pokemondb.net/type/ground" TargetMode="External"/><Relationship Id="rId901" Type="http://schemas.openxmlformats.org/officeDocument/2006/relationships/hyperlink" Target="http://pokemondb.net/move/secret-power" TargetMode="External"/><Relationship Id="rId1117" Type="http://schemas.openxmlformats.org/officeDocument/2006/relationships/hyperlink" Target="http://pokemondb.net/move/toxic" TargetMode="External"/><Relationship Id="rId30" Type="http://schemas.openxmlformats.org/officeDocument/2006/relationships/hyperlink" Target="http://pokemondb.net/type/rock" TargetMode="External"/><Relationship Id="rId126" Type="http://schemas.openxmlformats.org/officeDocument/2006/relationships/hyperlink" Target="http://pokemondb.net/type/steel" TargetMode="External"/><Relationship Id="rId333" Type="http://schemas.openxmlformats.org/officeDocument/2006/relationships/hyperlink" Target="http://pokemondb.net/move/fire-blast" TargetMode="External"/><Relationship Id="rId540" Type="http://schemas.openxmlformats.org/officeDocument/2006/relationships/hyperlink" Target="http://pokemondb.net/type/fire" TargetMode="External"/><Relationship Id="rId778" Type="http://schemas.openxmlformats.org/officeDocument/2006/relationships/hyperlink" Target="http://pokemondb.net/type/normal" TargetMode="External"/><Relationship Id="rId985" Type="http://schemas.openxmlformats.org/officeDocument/2006/relationships/hyperlink" Target="http://pokemondb.net/move/softboiled" TargetMode="External"/><Relationship Id="rId1170" Type="http://schemas.openxmlformats.org/officeDocument/2006/relationships/hyperlink" Target="http://pokemondb.net/type/water" TargetMode="External"/><Relationship Id="rId638" Type="http://schemas.openxmlformats.org/officeDocument/2006/relationships/hyperlink" Target="http://pokemondb.net/type/steel" TargetMode="External"/><Relationship Id="rId845" Type="http://schemas.openxmlformats.org/officeDocument/2006/relationships/hyperlink" Target="http://pokemondb.net/move/reversal" TargetMode="External"/><Relationship Id="rId1030" Type="http://schemas.openxmlformats.org/officeDocument/2006/relationships/hyperlink" Target="http://pokemondb.net/type/normal" TargetMode="External"/><Relationship Id="rId277" Type="http://schemas.openxmlformats.org/officeDocument/2006/relationships/hyperlink" Target="http://pokemondb.net/move/egg-bomb" TargetMode="External"/><Relationship Id="rId400" Type="http://schemas.openxmlformats.org/officeDocument/2006/relationships/hyperlink" Target="http://pokemondb.net/type/bug" TargetMode="External"/><Relationship Id="rId484" Type="http://schemas.openxmlformats.org/officeDocument/2006/relationships/hyperlink" Target="http://pokemondb.net/type/steel" TargetMode="External"/><Relationship Id="rId705" Type="http://schemas.openxmlformats.org/officeDocument/2006/relationships/hyperlink" Target="http://pokemondb.net/move/nuzzle" TargetMode="External"/><Relationship Id="rId1128" Type="http://schemas.openxmlformats.org/officeDocument/2006/relationships/hyperlink" Target="http://pokemondb.net/type/psychic" TargetMode="External"/><Relationship Id="rId137" Type="http://schemas.openxmlformats.org/officeDocument/2006/relationships/hyperlink" Target="http://pokemondb.net/move/charge-beam" TargetMode="External"/><Relationship Id="rId344" Type="http://schemas.openxmlformats.org/officeDocument/2006/relationships/hyperlink" Target="http://pokemondb.net/type/ground" TargetMode="External"/><Relationship Id="rId691" Type="http://schemas.openxmlformats.org/officeDocument/2006/relationships/hyperlink" Target="http://pokemondb.net/move/nature-power" TargetMode="External"/><Relationship Id="rId789" Type="http://schemas.openxmlformats.org/officeDocument/2006/relationships/hyperlink" Target="http://pokemondb.net/move/psycho-cut" TargetMode="External"/><Relationship Id="rId912" Type="http://schemas.openxmlformats.org/officeDocument/2006/relationships/hyperlink" Target="http://pokemondb.net/type/normal" TargetMode="External"/><Relationship Id="rId996" Type="http://schemas.openxmlformats.org/officeDocument/2006/relationships/hyperlink" Target="http://pokemondb.net/type/bug" TargetMode="External"/><Relationship Id="rId41" Type="http://schemas.openxmlformats.org/officeDocument/2006/relationships/hyperlink" Target="http://pokemondb.net/move/aromatic-mist" TargetMode="External"/><Relationship Id="rId551" Type="http://schemas.openxmlformats.org/officeDocument/2006/relationships/hyperlink" Target="http://pokemondb.net/move/iron-tail" TargetMode="External"/><Relationship Id="rId649" Type="http://schemas.openxmlformats.org/officeDocument/2006/relationships/hyperlink" Target="http://pokemondb.net/move/mimic" TargetMode="External"/><Relationship Id="rId856" Type="http://schemas.openxmlformats.org/officeDocument/2006/relationships/hyperlink" Target="http://pokemondb.net/type/rock" TargetMode="External"/><Relationship Id="rId1181" Type="http://schemas.openxmlformats.org/officeDocument/2006/relationships/hyperlink" Target="http://pokemondb.net/move/whirlwind" TargetMode="External"/><Relationship Id="rId190" Type="http://schemas.openxmlformats.org/officeDocument/2006/relationships/hyperlink" Target="http://pokemondb.net/type/dark" TargetMode="External"/><Relationship Id="rId204" Type="http://schemas.openxmlformats.org/officeDocument/2006/relationships/hyperlink" Target="http://pokemondb.net/type/fairy" TargetMode="External"/><Relationship Id="rId288" Type="http://schemas.openxmlformats.org/officeDocument/2006/relationships/hyperlink" Target="http://pokemondb.net/type/dark" TargetMode="External"/><Relationship Id="rId411" Type="http://schemas.openxmlformats.org/officeDocument/2006/relationships/hyperlink" Target="http://pokemondb.net/move/gear-grind" TargetMode="External"/><Relationship Id="rId509" Type="http://schemas.openxmlformats.org/officeDocument/2006/relationships/hyperlink" Target="http://pokemondb.net/move/hyper-beam" TargetMode="External"/><Relationship Id="rId1041" Type="http://schemas.openxmlformats.org/officeDocument/2006/relationships/hyperlink" Target="http://pokemondb.net/move/substitute" TargetMode="External"/><Relationship Id="rId1139" Type="http://schemas.openxmlformats.org/officeDocument/2006/relationships/hyperlink" Target="http://pokemondb.net/move/u-turn" TargetMode="External"/><Relationship Id="rId495" Type="http://schemas.openxmlformats.org/officeDocument/2006/relationships/hyperlink" Target="http://pokemondb.net/move/horn-attack" TargetMode="External"/><Relationship Id="rId716" Type="http://schemas.openxmlformats.org/officeDocument/2006/relationships/hyperlink" Target="http://pokemondb.net/type/dragon" TargetMode="External"/><Relationship Id="rId923" Type="http://schemas.openxmlformats.org/officeDocument/2006/relationships/hyperlink" Target="http://pokemondb.net/move/sharpen" TargetMode="External"/><Relationship Id="rId52" Type="http://schemas.openxmlformats.org/officeDocument/2006/relationships/hyperlink" Target="http://pokemondb.net/type/normal" TargetMode="External"/><Relationship Id="rId148" Type="http://schemas.openxmlformats.org/officeDocument/2006/relationships/hyperlink" Target="http://pokemondb.net/type/water" TargetMode="External"/><Relationship Id="rId355" Type="http://schemas.openxmlformats.org/officeDocument/2006/relationships/hyperlink" Target="http://pokemondb.net/move/flare-blitz" TargetMode="External"/><Relationship Id="rId562" Type="http://schemas.openxmlformats.org/officeDocument/2006/relationships/hyperlink" Target="http://pokemondb.net/type/steel" TargetMode="External"/><Relationship Id="rId1192" Type="http://schemas.openxmlformats.org/officeDocument/2006/relationships/hyperlink" Target="http://pokemondb.net/type/normal" TargetMode="External"/><Relationship Id="rId1206" Type="http://schemas.openxmlformats.org/officeDocument/2006/relationships/hyperlink" Target="http://pokemondb.net/type/normal" TargetMode="External"/><Relationship Id="rId215" Type="http://schemas.openxmlformats.org/officeDocument/2006/relationships/hyperlink" Target="http://pokemondb.net/move/dig" TargetMode="External"/><Relationship Id="rId422" Type="http://schemas.openxmlformats.org/officeDocument/2006/relationships/hyperlink" Target="http://pokemondb.net/type/normal" TargetMode="External"/><Relationship Id="rId867" Type="http://schemas.openxmlformats.org/officeDocument/2006/relationships/hyperlink" Target="http://pokemondb.net/move/role-play" TargetMode="External"/><Relationship Id="rId1052" Type="http://schemas.openxmlformats.org/officeDocument/2006/relationships/hyperlink" Target="http://pokemondb.net/type/normal" TargetMode="External"/><Relationship Id="rId299" Type="http://schemas.openxmlformats.org/officeDocument/2006/relationships/hyperlink" Target="http://pokemondb.net/move/entrainment" TargetMode="External"/><Relationship Id="rId727" Type="http://schemas.openxmlformats.org/officeDocument/2006/relationships/hyperlink" Target="http://pokemondb.net/move/payback" TargetMode="External"/><Relationship Id="rId934" Type="http://schemas.openxmlformats.org/officeDocument/2006/relationships/hyperlink" Target="http://pokemondb.net/type/bug" TargetMode="External"/><Relationship Id="rId63" Type="http://schemas.openxmlformats.org/officeDocument/2006/relationships/hyperlink" Target="http://pokemondb.net/move/barrage" TargetMode="External"/><Relationship Id="rId159" Type="http://schemas.openxmlformats.org/officeDocument/2006/relationships/hyperlink" Target="http://pokemondb.net/move/confuse-ray" TargetMode="External"/><Relationship Id="rId366" Type="http://schemas.openxmlformats.org/officeDocument/2006/relationships/hyperlink" Target="http://pokemondb.net/type/fairy" TargetMode="External"/><Relationship Id="rId573" Type="http://schemas.openxmlformats.org/officeDocument/2006/relationships/hyperlink" Target="http://pokemondb.net/move/leaf-storm" TargetMode="External"/><Relationship Id="rId780" Type="http://schemas.openxmlformats.org/officeDocument/2006/relationships/hyperlink" Target="http://pokemondb.net/type/normal" TargetMode="External"/><Relationship Id="rId226" Type="http://schemas.openxmlformats.org/officeDocument/2006/relationships/hyperlink" Target="http://pokemondb.net/type/normal" TargetMode="External"/><Relationship Id="rId433" Type="http://schemas.openxmlformats.org/officeDocument/2006/relationships/hyperlink" Target="http://pokemondb.net/move/growl" TargetMode="External"/><Relationship Id="rId878" Type="http://schemas.openxmlformats.org/officeDocument/2006/relationships/hyperlink" Target="http://pokemondb.net/type/normal" TargetMode="External"/><Relationship Id="rId1063" Type="http://schemas.openxmlformats.org/officeDocument/2006/relationships/hyperlink" Target="http://pokemondb.net/move/swift" TargetMode="External"/><Relationship Id="rId640" Type="http://schemas.openxmlformats.org/officeDocument/2006/relationships/hyperlink" Target="http://pokemondb.net/type/steel" TargetMode="External"/><Relationship Id="rId738" Type="http://schemas.openxmlformats.org/officeDocument/2006/relationships/hyperlink" Target="http://pokemondb.net/type/ghost" TargetMode="External"/><Relationship Id="rId945" Type="http://schemas.openxmlformats.org/officeDocument/2006/relationships/hyperlink" Target="http://pokemondb.net/move/skull-bash" TargetMode="External"/><Relationship Id="rId74" Type="http://schemas.openxmlformats.org/officeDocument/2006/relationships/hyperlink" Target="http://pokemondb.net/type/normal" TargetMode="External"/><Relationship Id="rId377" Type="http://schemas.openxmlformats.org/officeDocument/2006/relationships/hyperlink" Target="http://pokemondb.net/move/follow-me" TargetMode="External"/><Relationship Id="rId500" Type="http://schemas.openxmlformats.org/officeDocument/2006/relationships/hyperlink" Target="http://pokemondb.net/type/grass" TargetMode="External"/><Relationship Id="rId584" Type="http://schemas.openxmlformats.org/officeDocument/2006/relationships/hyperlink" Target="http://pokemondb.net/type/ghost" TargetMode="External"/><Relationship Id="rId805" Type="http://schemas.openxmlformats.org/officeDocument/2006/relationships/hyperlink" Target="http://pokemondb.net/move/quick-attack" TargetMode="External"/><Relationship Id="rId1130" Type="http://schemas.openxmlformats.org/officeDocument/2006/relationships/hyperlink" Target="http://pokemondb.net/type/ghost" TargetMode="External"/><Relationship Id="rId5" Type="http://schemas.openxmlformats.org/officeDocument/2006/relationships/hyperlink" Target="http://pokemondb.net/move/acid-armor" TargetMode="External"/><Relationship Id="rId237" Type="http://schemas.openxmlformats.org/officeDocument/2006/relationships/hyperlink" Target="http://pokemondb.net/move/doubleslap" TargetMode="External"/><Relationship Id="rId791" Type="http://schemas.openxmlformats.org/officeDocument/2006/relationships/hyperlink" Target="http://pokemondb.net/move/psycho-shift" TargetMode="External"/><Relationship Id="rId889" Type="http://schemas.openxmlformats.org/officeDocument/2006/relationships/hyperlink" Target="http://pokemondb.net/move/sandstorm" TargetMode="External"/><Relationship Id="rId1074" Type="http://schemas.openxmlformats.org/officeDocument/2006/relationships/hyperlink" Target="http://pokemondb.net/type/normal" TargetMode="External"/><Relationship Id="rId444" Type="http://schemas.openxmlformats.org/officeDocument/2006/relationships/hyperlink" Target="http://pokemondb.net/type/normal" TargetMode="External"/><Relationship Id="rId651" Type="http://schemas.openxmlformats.org/officeDocument/2006/relationships/hyperlink" Target="http://pokemondb.net/move/mind-reader" TargetMode="External"/><Relationship Id="rId749" Type="http://schemas.openxmlformats.org/officeDocument/2006/relationships/hyperlink" Target="http://pokemondb.net/move/poison-gas" TargetMode="External"/><Relationship Id="rId290" Type="http://schemas.openxmlformats.org/officeDocument/2006/relationships/hyperlink" Target="http://pokemondb.net/type/fire" TargetMode="External"/><Relationship Id="rId304" Type="http://schemas.openxmlformats.org/officeDocument/2006/relationships/hyperlink" Target="http://pokemondb.net/type/normal" TargetMode="External"/><Relationship Id="rId388" Type="http://schemas.openxmlformats.org/officeDocument/2006/relationships/hyperlink" Target="http://pokemondb.net/type/ice" TargetMode="External"/><Relationship Id="rId511" Type="http://schemas.openxmlformats.org/officeDocument/2006/relationships/hyperlink" Target="http://pokemondb.net/move/hyper-fang" TargetMode="External"/><Relationship Id="rId609" Type="http://schemas.openxmlformats.org/officeDocument/2006/relationships/hyperlink" Target="http://pokemondb.net/move/magma-storm" TargetMode="External"/><Relationship Id="rId956" Type="http://schemas.openxmlformats.org/officeDocument/2006/relationships/hyperlink" Target="http://pokemondb.net/type/normal" TargetMode="External"/><Relationship Id="rId1141" Type="http://schemas.openxmlformats.org/officeDocument/2006/relationships/hyperlink" Target="http://pokemondb.net/move/uproar" TargetMode="External"/><Relationship Id="rId85" Type="http://schemas.openxmlformats.org/officeDocument/2006/relationships/hyperlink" Target="http://pokemondb.net/move/blaze-kick" TargetMode="External"/><Relationship Id="rId150" Type="http://schemas.openxmlformats.org/officeDocument/2006/relationships/hyperlink" Target="http://pokemondb.net/type/poison" TargetMode="External"/><Relationship Id="rId595" Type="http://schemas.openxmlformats.org/officeDocument/2006/relationships/hyperlink" Target="http://pokemondb.net/move/lucky-chant" TargetMode="External"/><Relationship Id="rId816" Type="http://schemas.openxmlformats.org/officeDocument/2006/relationships/hyperlink" Target="http://pokemondb.net/type/water" TargetMode="External"/><Relationship Id="rId1001" Type="http://schemas.openxmlformats.org/officeDocument/2006/relationships/hyperlink" Target="http://pokemondb.net/move/spiky-shield" TargetMode="External"/><Relationship Id="rId248" Type="http://schemas.openxmlformats.org/officeDocument/2006/relationships/hyperlink" Target="http://pokemondb.net/type/dragon" TargetMode="External"/><Relationship Id="rId455" Type="http://schemas.openxmlformats.org/officeDocument/2006/relationships/hyperlink" Target="http://pokemondb.net/move/harden" TargetMode="External"/><Relationship Id="rId662" Type="http://schemas.openxmlformats.org/officeDocument/2006/relationships/hyperlink" Target="http://pokemondb.net/type/steel" TargetMode="External"/><Relationship Id="rId1085" Type="http://schemas.openxmlformats.org/officeDocument/2006/relationships/hyperlink" Target="http://pokemondb.net/move/taunt" TargetMode="External"/><Relationship Id="rId12" Type="http://schemas.openxmlformats.org/officeDocument/2006/relationships/hyperlink" Target="http://pokemondb.net/type/normal" TargetMode="External"/><Relationship Id="rId108" Type="http://schemas.openxmlformats.org/officeDocument/2006/relationships/hyperlink" Target="http://pokemondb.net/type/flying" TargetMode="External"/><Relationship Id="rId315" Type="http://schemas.openxmlformats.org/officeDocument/2006/relationships/hyperlink" Target="http://pokemondb.net/move/fairy-wind" TargetMode="External"/><Relationship Id="rId522" Type="http://schemas.openxmlformats.org/officeDocument/2006/relationships/hyperlink" Target="http://pokemondb.net/type/ice" TargetMode="External"/><Relationship Id="rId967" Type="http://schemas.openxmlformats.org/officeDocument/2006/relationships/hyperlink" Target="http://pokemondb.net/move/sludge-wave" TargetMode="External"/><Relationship Id="rId1152" Type="http://schemas.openxmlformats.org/officeDocument/2006/relationships/hyperlink" Target="http://pokemondb.net/type/normal" TargetMode="External"/><Relationship Id="rId96" Type="http://schemas.openxmlformats.org/officeDocument/2006/relationships/hyperlink" Target="http://pokemondb.net/type/electric" TargetMode="External"/><Relationship Id="rId161" Type="http://schemas.openxmlformats.org/officeDocument/2006/relationships/hyperlink" Target="http://pokemondb.net/move/confusion" TargetMode="External"/><Relationship Id="rId399" Type="http://schemas.openxmlformats.org/officeDocument/2006/relationships/hyperlink" Target="http://pokemondb.net/move/fury-cutter" TargetMode="External"/><Relationship Id="rId827" Type="http://schemas.openxmlformats.org/officeDocument/2006/relationships/hyperlink" Target="http://pokemondb.net/move/recycle" TargetMode="External"/><Relationship Id="rId1012" Type="http://schemas.openxmlformats.org/officeDocument/2006/relationships/hyperlink" Target="http://pokemondb.net/type/rock" TargetMode="External"/><Relationship Id="rId259" Type="http://schemas.openxmlformats.org/officeDocument/2006/relationships/hyperlink" Target="http://pokemondb.net/move/dream-eater" TargetMode="External"/><Relationship Id="rId466" Type="http://schemas.openxmlformats.org/officeDocument/2006/relationships/hyperlink" Target="http://pokemondb.net/type/normal" TargetMode="External"/><Relationship Id="rId673" Type="http://schemas.openxmlformats.org/officeDocument/2006/relationships/hyperlink" Target="http://pokemondb.net/move/morning-sun" TargetMode="External"/><Relationship Id="rId880" Type="http://schemas.openxmlformats.org/officeDocument/2006/relationships/hyperlink" Target="http://pokemondb.net/type/fire" TargetMode="External"/><Relationship Id="rId1096" Type="http://schemas.openxmlformats.org/officeDocument/2006/relationships/hyperlink" Target="http://pokemondb.net/type/dark" TargetMode="External"/><Relationship Id="rId23" Type="http://schemas.openxmlformats.org/officeDocument/2006/relationships/hyperlink" Target="http://pokemondb.net/move/air-slash" TargetMode="External"/><Relationship Id="rId119" Type="http://schemas.openxmlformats.org/officeDocument/2006/relationships/hyperlink" Target="http://pokemondb.net/move/bug-buzz" TargetMode="External"/><Relationship Id="rId326" Type="http://schemas.openxmlformats.org/officeDocument/2006/relationships/hyperlink" Target="http://pokemondb.net/type/normal" TargetMode="External"/><Relationship Id="rId533" Type="http://schemas.openxmlformats.org/officeDocument/2006/relationships/hyperlink" Target="http://pokemondb.net/move/icy-wind" TargetMode="External"/><Relationship Id="rId978" Type="http://schemas.openxmlformats.org/officeDocument/2006/relationships/hyperlink" Target="http://pokemondb.net/type/dark" TargetMode="External"/><Relationship Id="rId1163" Type="http://schemas.openxmlformats.org/officeDocument/2006/relationships/hyperlink" Target="http://pokemondb.net/move/water-gun" TargetMode="External"/><Relationship Id="rId740" Type="http://schemas.openxmlformats.org/officeDocument/2006/relationships/hyperlink" Target="http://pokemondb.net/type/bug" TargetMode="External"/><Relationship Id="rId838" Type="http://schemas.openxmlformats.org/officeDocument/2006/relationships/hyperlink" Target="http://pokemondb.net/type/psychic" TargetMode="External"/><Relationship Id="rId1023" Type="http://schemas.openxmlformats.org/officeDocument/2006/relationships/hyperlink" Target="http://pokemondb.net/move/stone-edge" TargetMode="External"/><Relationship Id="rId172" Type="http://schemas.openxmlformats.org/officeDocument/2006/relationships/hyperlink" Target="http://pokemondb.net/type/psychic" TargetMode="External"/><Relationship Id="rId477" Type="http://schemas.openxmlformats.org/officeDocument/2006/relationships/hyperlink" Target="http://pokemondb.net/move/heart-swap" TargetMode="External"/><Relationship Id="rId600" Type="http://schemas.openxmlformats.org/officeDocument/2006/relationships/hyperlink" Target="http://pokemondb.net/type/psychic" TargetMode="External"/><Relationship Id="rId684" Type="http://schemas.openxmlformats.org/officeDocument/2006/relationships/hyperlink" Target="http://pokemondb.net/type/water" TargetMode="External"/><Relationship Id="rId337" Type="http://schemas.openxmlformats.org/officeDocument/2006/relationships/hyperlink" Target="http://pokemondb.net/move/fire-pledge" TargetMode="External"/><Relationship Id="rId891" Type="http://schemas.openxmlformats.org/officeDocument/2006/relationships/hyperlink" Target="http://pokemondb.net/move/scald" TargetMode="External"/><Relationship Id="rId905" Type="http://schemas.openxmlformats.org/officeDocument/2006/relationships/hyperlink" Target="http://pokemondb.net/move/seed-bomb" TargetMode="External"/><Relationship Id="rId989" Type="http://schemas.openxmlformats.org/officeDocument/2006/relationships/hyperlink" Target="http://pokemondb.net/move/sonicboom" TargetMode="External"/><Relationship Id="rId34" Type="http://schemas.openxmlformats.org/officeDocument/2006/relationships/hyperlink" Target="http://pokemondb.net/type/water" TargetMode="External"/><Relationship Id="rId544" Type="http://schemas.openxmlformats.org/officeDocument/2006/relationships/hyperlink" Target="http://pokemondb.net/type/grass" TargetMode="External"/><Relationship Id="rId751" Type="http://schemas.openxmlformats.org/officeDocument/2006/relationships/hyperlink" Target="http://pokemondb.net/move/poison-jab" TargetMode="External"/><Relationship Id="rId849" Type="http://schemas.openxmlformats.org/officeDocument/2006/relationships/hyperlink" Target="http://pokemondb.net/move/roar-of-time" TargetMode="External"/><Relationship Id="rId1174" Type="http://schemas.openxmlformats.org/officeDocument/2006/relationships/hyperlink" Target="http://pokemondb.net/type/water" TargetMode="External"/><Relationship Id="rId183" Type="http://schemas.openxmlformats.org/officeDocument/2006/relationships/hyperlink" Target="http://pokemondb.net/move/crafty-shield" TargetMode="External"/><Relationship Id="rId390" Type="http://schemas.openxmlformats.org/officeDocument/2006/relationships/hyperlink" Target="http://pokemondb.net/type/ice" TargetMode="External"/><Relationship Id="rId404" Type="http://schemas.openxmlformats.org/officeDocument/2006/relationships/hyperlink" Target="http://pokemondb.net/type/electric" TargetMode="External"/><Relationship Id="rId611" Type="http://schemas.openxmlformats.org/officeDocument/2006/relationships/hyperlink" Target="http://pokemondb.net/move/magnet-bomb" TargetMode="External"/><Relationship Id="rId1034" Type="http://schemas.openxmlformats.org/officeDocument/2006/relationships/hyperlink" Target="http://pokemondb.net/type/normal" TargetMode="External"/><Relationship Id="rId250" Type="http://schemas.openxmlformats.org/officeDocument/2006/relationships/hyperlink" Target="http://pokemondb.net/type/dragon" TargetMode="External"/><Relationship Id="rId488" Type="http://schemas.openxmlformats.org/officeDocument/2006/relationships/hyperlink" Target="http://pokemondb.net/type/ghost" TargetMode="External"/><Relationship Id="rId695" Type="http://schemas.openxmlformats.org/officeDocument/2006/relationships/hyperlink" Target="http://pokemondb.net/move/night-daze" TargetMode="External"/><Relationship Id="rId709" Type="http://schemas.openxmlformats.org/officeDocument/2006/relationships/hyperlink" Target="http://pokemondb.net/move/octazooka" TargetMode="External"/><Relationship Id="rId916" Type="http://schemas.openxmlformats.org/officeDocument/2006/relationships/hyperlink" Target="http://pokemondb.net/type/ghost" TargetMode="External"/><Relationship Id="rId1101" Type="http://schemas.openxmlformats.org/officeDocument/2006/relationships/hyperlink" Target="http://pokemondb.net/move/thunder-fang" TargetMode="External"/><Relationship Id="rId45" Type="http://schemas.openxmlformats.org/officeDocument/2006/relationships/hyperlink" Target="http://pokemondb.net/move/assurance" TargetMode="External"/><Relationship Id="rId110" Type="http://schemas.openxmlformats.org/officeDocument/2006/relationships/hyperlink" Target="http://pokemondb.net/type/fighting" TargetMode="External"/><Relationship Id="rId348" Type="http://schemas.openxmlformats.org/officeDocument/2006/relationships/hyperlink" Target="http://pokemondb.net/type/fire" TargetMode="External"/><Relationship Id="rId555" Type="http://schemas.openxmlformats.org/officeDocument/2006/relationships/hyperlink" Target="http://pokemondb.net/move/jump-kick" TargetMode="External"/><Relationship Id="rId762" Type="http://schemas.openxmlformats.org/officeDocument/2006/relationships/hyperlink" Target="http://pokemondb.net/type/bug" TargetMode="External"/><Relationship Id="rId1185" Type="http://schemas.openxmlformats.org/officeDocument/2006/relationships/hyperlink" Target="http://pokemondb.net/move/wild-charge" TargetMode="External"/><Relationship Id="rId194" Type="http://schemas.openxmlformats.org/officeDocument/2006/relationships/hyperlink" Target="http://pokemondb.net/type/normal" TargetMode="External"/><Relationship Id="rId208" Type="http://schemas.openxmlformats.org/officeDocument/2006/relationships/hyperlink" Target="http://pokemondb.net/type/normal" TargetMode="External"/><Relationship Id="rId415" Type="http://schemas.openxmlformats.org/officeDocument/2006/relationships/hyperlink" Target="http://pokemondb.net/move/giga-drain" TargetMode="External"/><Relationship Id="rId622" Type="http://schemas.openxmlformats.org/officeDocument/2006/relationships/hyperlink" Target="http://pokemondb.net/type/normal" TargetMode="External"/><Relationship Id="rId1045" Type="http://schemas.openxmlformats.org/officeDocument/2006/relationships/hyperlink" Target="http://pokemondb.net/move/sunny-day" TargetMode="External"/><Relationship Id="rId261" Type="http://schemas.openxmlformats.org/officeDocument/2006/relationships/hyperlink" Target="http://pokemondb.net/move/drill-peck" TargetMode="External"/><Relationship Id="rId499" Type="http://schemas.openxmlformats.org/officeDocument/2006/relationships/hyperlink" Target="http://pokemondb.net/move/horn-leech" TargetMode="External"/><Relationship Id="rId927" Type="http://schemas.openxmlformats.org/officeDocument/2006/relationships/hyperlink" Target="http://pokemondb.net/move/shell-smash" TargetMode="External"/><Relationship Id="rId1112" Type="http://schemas.openxmlformats.org/officeDocument/2006/relationships/hyperlink" Target="http://pokemondb.net/type/normal" TargetMode="External"/><Relationship Id="rId56" Type="http://schemas.openxmlformats.org/officeDocument/2006/relationships/hyperlink" Target="http://pokemondb.net/type/ice" TargetMode="External"/><Relationship Id="rId359" Type="http://schemas.openxmlformats.org/officeDocument/2006/relationships/hyperlink" Target="http://pokemondb.net/move/flash-cannon" TargetMode="External"/><Relationship Id="rId566" Type="http://schemas.openxmlformats.org/officeDocument/2006/relationships/hyperlink" Target="http://pokemondb.net/type/ground" TargetMode="External"/><Relationship Id="rId773" Type="http://schemas.openxmlformats.org/officeDocument/2006/relationships/hyperlink" Target="http://pokemondb.net/move/power-whip" TargetMode="External"/><Relationship Id="rId1196" Type="http://schemas.openxmlformats.org/officeDocument/2006/relationships/hyperlink" Target="http://pokemondb.net/type/psychic" TargetMode="External"/><Relationship Id="rId121" Type="http://schemas.openxmlformats.org/officeDocument/2006/relationships/hyperlink" Target="http://pokemondb.net/move/bulk-up" TargetMode="External"/><Relationship Id="rId219" Type="http://schemas.openxmlformats.org/officeDocument/2006/relationships/hyperlink" Target="http://pokemondb.net/move/disarming-voice" TargetMode="External"/><Relationship Id="rId426" Type="http://schemas.openxmlformats.org/officeDocument/2006/relationships/hyperlink" Target="http://pokemondb.net/type/grass" TargetMode="External"/><Relationship Id="rId633" Type="http://schemas.openxmlformats.org/officeDocument/2006/relationships/hyperlink" Target="http://pokemondb.net/move/megahorn" TargetMode="External"/><Relationship Id="rId980" Type="http://schemas.openxmlformats.org/officeDocument/2006/relationships/hyperlink" Target="http://pokemondb.net/type/dark" TargetMode="External"/><Relationship Id="rId1056" Type="http://schemas.openxmlformats.org/officeDocument/2006/relationships/hyperlink" Target="http://pokemondb.net/type/normal" TargetMode="External"/><Relationship Id="rId840" Type="http://schemas.openxmlformats.org/officeDocument/2006/relationships/hyperlink" Target="http://pokemondb.net/type/normal" TargetMode="External"/><Relationship Id="rId938" Type="http://schemas.openxmlformats.org/officeDocument/2006/relationships/hyperlink" Target="http://pokemondb.net/type/normal" TargetMode="External"/><Relationship Id="rId67" Type="http://schemas.openxmlformats.org/officeDocument/2006/relationships/hyperlink" Target="http://pokemondb.net/move/baton-pass" TargetMode="External"/><Relationship Id="rId272" Type="http://schemas.openxmlformats.org/officeDocument/2006/relationships/hyperlink" Target="http://pokemondb.net/type/ground" TargetMode="External"/><Relationship Id="rId577" Type="http://schemas.openxmlformats.org/officeDocument/2006/relationships/hyperlink" Target="http://pokemondb.net/move/leech-life" TargetMode="External"/><Relationship Id="rId700" Type="http://schemas.openxmlformats.org/officeDocument/2006/relationships/hyperlink" Target="http://pokemondb.net/type/dark" TargetMode="External"/><Relationship Id="rId1123" Type="http://schemas.openxmlformats.org/officeDocument/2006/relationships/hyperlink" Target="http://pokemondb.net/move/tri-attack" TargetMode="External"/><Relationship Id="rId132" Type="http://schemas.openxmlformats.org/officeDocument/2006/relationships/hyperlink" Target="http://pokemondb.net/type/normal" TargetMode="External"/><Relationship Id="rId784" Type="http://schemas.openxmlformats.org/officeDocument/2006/relationships/hyperlink" Target="http://pokemondb.net/type/normal" TargetMode="External"/><Relationship Id="rId991" Type="http://schemas.openxmlformats.org/officeDocument/2006/relationships/hyperlink" Target="http://pokemondb.net/move/spacial-rend" TargetMode="External"/><Relationship Id="rId1067" Type="http://schemas.openxmlformats.org/officeDocument/2006/relationships/hyperlink" Target="http://pokemondb.net/move/swords-dance" TargetMode="External"/><Relationship Id="rId437" Type="http://schemas.openxmlformats.org/officeDocument/2006/relationships/hyperlink" Target="http://pokemondb.net/move/grudge" TargetMode="External"/><Relationship Id="rId644" Type="http://schemas.openxmlformats.org/officeDocument/2006/relationships/hyperlink" Target="http://pokemondb.net/type/steel" TargetMode="External"/><Relationship Id="rId851" Type="http://schemas.openxmlformats.org/officeDocument/2006/relationships/hyperlink" Target="http://pokemondb.net/move/rock-blast" TargetMode="External"/><Relationship Id="rId283" Type="http://schemas.openxmlformats.org/officeDocument/2006/relationships/hyperlink" Target="http://pokemondb.net/move/electro-ball" TargetMode="External"/><Relationship Id="rId490" Type="http://schemas.openxmlformats.org/officeDocument/2006/relationships/hyperlink" Target="http://pokemondb.net/type/fighting" TargetMode="External"/><Relationship Id="rId504" Type="http://schemas.openxmlformats.org/officeDocument/2006/relationships/hyperlink" Target="http://pokemondb.net/type/flying" TargetMode="External"/><Relationship Id="rId711" Type="http://schemas.openxmlformats.org/officeDocument/2006/relationships/hyperlink" Target="http://pokemondb.net/move/odor-sleuth" TargetMode="External"/><Relationship Id="rId949" Type="http://schemas.openxmlformats.org/officeDocument/2006/relationships/hyperlink" Target="http://pokemondb.net/move/sky-drop" TargetMode="External"/><Relationship Id="rId1134" Type="http://schemas.openxmlformats.org/officeDocument/2006/relationships/hyperlink" Target="http://pokemondb.net/type/normal" TargetMode="External"/><Relationship Id="rId78" Type="http://schemas.openxmlformats.org/officeDocument/2006/relationships/hyperlink" Target="http://pokemondb.net/type/normal" TargetMode="External"/><Relationship Id="rId143" Type="http://schemas.openxmlformats.org/officeDocument/2006/relationships/hyperlink" Target="http://pokemondb.net/move/chip-away" TargetMode="External"/><Relationship Id="rId350" Type="http://schemas.openxmlformats.org/officeDocument/2006/relationships/hyperlink" Target="http://pokemondb.net/type/fire" TargetMode="External"/><Relationship Id="rId588" Type="http://schemas.openxmlformats.org/officeDocument/2006/relationships/hyperlink" Target="http://pokemondb.net/type/normal" TargetMode="External"/><Relationship Id="rId795" Type="http://schemas.openxmlformats.org/officeDocument/2006/relationships/hyperlink" Target="http://pokemondb.net/move/psystrike" TargetMode="External"/><Relationship Id="rId809" Type="http://schemas.openxmlformats.org/officeDocument/2006/relationships/hyperlink" Target="http://pokemondb.net/move/quiver-dance" TargetMode="External"/><Relationship Id="rId1201" Type="http://schemas.openxmlformats.org/officeDocument/2006/relationships/hyperlink" Target="http://pokemondb.net/move/worry-seed" TargetMode="External"/><Relationship Id="rId9" Type="http://schemas.openxmlformats.org/officeDocument/2006/relationships/hyperlink" Target="http://pokemondb.net/move/acrobatics" TargetMode="External"/><Relationship Id="rId210" Type="http://schemas.openxmlformats.org/officeDocument/2006/relationships/hyperlink" Target="http://pokemondb.net/type/flying" TargetMode="External"/><Relationship Id="rId448" Type="http://schemas.openxmlformats.org/officeDocument/2006/relationships/hyperlink" Target="http://pokemondb.net/type/flying" TargetMode="External"/><Relationship Id="rId655" Type="http://schemas.openxmlformats.org/officeDocument/2006/relationships/hyperlink" Target="http://pokemondb.net/move/miracle-eye" TargetMode="External"/><Relationship Id="rId862" Type="http://schemas.openxmlformats.org/officeDocument/2006/relationships/hyperlink" Target="http://pokemondb.net/type/rock" TargetMode="External"/><Relationship Id="rId1078" Type="http://schemas.openxmlformats.org/officeDocument/2006/relationships/hyperlink" Target="http://pokemondb.net/type/normal" TargetMode="External"/><Relationship Id="rId294" Type="http://schemas.openxmlformats.org/officeDocument/2006/relationships/hyperlink" Target="http://pokemondb.net/type/normal" TargetMode="External"/><Relationship Id="rId308" Type="http://schemas.openxmlformats.org/officeDocument/2006/relationships/hyperlink" Target="http://pokemondb.net/type/normal" TargetMode="External"/><Relationship Id="rId515" Type="http://schemas.openxmlformats.org/officeDocument/2006/relationships/hyperlink" Target="http://pokemondb.net/move/hypnosis" TargetMode="External"/><Relationship Id="rId722" Type="http://schemas.openxmlformats.org/officeDocument/2006/relationships/hyperlink" Target="http://pokemondb.net/type/electric" TargetMode="External"/><Relationship Id="rId1145" Type="http://schemas.openxmlformats.org/officeDocument/2006/relationships/hyperlink" Target="http://pokemondb.net/move/vacuum-wave" TargetMode="External"/><Relationship Id="rId89" Type="http://schemas.openxmlformats.org/officeDocument/2006/relationships/hyperlink" Target="http://pokemondb.net/move/block" TargetMode="External"/><Relationship Id="rId154" Type="http://schemas.openxmlformats.org/officeDocument/2006/relationships/hyperlink" Target="http://pokemondb.net/type/poison" TargetMode="External"/><Relationship Id="rId361" Type="http://schemas.openxmlformats.org/officeDocument/2006/relationships/hyperlink" Target="http://pokemondb.net/move/flatter" TargetMode="External"/><Relationship Id="rId599" Type="http://schemas.openxmlformats.org/officeDocument/2006/relationships/hyperlink" Target="http://pokemondb.net/move/luster-purge" TargetMode="External"/><Relationship Id="rId1005" Type="http://schemas.openxmlformats.org/officeDocument/2006/relationships/hyperlink" Target="http://pokemondb.net/move/spite" TargetMode="External"/><Relationship Id="rId1212" Type="http://schemas.openxmlformats.org/officeDocument/2006/relationships/hyperlink" Target="http://pokemondb.net/type/electric" TargetMode="External"/><Relationship Id="rId459" Type="http://schemas.openxmlformats.org/officeDocument/2006/relationships/hyperlink" Target="http://pokemondb.net/move/head-charge" TargetMode="External"/><Relationship Id="rId666" Type="http://schemas.openxmlformats.org/officeDocument/2006/relationships/hyperlink" Target="http://pokemondb.net/type/psychic" TargetMode="External"/><Relationship Id="rId873" Type="http://schemas.openxmlformats.org/officeDocument/2006/relationships/hyperlink" Target="http://pokemondb.net/move/roost" TargetMode="External"/><Relationship Id="rId1089" Type="http://schemas.openxmlformats.org/officeDocument/2006/relationships/hyperlink" Target="http://pokemondb.net/move/teeter-dance" TargetMode="External"/><Relationship Id="rId16" Type="http://schemas.openxmlformats.org/officeDocument/2006/relationships/hyperlink" Target="http://pokemondb.net/type/flying" TargetMode="External"/><Relationship Id="rId221" Type="http://schemas.openxmlformats.org/officeDocument/2006/relationships/hyperlink" Target="http://pokemondb.net/move/discharge" TargetMode="External"/><Relationship Id="rId319" Type="http://schemas.openxmlformats.org/officeDocument/2006/relationships/hyperlink" Target="http://pokemondb.net/move/fake-tears" TargetMode="External"/><Relationship Id="rId526" Type="http://schemas.openxmlformats.org/officeDocument/2006/relationships/hyperlink" Target="http://pokemondb.net/type/ice" TargetMode="External"/><Relationship Id="rId1156" Type="http://schemas.openxmlformats.org/officeDocument/2006/relationships/hyperlink" Target="http://pokemondb.net/type/fighting" TargetMode="External"/><Relationship Id="rId733" Type="http://schemas.openxmlformats.org/officeDocument/2006/relationships/hyperlink" Target="http://pokemondb.net/move/petal-blizzard" TargetMode="External"/><Relationship Id="rId940" Type="http://schemas.openxmlformats.org/officeDocument/2006/relationships/hyperlink" Target="http://pokemondb.net/type/normal" TargetMode="External"/><Relationship Id="rId1016" Type="http://schemas.openxmlformats.org/officeDocument/2006/relationships/hyperlink" Target="http://pokemondb.net/type/steel" TargetMode="External"/><Relationship Id="rId165" Type="http://schemas.openxmlformats.org/officeDocument/2006/relationships/hyperlink" Target="http://pokemondb.net/move/conversion" TargetMode="External"/><Relationship Id="rId372" Type="http://schemas.openxmlformats.org/officeDocument/2006/relationships/hyperlink" Target="http://pokemondb.net/type/fighting" TargetMode="External"/><Relationship Id="rId677" Type="http://schemas.openxmlformats.org/officeDocument/2006/relationships/hyperlink" Target="http://pokemondb.net/move/mud-shot" TargetMode="External"/><Relationship Id="rId800" Type="http://schemas.openxmlformats.org/officeDocument/2006/relationships/hyperlink" Target="http://pokemondb.net/type/dark" TargetMode="External"/><Relationship Id="rId232" Type="http://schemas.openxmlformats.org/officeDocument/2006/relationships/hyperlink" Target="http://pokemondb.net/type/fighting" TargetMode="External"/><Relationship Id="rId884" Type="http://schemas.openxmlformats.org/officeDocument/2006/relationships/hyperlink" Target="http://pokemondb.net/type/normal" TargetMode="External"/><Relationship Id="rId27" Type="http://schemas.openxmlformats.org/officeDocument/2006/relationships/hyperlink" Target="http://pokemondb.net/move/amnesia" TargetMode="External"/><Relationship Id="rId537" Type="http://schemas.openxmlformats.org/officeDocument/2006/relationships/hyperlink" Target="http://pokemondb.net/move/incinerate" TargetMode="External"/><Relationship Id="rId744" Type="http://schemas.openxmlformats.org/officeDocument/2006/relationships/hyperlink" Target="http://pokemondb.net/type/fairy" TargetMode="External"/><Relationship Id="rId951" Type="http://schemas.openxmlformats.org/officeDocument/2006/relationships/hyperlink" Target="http://pokemondb.net/move/sky-uppercut" TargetMode="External"/><Relationship Id="rId1167" Type="http://schemas.openxmlformats.org/officeDocument/2006/relationships/hyperlink" Target="http://pokemondb.net/move/water-pulse" TargetMode="External"/><Relationship Id="rId80" Type="http://schemas.openxmlformats.org/officeDocument/2006/relationships/hyperlink" Target="http://pokemondb.net/type/normal" TargetMode="External"/><Relationship Id="rId176" Type="http://schemas.openxmlformats.org/officeDocument/2006/relationships/hyperlink" Target="http://pokemondb.net/type/grass" TargetMode="External"/><Relationship Id="rId383" Type="http://schemas.openxmlformats.org/officeDocument/2006/relationships/hyperlink" Target="http://pokemondb.net/move/forests-curse" TargetMode="External"/><Relationship Id="rId590" Type="http://schemas.openxmlformats.org/officeDocument/2006/relationships/hyperlink" Target="http://pokemondb.net/type/normal" TargetMode="External"/><Relationship Id="rId604" Type="http://schemas.openxmlformats.org/officeDocument/2006/relationships/hyperlink" Target="http://pokemondb.net/type/psychic" TargetMode="External"/><Relationship Id="rId811" Type="http://schemas.openxmlformats.org/officeDocument/2006/relationships/hyperlink" Target="http://pokemondb.net/move/rage" TargetMode="External"/><Relationship Id="rId1027" Type="http://schemas.openxmlformats.org/officeDocument/2006/relationships/hyperlink" Target="http://pokemondb.net/move/storm-throw" TargetMode="External"/><Relationship Id="rId243" Type="http://schemas.openxmlformats.org/officeDocument/2006/relationships/hyperlink" Target="http://pokemondb.net/move/dragon-dance" TargetMode="External"/><Relationship Id="rId450" Type="http://schemas.openxmlformats.org/officeDocument/2006/relationships/hyperlink" Target="http://pokemondb.net/type/steel" TargetMode="External"/><Relationship Id="rId688" Type="http://schemas.openxmlformats.org/officeDocument/2006/relationships/hyperlink" Target="http://pokemondb.net/type/dark" TargetMode="External"/><Relationship Id="rId895" Type="http://schemas.openxmlformats.org/officeDocument/2006/relationships/hyperlink" Target="http://pokemondb.net/move/scratch" TargetMode="External"/><Relationship Id="rId909" Type="http://schemas.openxmlformats.org/officeDocument/2006/relationships/hyperlink" Target="http://pokemondb.net/move/seismic-toss" TargetMode="External"/><Relationship Id="rId1080" Type="http://schemas.openxmlformats.org/officeDocument/2006/relationships/hyperlink" Target="http://pokemondb.net/type/normal" TargetMode="External"/><Relationship Id="rId38" Type="http://schemas.openxmlformats.org/officeDocument/2006/relationships/hyperlink" Target="http://pokemondb.net/type/fighting" TargetMode="External"/><Relationship Id="rId103" Type="http://schemas.openxmlformats.org/officeDocument/2006/relationships/hyperlink" Target="http://pokemondb.net/move/boomburst" TargetMode="External"/><Relationship Id="rId310" Type="http://schemas.openxmlformats.org/officeDocument/2006/relationships/hyperlink" Target="http://pokemondb.net/type/normal" TargetMode="External"/><Relationship Id="rId548" Type="http://schemas.openxmlformats.org/officeDocument/2006/relationships/hyperlink" Target="http://pokemondb.net/type/steel" TargetMode="External"/><Relationship Id="rId755" Type="http://schemas.openxmlformats.org/officeDocument/2006/relationships/hyperlink" Target="http://pokemondb.net/move/poison-tail" TargetMode="External"/><Relationship Id="rId962" Type="http://schemas.openxmlformats.org/officeDocument/2006/relationships/hyperlink" Target="http://pokemondb.net/type/normal" TargetMode="External"/><Relationship Id="rId1178" Type="http://schemas.openxmlformats.org/officeDocument/2006/relationships/hyperlink" Target="http://pokemondb.net/type/normal" TargetMode="External"/><Relationship Id="rId91" Type="http://schemas.openxmlformats.org/officeDocument/2006/relationships/hyperlink" Target="http://pokemondb.net/move/blue-flare" TargetMode="External"/><Relationship Id="rId187" Type="http://schemas.openxmlformats.org/officeDocument/2006/relationships/hyperlink" Target="http://pokemondb.net/move/cross-poison" TargetMode="External"/><Relationship Id="rId394" Type="http://schemas.openxmlformats.org/officeDocument/2006/relationships/hyperlink" Target="http://pokemondb.net/type/ice" TargetMode="External"/><Relationship Id="rId408" Type="http://schemas.openxmlformats.org/officeDocument/2006/relationships/hyperlink" Target="http://pokemondb.net/type/psychic" TargetMode="External"/><Relationship Id="rId615" Type="http://schemas.openxmlformats.org/officeDocument/2006/relationships/hyperlink" Target="http://pokemondb.net/move/magnetic-flux" TargetMode="External"/><Relationship Id="rId822" Type="http://schemas.openxmlformats.org/officeDocument/2006/relationships/hyperlink" Target="http://pokemondb.net/type/water" TargetMode="External"/><Relationship Id="rId1038" Type="http://schemas.openxmlformats.org/officeDocument/2006/relationships/hyperlink" Target="http://pokemondb.net/type/grass" TargetMode="External"/><Relationship Id="rId254" Type="http://schemas.openxmlformats.org/officeDocument/2006/relationships/hyperlink" Target="http://pokemondb.net/type/dragon" TargetMode="External"/><Relationship Id="rId699" Type="http://schemas.openxmlformats.org/officeDocument/2006/relationships/hyperlink" Target="http://pokemondb.net/move/night-slash" TargetMode="External"/><Relationship Id="rId1091" Type="http://schemas.openxmlformats.org/officeDocument/2006/relationships/hyperlink" Target="http://pokemondb.net/move/telekinesis" TargetMode="External"/><Relationship Id="rId1105" Type="http://schemas.openxmlformats.org/officeDocument/2006/relationships/hyperlink" Target="http://pokemondb.net/move/thunderpunch" TargetMode="External"/><Relationship Id="rId49" Type="http://schemas.openxmlformats.org/officeDocument/2006/relationships/hyperlink" Target="http://pokemondb.net/move/attack-order" TargetMode="External"/><Relationship Id="rId114" Type="http://schemas.openxmlformats.org/officeDocument/2006/relationships/hyperlink" Target="http://pokemondb.net/type/water" TargetMode="External"/><Relationship Id="rId461" Type="http://schemas.openxmlformats.org/officeDocument/2006/relationships/hyperlink" Target="http://pokemondb.net/move/head-smash" TargetMode="External"/><Relationship Id="rId559" Type="http://schemas.openxmlformats.org/officeDocument/2006/relationships/hyperlink" Target="http://pokemondb.net/move/kinesis" TargetMode="External"/><Relationship Id="rId766" Type="http://schemas.openxmlformats.org/officeDocument/2006/relationships/hyperlink" Target="http://pokemondb.net/type/rock" TargetMode="External"/><Relationship Id="rId1189" Type="http://schemas.openxmlformats.org/officeDocument/2006/relationships/hyperlink" Target="http://pokemondb.net/move/wing-attack" TargetMode="External"/><Relationship Id="rId198" Type="http://schemas.openxmlformats.org/officeDocument/2006/relationships/hyperlink" Target="http://pokemondb.net/type/normal" TargetMode="External"/><Relationship Id="rId321" Type="http://schemas.openxmlformats.org/officeDocument/2006/relationships/hyperlink" Target="http://pokemondb.net/move/false-swipe" TargetMode="External"/><Relationship Id="rId419" Type="http://schemas.openxmlformats.org/officeDocument/2006/relationships/hyperlink" Target="http://pokemondb.net/move/glaciate" TargetMode="External"/><Relationship Id="rId626" Type="http://schemas.openxmlformats.org/officeDocument/2006/relationships/hyperlink" Target="http://pokemondb.net/type/psychic" TargetMode="External"/><Relationship Id="rId973" Type="http://schemas.openxmlformats.org/officeDocument/2006/relationships/hyperlink" Target="http://pokemondb.net/move/smog" TargetMode="External"/><Relationship Id="rId1049" Type="http://schemas.openxmlformats.org/officeDocument/2006/relationships/hyperlink" Target="http://pokemondb.net/move/superpower" TargetMode="External"/><Relationship Id="rId833" Type="http://schemas.openxmlformats.org/officeDocument/2006/relationships/hyperlink" Target="http://pokemondb.net/move/refresh" TargetMode="External"/><Relationship Id="rId1116" Type="http://schemas.openxmlformats.org/officeDocument/2006/relationships/hyperlink" Target="http://pokemondb.net/type/dark" TargetMode="External"/><Relationship Id="rId265" Type="http://schemas.openxmlformats.org/officeDocument/2006/relationships/hyperlink" Target="http://pokemondb.net/move/dual-chop" TargetMode="External"/><Relationship Id="rId472" Type="http://schemas.openxmlformats.org/officeDocument/2006/relationships/hyperlink" Target="http://pokemondb.net/type/psychic" TargetMode="External"/><Relationship Id="rId900" Type="http://schemas.openxmlformats.org/officeDocument/2006/relationships/hyperlink" Target="http://pokemondb.net/type/fire" TargetMode="External"/><Relationship Id="rId125" Type="http://schemas.openxmlformats.org/officeDocument/2006/relationships/hyperlink" Target="http://pokemondb.net/move/bullet-punch" TargetMode="External"/><Relationship Id="rId332" Type="http://schemas.openxmlformats.org/officeDocument/2006/relationships/hyperlink" Target="http://pokemondb.net/type/fighting" TargetMode="External"/><Relationship Id="rId777" Type="http://schemas.openxmlformats.org/officeDocument/2006/relationships/hyperlink" Target="http://pokemondb.net/move/present" TargetMode="External"/><Relationship Id="rId984" Type="http://schemas.openxmlformats.org/officeDocument/2006/relationships/hyperlink" Target="http://pokemondb.net/type/water" TargetMode="External"/><Relationship Id="rId637" Type="http://schemas.openxmlformats.org/officeDocument/2006/relationships/hyperlink" Target="http://pokemondb.net/move/metal-burst" TargetMode="External"/><Relationship Id="rId844" Type="http://schemas.openxmlformats.org/officeDocument/2006/relationships/hyperlink" Target="http://pokemondb.net/type/fighting" TargetMode="External"/><Relationship Id="rId276" Type="http://schemas.openxmlformats.org/officeDocument/2006/relationships/hyperlink" Target="http://pokemondb.net/type/electric" TargetMode="External"/><Relationship Id="rId483" Type="http://schemas.openxmlformats.org/officeDocument/2006/relationships/hyperlink" Target="http://pokemondb.net/move/heavy-slam" TargetMode="External"/><Relationship Id="rId690" Type="http://schemas.openxmlformats.org/officeDocument/2006/relationships/hyperlink" Target="http://pokemondb.net/type/normal" TargetMode="External"/><Relationship Id="rId704" Type="http://schemas.openxmlformats.org/officeDocument/2006/relationships/hyperlink" Target="http://pokemondb.net/type/normal" TargetMode="External"/><Relationship Id="rId911" Type="http://schemas.openxmlformats.org/officeDocument/2006/relationships/hyperlink" Target="http://pokemondb.net/move/selfdestruct" TargetMode="External"/><Relationship Id="rId1127" Type="http://schemas.openxmlformats.org/officeDocument/2006/relationships/hyperlink" Target="http://pokemondb.net/move/trick-room" TargetMode="External"/><Relationship Id="rId40" Type="http://schemas.openxmlformats.org/officeDocument/2006/relationships/hyperlink" Target="http://pokemondb.net/type/grass" TargetMode="External"/><Relationship Id="rId136" Type="http://schemas.openxmlformats.org/officeDocument/2006/relationships/hyperlink" Target="http://pokemondb.net/type/electric" TargetMode="External"/><Relationship Id="rId343" Type="http://schemas.openxmlformats.org/officeDocument/2006/relationships/hyperlink" Target="http://pokemondb.net/move/fissure" TargetMode="External"/><Relationship Id="rId550" Type="http://schemas.openxmlformats.org/officeDocument/2006/relationships/hyperlink" Target="http://pokemondb.net/type/steel" TargetMode="External"/><Relationship Id="rId788" Type="http://schemas.openxmlformats.org/officeDocument/2006/relationships/hyperlink" Target="http://pokemondb.net/type/psychic" TargetMode="External"/><Relationship Id="rId995" Type="http://schemas.openxmlformats.org/officeDocument/2006/relationships/hyperlink" Target="http://pokemondb.net/move/spider-web" TargetMode="External"/><Relationship Id="rId1180" Type="http://schemas.openxmlformats.org/officeDocument/2006/relationships/hyperlink" Target="http://pokemondb.net/type/water" TargetMode="External"/><Relationship Id="rId203" Type="http://schemas.openxmlformats.org/officeDocument/2006/relationships/hyperlink" Target="http://pokemondb.net/move/dazzling-gleam" TargetMode="External"/><Relationship Id="rId648" Type="http://schemas.openxmlformats.org/officeDocument/2006/relationships/hyperlink" Target="http://pokemondb.net/type/normal" TargetMode="External"/><Relationship Id="rId855" Type="http://schemas.openxmlformats.org/officeDocument/2006/relationships/hyperlink" Target="http://pokemondb.net/move/rock-polish" TargetMode="External"/><Relationship Id="rId1040" Type="http://schemas.openxmlformats.org/officeDocument/2006/relationships/hyperlink" Target="http://pokemondb.net/type/fighting" TargetMode="External"/><Relationship Id="rId287" Type="http://schemas.openxmlformats.org/officeDocument/2006/relationships/hyperlink" Target="http://pokemondb.net/move/embargo" TargetMode="External"/><Relationship Id="rId410" Type="http://schemas.openxmlformats.org/officeDocument/2006/relationships/hyperlink" Target="http://pokemondb.net/type/poison" TargetMode="External"/><Relationship Id="rId494" Type="http://schemas.openxmlformats.org/officeDocument/2006/relationships/hyperlink" Target="http://pokemondb.net/type/dark" TargetMode="External"/><Relationship Id="rId508" Type="http://schemas.openxmlformats.org/officeDocument/2006/relationships/hyperlink" Target="http://pokemondb.net/type/water" TargetMode="External"/><Relationship Id="rId715" Type="http://schemas.openxmlformats.org/officeDocument/2006/relationships/hyperlink" Target="http://pokemondb.net/move/outrage" TargetMode="External"/><Relationship Id="rId922" Type="http://schemas.openxmlformats.org/officeDocument/2006/relationships/hyperlink" Target="http://pokemondb.net/type/ghost" TargetMode="External"/><Relationship Id="rId1138" Type="http://schemas.openxmlformats.org/officeDocument/2006/relationships/hyperlink" Target="http://pokemondb.net/type/dragon" TargetMode="External"/><Relationship Id="rId147" Type="http://schemas.openxmlformats.org/officeDocument/2006/relationships/hyperlink" Target="http://pokemondb.net/move/clamp" TargetMode="External"/><Relationship Id="rId354" Type="http://schemas.openxmlformats.org/officeDocument/2006/relationships/hyperlink" Target="http://pokemondb.net/type/fire" TargetMode="External"/><Relationship Id="rId799" Type="http://schemas.openxmlformats.org/officeDocument/2006/relationships/hyperlink" Target="http://pokemondb.net/move/punishment" TargetMode="External"/><Relationship Id="rId1191" Type="http://schemas.openxmlformats.org/officeDocument/2006/relationships/hyperlink" Target="http://pokemondb.net/move/wish" TargetMode="External"/><Relationship Id="rId1205" Type="http://schemas.openxmlformats.org/officeDocument/2006/relationships/hyperlink" Target="http://pokemondb.net/move/wring-out" TargetMode="External"/><Relationship Id="rId51" Type="http://schemas.openxmlformats.org/officeDocument/2006/relationships/hyperlink" Target="http://pokemondb.net/move/attract" TargetMode="External"/><Relationship Id="rId561" Type="http://schemas.openxmlformats.org/officeDocument/2006/relationships/hyperlink" Target="http://pokemondb.net/move/kings-shield" TargetMode="External"/><Relationship Id="rId659" Type="http://schemas.openxmlformats.org/officeDocument/2006/relationships/hyperlink" Target="http://pokemondb.net/move/mirror-move" TargetMode="External"/><Relationship Id="rId866" Type="http://schemas.openxmlformats.org/officeDocument/2006/relationships/hyperlink" Target="http://pokemondb.net/type/rock" TargetMode="External"/><Relationship Id="rId214" Type="http://schemas.openxmlformats.org/officeDocument/2006/relationships/hyperlink" Target="http://pokemondb.net/type/fighting" TargetMode="External"/><Relationship Id="rId298" Type="http://schemas.openxmlformats.org/officeDocument/2006/relationships/hyperlink" Target="http://pokemondb.net/type/grass" TargetMode="External"/><Relationship Id="rId421" Type="http://schemas.openxmlformats.org/officeDocument/2006/relationships/hyperlink" Target="http://pokemondb.net/move/glare" TargetMode="External"/><Relationship Id="rId519" Type="http://schemas.openxmlformats.org/officeDocument/2006/relationships/hyperlink" Target="http://pokemondb.net/move/ice-beam" TargetMode="External"/><Relationship Id="rId1051" Type="http://schemas.openxmlformats.org/officeDocument/2006/relationships/hyperlink" Target="http://pokemondb.net/move/supersonic" TargetMode="External"/><Relationship Id="rId1149" Type="http://schemas.openxmlformats.org/officeDocument/2006/relationships/hyperlink" Target="http://pokemondb.net/move/venoshock" TargetMode="External"/><Relationship Id="rId158" Type="http://schemas.openxmlformats.org/officeDocument/2006/relationships/hyperlink" Target="http://pokemondb.net/type/normal" TargetMode="External"/><Relationship Id="rId726" Type="http://schemas.openxmlformats.org/officeDocument/2006/relationships/hyperlink" Target="http://pokemondb.net/type/normal" TargetMode="External"/><Relationship Id="rId933" Type="http://schemas.openxmlformats.org/officeDocument/2006/relationships/hyperlink" Target="http://pokemondb.net/move/signal-beam" TargetMode="External"/><Relationship Id="rId1009" Type="http://schemas.openxmlformats.org/officeDocument/2006/relationships/hyperlink" Target="http://pokemondb.net/move/spore" TargetMode="External"/><Relationship Id="rId62" Type="http://schemas.openxmlformats.org/officeDocument/2006/relationships/hyperlink" Target="http://pokemondb.net/type/fairy" TargetMode="External"/><Relationship Id="rId365" Type="http://schemas.openxmlformats.org/officeDocument/2006/relationships/hyperlink" Target="http://pokemondb.net/move/flower-shield" TargetMode="External"/><Relationship Id="rId572" Type="http://schemas.openxmlformats.org/officeDocument/2006/relationships/hyperlink" Target="http://pokemondb.net/type/grass" TargetMode="External"/><Relationship Id="rId225" Type="http://schemas.openxmlformats.org/officeDocument/2006/relationships/hyperlink" Target="http://pokemondb.net/move/dizzy-punch" TargetMode="External"/><Relationship Id="rId432" Type="http://schemas.openxmlformats.org/officeDocument/2006/relationships/hyperlink" Target="http://pokemondb.net/type/psychic" TargetMode="External"/><Relationship Id="rId877" Type="http://schemas.openxmlformats.org/officeDocument/2006/relationships/hyperlink" Target="http://pokemondb.net/move/round" TargetMode="External"/><Relationship Id="rId1062" Type="http://schemas.openxmlformats.org/officeDocument/2006/relationships/hyperlink" Target="http://pokemondb.net/type/normal" TargetMode="External"/><Relationship Id="rId737" Type="http://schemas.openxmlformats.org/officeDocument/2006/relationships/hyperlink" Target="http://pokemondb.net/move/phantom-force" TargetMode="External"/><Relationship Id="rId944" Type="http://schemas.openxmlformats.org/officeDocument/2006/relationships/hyperlink" Target="http://pokemondb.net/type/psychic" TargetMode="External"/><Relationship Id="rId73" Type="http://schemas.openxmlformats.org/officeDocument/2006/relationships/hyperlink" Target="http://pokemondb.net/move/belly-drum" TargetMode="External"/><Relationship Id="rId169" Type="http://schemas.openxmlformats.org/officeDocument/2006/relationships/hyperlink" Target="http://pokemondb.net/move/copycat" TargetMode="External"/><Relationship Id="rId376" Type="http://schemas.openxmlformats.org/officeDocument/2006/relationships/hyperlink" Target="http://pokemondb.net/type/fighting" TargetMode="External"/><Relationship Id="rId583" Type="http://schemas.openxmlformats.org/officeDocument/2006/relationships/hyperlink" Target="http://pokemondb.net/move/lick" TargetMode="External"/><Relationship Id="rId790" Type="http://schemas.openxmlformats.org/officeDocument/2006/relationships/hyperlink" Target="http://pokemondb.net/type/psychic" TargetMode="External"/><Relationship Id="rId804" Type="http://schemas.openxmlformats.org/officeDocument/2006/relationships/hyperlink" Target="http://pokemondb.net/type/dark" TargetMode="External"/><Relationship Id="rId4" Type="http://schemas.openxmlformats.org/officeDocument/2006/relationships/hyperlink" Target="http://pokemondb.net/type/poison" TargetMode="External"/><Relationship Id="rId236" Type="http://schemas.openxmlformats.org/officeDocument/2006/relationships/hyperlink" Target="http://pokemondb.net/type/normal" TargetMode="External"/><Relationship Id="rId443" Type="http://schemas.openxmlformats.org/officeDocument/2006/relationships/hyperlink" Target="http://pokemondb.net/move/guillotine" TargetMode="External"/><Relationship Id="rId650" Type="http://schemas.openxmlformats.org/officeDocument/2006/relationships/hyperlink" Target="http://pokemondb.net/type/normal" TargetMode="External"/><Relationship Id="rId888" Type="http://schemas.openxmlformats.org/officeDocument/2006/relationships/hyperlink" Target="http://pokemondb.net/type/ground" TargetMode="External"/><Relationship Id="rId1073" Type="http://schemas.openxmlformats.org/officeDocument/2006/relationships/hyperlink" Target="http://pokemondb.net/move/tackle" TargetMode="External"/><Relationship Id="rId303" Type="http://schemas.openxmlformats.org/officeDocument/2006/relationships/hyperlink" Target="http://pokemondb.net/move/explosion" TargetMode="External"/><Relationship Id="rId748" Type="http://schemas.openxmlformats.org/officeDocument/2006/relationships/hyperlink" Target="http://pokemondb.net/type/poison" TargetMode="External"/><Relationship Id="rId955" Type="http://schemas.openxmlformats.org/officeDocument/2006/relationships/hyperlink" Target="http://pokemondb.net/move/slam" TargetMode="External"/><Relationship Id="rId1140" Type="http://schemas.openxmlformats.org/officeDocument/2006/relationships/hyperlink" Target="http://pokemondb.net/type/bug" TargetMode="External"/><Relationship Id="rId84" Type="http://schemas.openxmlformats.org/officeDocument/2006/relationships/hyperlink" Target="http://pokemondb.net/type/fire" TargetMode="External"/><Relationship Id="rId387" Type="http://schemas.openxmlformats.org/officeDocument/2006/relationships/hyperlink" Target="http://pokemondb.net/move/freeze-shock" TargetMode="External"/><Relationship Id="rId510" Type="http://schemas.openxmlformats.org/officeDocument/2006/relationships/hyperlink" Target="http://pokemondb.net/type/normal" TargetMode="External"/><Relationship Id="rId594" Type="http://schemas.openxmlformats.org/officeDocument/2006/relationships/hyperlink" Target="http://pokemondb.net/type/fighting" TargetMode="External"/><Relationship Id="rId608" Type="http://schemas.openxmlformats.org/officeDocument/2006/relationships/hyperlink" Target="http://pokemondb.net/type/grass" TargetMode="External"/><Relationship Id="rId815" Type="http://schemas.openxmlformats.org/officeDocument/2006/relationships/hyperlink" Target="http://pokemondb.net/move/rain-dance" TargetMode="External"/><Relationship Id="rId247" Type="http://schemas.openxmlformats.org/officeDocument/2006/relationships/hyperlink" Target="http://pokemondb.net/move/dragon-rage" TargetMode="External"/><Relationship Id="rId899" Type="http://schemas.openxmlformats.org/officeDocument/2006/relationships/hyperlink" Target="http://pokemondb.net/move/searing-shot" TargetMode="External"/><Relationship Id="rId1000" Type="http://schemas.openxmlformats.org/officeDocument/2006/relationships/hyperlink" Target="http://pokemondb.net/type/ground" TargetMode="External"/><Relationship Id="rId1084" Type="http://schemas.openxmlformats.org/officeDocument/2006/relationships/hyperlink" Target="http://pokemondb.net/type/normal" TargetMode="External"/><Relationship Id="rId107" Type="http://schemas.openxmlformats.org/officeDocument/2006/relationships/hyperlink" Target="http://pokemondb.net/move/brave-bird" TargetMode="External"/><Relationship Id="rId454" Type="http://schemas.openxmlformats.org/officeDocument/2006/relationships/hyperlink" Target="http://pokemondb.net/type/fighting" TargetMode="External"/><Relationship Id="rId661" Type="http://schemas.openxmlformats.org/officeDocument/2006/relationships/hyperlink" Target="http://pokemondb.net/move/mirror-shot" TargetMode="External"/><Relationship Id="rId759" Type="http://schemas.openxmlformats.org/officeDocument/2006/relationships/hyperlink" Target="http://pokemondb.net/move/pound" TargetMode="External"/><Relationship Id="rId966" Type="http://schemas.openxmlformats.org/officeDocument/2006/relationships/hyperlink" Target="http://pokemondb.net/type/poison" TargetMode="External"/><Relationship Id="rId11" Type="http://schemas.openxmlformats.org/officeDocument/2006/relationships/hyperlink" Target="http://pokemondb.net/move/acupressure" TargetMode="External"/><Relationship Id="rId314" Type="http://schemas.openxmlformats.org/officeDocument/2006/relationships/hyperlink" Target="http://pokemondb.net/type/fairy" TargetMode="External"/><Relationship Id="rId398" Type="http://schemas.openxmlformats.org/officeDocument/2006/relationships/hyperlink" Target="http://pokemondb.net/type/normal" TargetMode="External"/><Relationship Id="rId521" Type="http://schemas.openxmlformats.org/officeDocument/2006/relationships/hyperlink" Target="http://pokemondb.net/move/ice-burn" TargetMode="External"/><Relationship Id="rId619" Type="http://schemas.openxmlformats.org/officeDocument/2006/relationships/hyperlink" Target="http://pokemondb.net/move/mat-block" TargetMode="External"/><Relationship Id="rId1151" Type="http://schemas.openxmlformats.org/officeDocument/2006/relationships/hyperlink" Target="http://pokemondb.net/move/vicegrip" TargetMode="External"/><Relationship Id="rId95" Type="http://schemas.openxmlformats.org/officeDocument/2006/relationships/hyperlink" Target="http://pokemondb.net/move/bolt-strike" TargetMode="External"/><Relationship Id="rId160" Type="http://schemas.openxmlformats.org/officeDocument/2006/relationships/hyperlink" Target="http://pokemondb.net/type/ghost" TargetMode="External"/><Relationship Id="rId826" Type="http://schemas.openxmlformats.org/officeDocument/2006/relationships/hyperlink" Target="http://pokemondb.net/type/normal" TargetMode="External"/><Relationship Id="rId1011" Type="http://schemas.openxmlformats.org/officeDocument/2006/relationships/hyperlink" Target="http://pokemondb.net/move/stealth-rock" TargetMode="External"/><Relationship Id="rId1109" Type="http://schemas.openxmlformats.org/officeDocument/2006/relationships/hyperlink" Target="http://pokemondb.net/move/thunderbolt" TargetMode="External"/><Relationship Id="rId258" Type="http://schemas.openxmlformats.org/officeDocument/2006/relationships/hyperlink" Target="http://pokemondb.net/type/fairy" TargetMode="External"/><Relationship Id="rId465" Type="http://schemas.openxmlformats.org/officeDocument/2006/relationships/hyperlink" Target="http://pokemondb.net/move/heal-bell" TargetMode="External"/><Relationship Id="rId672" Type="http://schemas.openxmlformats.org/officeDocument/2006/relationships/hyperlink" Target="http://pokemondb.net/type/fairy" TargetMode="External"/><Relationship Id="rId1095" Type="http://schemas.openxmlformats.org/officeDocument/2006/relationships/hyperlink" Target="http://pokemondb.net/move/thief" TargetMode="External"/><Relationship Id="rId22" Type="http://schemas.openxmlformats.org/officeDocument/2006/relationships/hyperlink" Target="http://pokemondb.net/type/flying" TargetMode="External"/><Relationship Id="rId118" Type="http://schemas.openxmlformats.org/officeDocument/2006/relationships/hyperlink" Target="http://pokemondb.net/type/bug" TargetMode="External"/><Relationship Id="rId325" Type="http://schemas.openxmlformats.org/officeDocument/2006/relationships/hyperlink" Target="http://pokemondb.net/move/feint" TargetMode="External"/><Relationship Id="rId532" Type="http://schemas.openxmlformats.org/officeDocument/2006/relationships/hyperlink" Target="http://pokemondb.net/type/ice" TargetMode="External"/><Relationship Id="rId977" Type="http://schemas.openxmlformats.org/officeDocument/2006/relationships/hyperlink" Target="http://pokemondb.net/move/snarl" TargetMode="External"/><Relationship Id="rId1162" Type="http://schemas.openxmlformats.org/officeDocument/2006/relationships/hyperlink" Target="http://pokemondb.net/type/fighting" TargetMode="External"/><Relationship Id="rId171" Type="http://schemas.openxmlformats.org/officeDocument/2006/relationships/hyperlink" Target="http://pokemondb.net/move/cosmic-power" TargetMode="External"/><Relationship Id="rId837" Type="http://schemas.openxmlformats.org/officeDocument/2006/relationships/hyperlink" Target="http://pokemondb.net/move/rest" TargetMode="External"/><Relationship Id="rId1022" Type="http://schemas.openxmlformats.org/officeDocument/2006/relationships/hyperlink" Target="http://pokemondb.net/type/normal" TargetMode="External"/><Relationship Id="rId269" Type="http://schemas.openxmlformats.org/officeDocument/2006/relationships/hyperlink" Target="http://pokemondb.net/move/earth-power" TargetMode="External"/><Relationship Id="rId476" Type="http://schemas.openxmlformats.org/officeDocument/2006/relationships/hyperlink" Target="http://pokemondb.net/type/psychic" TargetMode="External"/><Relationship Id="rId683" Type="http://schemas.openxmlformats.org/officeDocument/2006/relationships/hyperlink" Target="http://pokemondb.net/move/muddy-water" TargetMode="External"/><Relationship Id="rId890" Type="http://schemas.openxmlformats.org/officeDocument/2006/relationships/hyperlink" Target="http://pokemondb.net/type/rock" TargetMode="External"/><Relationship Id="rId904" Type="http://schemas.openxmlformats.org/officeDocument/2006/relationships/hyperlink" Target="http://pokemondb.net/type/fighting" TargetMode="External"/><Relationship Id="rId33" Type="http://schemas.openxmlformats.org/officeDocument/2006/relationships/hyperlink" Target="http://pokemondb.net/move/aqua-ring" TargetMode="External"/><Relationship Id="rId129" Type="http://schemas.openxmlformats.org/officeDocument/2006/relationships/hyperlink" Target="http://pokemondb.net/move/calm-mind" TargetMode="External"/><Relationship Id="rId336" Type="http://schemas.openxmlformats.org/officeDocument/2006/relationships/hyperlink" Target="http://pokemondb.net/type/fire" TargetMode="External"/><Relationship Id="rId543" Type="http://schemas.openxmlformats.org/officeDocument/2006/relationships/hyperlink" Target="http://pokemondb.net/move/ingrain" TargetMode="External"/><Relationship Id="rId988" Type="http://schemas.openxmlformats.org/officeDocument/2006/relationships/hyperlink" Target="http://pokemondb.net/type/grass" TargetMode="External"/><Relationship Id="rId1173" Type="http://schemas.openxmlformats.org/officeDocument/2006/relationships/hyperlink" Target="http://pokemondb.net/move/water-spout" TargetMode="External"/><Relationship Id="rId182" Type="http://schemas.openxmlformats.org/officeDocument/2006/relationships/hyperlink" Target="http://pokemondb.net/type/water" TargetMode="External"/><Relationship Id="rId403" Type="http://schemas.openxmlformats.org/officeDocument/2006/relationships/hyperlink" Target="http://pokemondb.net/move/fusion-bolt" TargetMode="External"/><Relationship Id="rId750" Type="http://schemas.openxmlformats.org/officeDocument/2006/relationships/hyperlink" Target="http://pokemondb.net/type/poison" TargetMode="External"/><Relationship Id="rId848" Type="http://schemas.openxmlformats.org/officeDocument/2006/relationships/hyperlink" Target="http://pokemondb.net/type/normal" TargetMode="External"/><Relationship Id="rId1033" Type="http://schemas.openxmlformats.org/officeDocument/2006/relationships/hyperlink" Target="http://pokemondb.net/move/struggle" TargetMode="External"/><Relationship Id="rId487" Type="http://schemas.openxmlformats.org/officeDocument/2006/relationships/hyperlink" Target="http://pokemondb.net/move/hex" TargetMode="External"/><Relationship Id="rId610" Type="http://schemas.openxmlformats.org/officeDocument/2006/relationships/hyperlink" Target="http://pokemondb.net/type/fire" TargetMode="External"/><Relationship Id="rId694" Type="http://schemas.openxmlformats.org/officeDocument/2006/relationships/hyperlink" Target="http://pokemondb.net/type/grass" TargetMode="External"/><Relationship Id="rId708" Type="http://schemas.openxmlformats.org/officeDocument/2006/relationships/hyperlink" Target="http://pokemondb.net/type/flying" TargetMode="External"/><Relationship Id="rId915" Type="http://schemas.openxmlformats.org/officeDocument/2006/relationships/hyperlink" Target="http://pokemondb.net/move/shadow-claw" TargetMode="External"/><Relationship Id="rId347" Type="http://schemas.openxmlformats.org/officeDocument/2006/relationships/hyperlink" Target="http://pokemondb.net/move/flame-burst" TargetMode="External"/><Relationship Id="rId999" Type="http://schemas.openxmlformats.org/officeDocument/2006/relationships/hyperlink" Target="http://pokemondb.net/move/spikes" TargetMode="External"/><Relationship Id="rId1100" Type="http://schemas.openxmlformats.org/officeDocument/2006/relationships/hyperlink" Target="http://pokemondb.net/type/electric" TargetMode="External"/><Relationship Id="rId1184" Type="http://schemas.openxmlformats.org/officeDocument/2006/relationships/hyperlink" Target="http://pokemondb.net/type/rock" TargetMode="External"/><Relationship Id="rId44" Type="http://schemas.openxmlformats.org/officeDocument/2006/relationships/hyperlink" Target="http://pokemondb.net/type/normal" TargetMode="External"/><Relationship Id="rId554" Type="http://schemas.openxmlformats.org/officeDocument/2006/relationships/hyperlink" Target="http://pokemondb.net/type/normal" TargetMode="External"/><Relationship Id="rId761" Type="http://schemas.openxmlformats.org/officeDocument/2006/relationships/hyperlink" Target="http://pokemondb.net/move/powder" TargetMode="External"/><Relationship Id="rId859" Type="http://schemas.openxmlformats.org/officeDocument/2006/relationships/hyperlink" Target="http://pokemondb.net/move/rock-smash" TargetMode="External"/><Relationship Id="rId193" Type="http://schemas.openxmlformats.org/officeDocument/2006/relationships/hyperlink" Target="http://pokemondb.net/move/crush-grip" TargetMode="External"/><Relationship Id="rId207" Type="http://schemas.openxmlformats.org/officeDocument/2006/relationships/hyperlink" Target="http://pokemondb.net/move/defense-curl" TargetMode="External"/><Relationship Id="rId414" Type="http://schemas.openxmlformats.org/officeDocument/2006/relationships/hyperlink" Target="http://pokemondb.net/type/fairy" TargetMode="External"/><Relationship Id="rId498" Type="http://schemas.openxmlformats.org/officeDocument/2006/relationships/hyperlink" Target="http://pokemondb.net/type/normal" TargetMode="External"/><Relationship Id="rId621" Type="http://schemas.openxmlformats.org/officeDocument/2006/relationships/hyperlink" Target="http://pokemondb.net/move/me-first" TargetMode="External"/><Relationship Id="rId1044" Type="http://schemas.openxmlformats.org/officeDocument/2006/relationships/hyperlink" Target="http://pokemondb.net/type/dark" TargetMode="External"/><Relationship Id="rId260" Type="http://schemas.openxmlformats.org/officeDocument/2006/relationships/hyperlink" Target="http://pokemondb.net/type/psychic" TargetMode="External"/><Relationship Id="rId719" Type="http://schemas.openxmlformats.org/officeDocument/2006/relationships/hyperlink" Target="http://pokemondb.net/move/pain-split" TargetMode="External"/><Relationship Id="rId926" Type="http://schemas.openxmlformats.org/officeDocument/2006/relationships/hyperlink" Target="http://pokemondb.net/type/ice" TargetMode="External"/><Relationship Id="rId1111" Type="http://schemas.openxmlformats.org/officeDocument/2006/relationships/hyperlink" Target="http://pokemondb.net/move/tickle" TargetMode="External"/><Relationship Id="rId55" Type="http://schemas.openxmlformats.org/officeDocument/2006/relationships/hyperlink" Target="http://pokemondb.net/move/aurora-beam" TargetMode="External"/><Relationship Id="rId120" Type="http://schemas.openxmlformats.org/officeDocument/2006/relationships/hyperlink" Target="http://pokemondb.net/type/bug" TargetMode="External"/><Relationship Id="rId358" Type="http://schemas.openxmlformats.org/officeDocument/2006/relationships/hyperlink" Target="http://pokemondb.net/type/normal" TargetMode="External"/><Relationship Id="rId565" Type="http://schemas.openxmlformats.org/officeDocument/2006/relationships/hyperlink" Target="http://pokemondb.net/move/lands-wrath" TargetMode="External"/><Relationship Id="rId772" Type="http://schemas.openxmlformats.org/officeDocument/2006/relationships/hyperlink" Target="http://pokemondb.net/type/psychic" TargetMode="External"/><Relationship Id="rId1195" Type="http://schemas.openxmlformats.org/officeDocument/2006/relationships/hyperlink" Target="http://pokemondb.net/move/wonder-room" TargetMode="External"/><Relationship Id="rId1209" Type="http://schemas.openxmlformats.org/officeDocument/2006/relationships/hyperlink" Target="http://pokemondb.net/move/yawn" TargetMode="External"/><Relationship Id="rId218" Type="http://schemas.openxmlformats.org/officeDocument/2006/relationships/hyperlink" Target="http://pokemondb.net/type/normal" TargetMode="External"/><Relationship Id="rId425" Type="http://schemas.openxmlformats.org/officeDocument/2006/relationships/hyperlink" Target="http://pokemondb.net/move/grass-pledge" TargetMode="External"/><Relationship Id="rId632" Type="http://schemas.openxmlformats.org/officeDocument/2006/relationships/hyperlink" Target="http://pokemondb.net/type/normal" TargetMode="External"/><Relationship Id="rId1055" Type="http://schemas.openxmlformats.org/officeDocument/2006/relationships/hyperlink" Target="http://pokemondb.net/move/swagger" TargetMode="External"/><Relationship Id="rId271" Type="http://schemas.openxmlformats.org/officeDocument/2006/relationships/hyperlink" Target="http://pokemondb.net/move/earthquake" TargetMode="External"/><Relationship Id="rId937" Type="http://schemas.openxmlformats.org/officeDocument/2006/relationships/hyperlink" Target="http://pokemondb.net/move/simple-beam" TargetMode="External"/><Relationship Id="rId1122" Type="http://schemas.openxmlformats.org/officeDocument/2006/relationships/hyperlink" Target="http://pokemondb.net/type/normal" TargetMode="External"/><Relationship Id="rId66" Type="http://schemas.openxmlformats.org/officeDocument/2006/relationships/hyperlink" Target="http://pokemondb.net/type/psychic" TargetMode="External"/><Relationship Id="rId131" Type="http://schemas.openxmlformats.org/officeDocument/2006/relationships/hyperlink" Target="http://pokemondb.net/move/camouflage" TargetMode="External"/><Relationship Id="rId369" Type="http://schemas.openxmlformats.org/officeDocument/2006/relationships/hyperlink" Target="http://pokemondb.net/move/flying-press" TargetMode="External"/><Relationship Id="rId576" Type="http://schemas.openxmlformats.org/officeDocument/2006/relationships/hyperlink" Target="http://pokemondb.net/type/grass" TargetMode="External"/><Relationship Id="rId783" Type="http://schemas.openxmlformats.org/officeDocument/2006/relationships/hyperlink" Target="http://pokemondb.net/move/psych-up" TargetMode="External"/><Relationship Id="rId990" Type="http://schemas.openxmlformats.org/officeDocument/2006/relationships/hyperlink" Target="http://pokemondb.net/type/normal" TargetMode="External"/><Relationship Id="rId229" Type="http://schemas.openxmlformats.org/officeDocument/2006/relationships/hyperlink" Target="http://pokemondb.net/move/double-hit" TargetMode="External"/><Relationship Id="rId436" Type="http://schemas.openxmlformats.org/officeDocument/2006/relationships/hyperlink" Target="http://pokemondb.net/type/normal" TargetMode="External"/><Relationship Id="rId643" Type="http://schemas.openxmlformats.org/officeDocument/2006/relationships/hyperlink" Target="http://pokemondb.net/move/meteor-mash" TargetMode="External"/><Relationship Id="rId1066" Type="http://schemas.openxmlformats.org/officeDocument/2006/relationships/hyperlink" Target="http://pokemondb.net/type/dark" TargetMode="External"/><Relationship Id="rId850" Type="http://schemas.openxmlformats.org/officeDocument/2006/relationships/hyperlink" Target="http://pokemondb.net/type/dragon" TargetMode="External"/><Relationship Id="rId948" Type="http://schemas.openxmlformats.org/officeDocument/2006/relationships/hyperlink" Target="http://pokemondb.net/type/flying" TargetMode="External"/><Relationship Id="rId1133" Type="http://schemas.openxmlformats.org/officeDocument/2006/relationships/hyperlink" Target="http://pokemondb.net/move/trump-card" TargetMode="External"/><Relationship Id="rId77" Type="http://schemas.openxmlformats.org/officeDocument/2006/relationships/hyperlink" Target="http://pokemondb.net/move/bide" TargetMode="External"/><Relationship Id="rId282" Type="http://schemas.openxmlformats.org/officeDocument/2006/relationships/hyperlink" Target="http://pokemondb.net/type/electric" TargetMode="External"/><Relationship Id="rId503" Type="http://schemas.openxmlformats.org/officeDocument/2006/relationships/hyperlink" Target="http://pokemondb.net/move/hurricane" TargetMode="External"/><Relationship Id="rId587" Type="http://schemas.openxmlformats.org/officeDocument/2006/relationships/hyperlink" Target="http://pokemondb.net/move/lock-on" TargetMode="External"/><Relationship Id="rId710" Type="http://schemas.openxmlformats.org/officeDocument/2006/relationships/hyperlink" Target="http://pokemondb.net/type/water" TargetMode="External"/><Relationship Id="rId808" Type="http://schemas.openxmlformats.org/officeDocument/2006/relationships/hyperlink" Target="http://pokemondb.net/type/fighting" TargetMode="External"/><Relationship Id="rId8" Type="http://schemas.openxmlformats.org/officeDocument/2006/relationships/hyperlink" Target="http://pokemondb.net/type/poison" TargetMode="External"/><Relationship Id="rId142" Type="http://schemas.openxmlformats.org/officeDocument/2006/relationships/hyperlink" Target="http://pokemondb.net/type/flying" TargetMode="External"/><Relationship Id="rId447" Type="http://schemas.openxmlformats.org/officeDocument/2006/relationships/hyperlink" Target="http://pokemondb.net/move/gust" TargetMode="External"/><Relationship Id="rId794" Type="http://schemas.openxmlformats.org/officeDocument/2006/relationships/hyperlink" Target="http://pokemondb.net/type/psychic" TargetMode="External"/><Relationship Id="rId1077" Type="http://schemas.openxmlformats.org/officeDocument/2006/relationships/hyperlink" Target="http://pokemondb.net/move/tail-slap" TargetMode="External"/><Relationship Id="rId1200" Type="http://schemas.openxmlformats.org/officeDocument/2006/relationships/hyperlink" Target="http://pokemondb.net/type/normal" TargetMode="External"/><Relationship Id="rId654" Type="http://schemas.openxmlformats.org/officeDocument/2006/relationships/hyperlink" Target="http://pokemondb.net/type/normal" TargetMode="External"/><Relationship Id="rId861" Type="http://schemas.openxmlformats.org/officeDocument/2006/relationships/hyperlink" Target="http://pokemondb.net/move/rock-throw" TargetMode="External"/><Relationship Id="rId959" Type="http://schemas.openxmlformats.org/officeDocument/2006/relationships/hyperlink" Target="http://pokemondb.net/move/sleep-powder" TargetMode="External"/><Relationship Id="rId293" Type="http://schemas.openxmlformats.org/officeDocument/2006/relationships/hyperlink" Target="http://pokemondb.net/move/endeavor" TargetMode="External"/><Relationship Id="rId307" Type="http://schemas.openxmlformats.org/officeDocument/2006/relationships/hyperlink" Target="http://pokemondb.net/move/extremespeed" TargetMode="External"/><Relationship Id="rId514" Type="http://schemas.openxmlformats.org/officeDocument/2006/relationships/hyperlink" Target="http://pokemondb.net/type/normal" TargetMode="External"/><Relationship Id="rId721" Type="http://schemas.openxmlformats.org/officeDocument/2006/relationships/hyperlink" Target="http://pokemondb.net/move/parabolic-charge" TargetMode="External"/><Relationship Id="rId1144" Type="http://schemas.openxmlformats.org/officeDocument/2006/relationships/hyperlink" Target="http://pokemondb.net/type/fire" TargetMode="External"/><Relationship Id="rId88" Type="http://schemas.openxmlformats.org/officeDocument/2006/relationships/hyperlink" Target="http://pokemondb.net/type/ice" TargetMode="External"/><Relationship Id="rId153" Type="http://schemas.openxmlformats.org/officeDocument/2006/relationships/hyperlink" Target="http://pokemondb.net/move/coil" TargetMode="External"/><Relationship Id="rId360" Type="http://schemas.openxmlformats.org/officeDocument/2006/relationships/hyperlink" Target="http://pokemondb.net/type/steel" TargetMode="External"/><Relationship Id="rId598" Type="http://schemas.openxmlformats.org/officeDocument/2006/relationships/hyperlink" Target="http://pokemondb.net/type/psychic" TargetMode="External"/><Relationship Id="rId819" Type="http://schemas.openxmlformats.org/officeDocument/2006/relationships/hyperlink" Target="http://pokemondb.net/move/razor-leaf" TargetMode="External"/><Relationship Id="rId1004" Type="http://schemas.openxmlformats.org/officeDocument/2006/relationships/hyperlink" Target="http://pokemondb.net/type/normal" TargetMode="External"/><Relationship Id="rId1211" Type="http://schemas.openxmlformats.org/officeDocument/2006/relationships/hyperlink" Target="http://pokemondb.net/move/zap-cannon" TargetMode="External"/><Relationship Id="rId220" Type="http://schemas.openxmlformats.org/officeDocument/2006/relationships/hyperlink" Target="http://pokemondb.net/type/fairy" TargetMode="External"/><Relationship Id="rId458" Type="http://schemas.openxmlformats.org/officeDocument/2006/relationships/hyperlink" Target="http://pokemondb.net/type/ice" TargetMode="External"/><Relationship Id="rId665" Type="http://schemas.openxmlformats.org/officeDocument/2006/relationships/hyperlink" Target="http://pokemondb.net/move/mist-ball" TargetMode="External"/><Relationship Id="rId872" Type="http://schemas.openxmlformats.org/officeDocument/2006/relationships/hyperlink" Target="http://pokemondb.net/type/rock" TargetMode="External"/><Relationship Id="rId1088" Type="http://schemas.openxmlformats.org/officeDocument/2006/relationships/hyperlink" Target="http://pokemondb.net/type/normal" TargetMode="External"/><Relationship Id="rId15" Type="http://schemas.openxmlformats.org/officeDocument/2006/relationships/hyperlink" Target="http://pokemondb.net/move/aeroblast" TargetMode="External"/><Relationship Id="rId318" Type="http://schemas.openxmlformats.org/officeDocument/2006/relationships/hyperlink" Target="http://pokemondb.net/type/normal" TargetMode="External"/><Relationship Id="rId525" Type="http://schemas.openxmlformats.org/officeDocument/2006/relationships/hyperlink" Target="http://pokemondb.net/move/ice-punch" TargetMode="External"/><Relationship Id="rId732" Type="http://schemas.openxmlformats.org/officeDocument/2006/relationships/hyperlink" Target="http://pokemondb.net/type/normal" TargetMode="External"/><Relationship Id="rId1155" Type="http://schemas.openxmlformats.org/officeDocument/2006/relationships/hyperlink" Target="http://pokemondb.net/move/vital-throw" TargetMode="External"/><Relationship Id="rId99" Type="http://schemas.openxmlformats.org/officeDocument/2006/relationships/hyperlink" Target="http://pokemondb.net/move/bone-rush" TargetMode="External"/><Relationship Id="rId164" Type="http://schemas.openxmlformats.org/officeDocument/2006/relationships/hyperlink" Target="http://pokemondb.net/type/normal" TargetMode="External"/><Relationship Id="rId371" Type="http://schemas.openxmlformats.org/officeDocument/2006/relationships/hyperlink" Target="http://pokemondb.net/move/focus-blast" TargetMode="External"/><Relationship Id="rId1015" Type="http://schemas.openxmlformats.org/officeDocument/2006/relationships/hyperlink" Target="http://pokemondb.net/move/steel-wing" TargetMode="External"/><Relationship Id="rId469" Type="http://schemas.openxmlformats.org/officeDocument/2006/relationships/hyperlink" Target="http://pokemondb.net/move/heal-order" TargetMode="External"/><Relationship Id="rId676" Type="http://schemas.openxmlformats.org/officeDocument/2006/relationships/hyperlink" Target="http://pokemondb.net/type/ground" TargetMode="External"/><Relationship Id="rId883" Type="http://schemas.openxmlformats.org/officeDocument/2006/relationships/hyperlink" Target="http://pokemondb.net/move/safeguard" TargetMode="External"/><Relationship Id="rId1099" Type="http://schemas.openxmlformats.org/officeDocument/2006/relationships/hyperlink" Target="http://pokemondb.net/move/thunder" TargetMode="External"/><Relationship Id="rId26" Type="http://schemas.openxmlformats.org/officeDocument/2006/relationships/hyperlink" Target="http://pokemondb.net/type/psychic" TargetMode="External"/><Relationship Id="rId231" Type="http://schemas.openxmlformats.org/officeDocument/2006/relationships/hyperlink" Target="http://pokemondb.net/move/double-kick" TargetMode="External"/><Relationship Id="rId329" Type="http://schemas.openxmlformats.org/officeDocument/2006/relationships/hyperlink" Target="http://pokemondb.net/move/fiery-dance" TargetMode="External"/><Relationship Id="rId536" Type="http://schemas.openxmlformats.org/officeDocument/2006/relationships/hyperlink" Target="http://pokemondb.net/type/psychic" TargetMode="External"/><Relationship Id="rId1166" Type="http://schemas.openxmlformats.org/officeDocument/2006/relationships/hyperlink" Target="http://pokemondb.net/type/water" TargetMode="External"/><Relationship Id="rId175" Type="http://schemas.openxmlformats.org/officeDocument/2006/relationships/hyperlink" Target="http://pokemondb.net/move/cotton-spore" TargetMode="External"/><Relationship Id="rId743" Type="http://schemas.openxmlformats.org/officeDocument/2006/relationships/hyperlink" Target="http://pokemondb.net/move/play-rough" TargetMode="External"/><Relationship Id="rId950" Type="http://schemas.openxmlformats.org/officeDocument/2006/relationships/hyperlink" Target="http://pokemondb.net/type/flying" TargetMode="External"/><Relationship Id="rId1026" Type="http://schemas.openxmlformats.org/officeDocument/2006/relationships/hyperlink" Target="http://pokemondb.net/type/psychic" TargetMode="External"/><Relationship Id="rId382" Type="http://schemas.openxmlformats.org/officeDocument/2006/relationships/hyperlink" Target="http://pokemondb.net/type/normal" TargetMode="External"/><Relationship Id="rId603" Type="http://schemas.openxmlformats.org/officeDocument/2006/relationships/hyperlink" Target="http://pokemondb.net/move/magic-coat" TargetMode="External"/><Relationship Id="rId687" Type="http://schemas.openxmlformats.org/officeDocument/2006/relationships/hyperlink" Target="http://pokemondb.net/move/nasty-plot" TargetMode="External"/><Relationship Id="rId810" Type="http://schemas.openxmlformats.org/officeDocument/2006/relationships/hyperlink" Target="http://pokemondb.net/type/bug" TargetMode="External"/><Relationship Id="rId908" Type="http://schemas.openxmlformats.org/officeDocument/2006/relationships/hyperlink" Target="http://pokemondb.net/type/grass" TargetMode="External"/><Relationship Id="rId242" Type="http://schemas.openxmlformats.org/officeDocument/2006/relationships/hyperlink" Target="http://pokemondb.net/type/dragon" TargetMode="External"/><Relationship Id="rId894" Type="http://schemas.openxmlformats.org/officeDocument/2006/relationships/hyperlink" Target="http://pokemondb.net/type/normal" TargetMode="External"/><Relationship Id="rId1177" Type="http://schemas.openxmlformats.org/officeDocument/2006/relationships/hyperlink" Target="http://pokemondb.net/move/weather-ball" TargetMode="External"/><Relationship Id="rId37" Type="http://schemas.openxmlformats.org/officeDocument/2006/relationships/hyperlink" Target="http://pokemondb.net/move/arm-thrust" TargetMode="External"/><Relationship Id="rId102" Type="http://schemas.openxmlformats.org/officeDocument/2006/relationships/hyperlink" Target="http://pokemondb.net/type/ground" TargetMode="External"/><Relationship Id="rId547" Type="http://schemas.openxmlformats.org/officeDocument/2006/relationships/hyperlink" Target="http://pokemondb.net/move/iron-defense" TargetMode="External"/><Relationship Id="rId754" Type="http://schemas.openxmlformats.org/officeDocument/2006/relationships/hyperlink" Target="http://pokemondb.net/type/poison" TargetMode="External"/><Relationship Id="rId961" Type="http://schemas.openxmlformats.org/officeDocument/2006/relationships/hyperlink" Target="http://pokemondb.net/move/sleep-talk" TargetMode="External"/><Relationship Id="rId90" Type="http://schemas.openxmlformats.org/officeDocument/2006/relationships/hyperlink" Target="http://pokemondb.net/type/normal" TargetMode="External"/><Relationship Id="rId186" Type="http://schemas.openxmlformats.org/officeDocument/2006/relationships/hyperlink" Target="http://pokemondb.net/type/fighting" TargetMode="External"/><Relationship Id="rId393" Type="http://schemas.openxmlformats.org/officeDocument/2006/relationships/hyperlink" Target="http://pokemondb.net/move/frost-breath" TargetMode="External"/><Relationship Id="rId407" Type="http://schemas.openxmlformats.org/officeDocument/2006/relationships/hyperlink" Target="http://pokemondb.net/move/future-sight" TargetMode="External"/><Relationship Id="rId614" Type="http://schemas.openxmlformats.org/officeDocument/2006/relationships/hyperlink" Target="http://pokemondb.net/type/electric" TargetMode="External"/><Relationship Id="rId821" Type="http://schemas.openxmlformats.org/officeDocument/2006/relationships/hyperlink" Target="http://pokemondb.net/move/razor-shell" TargetMode="External"/><Relationship Id="rId1037" Type="http://schemas.openxmlformats.org/officeDocument/2006/relationships/hyperlink" Target="http://pokemondb.net/move/stun-spore" TargetMode="External"/><Relationship Id="rId253" Type="http://schemas.openxmlformats.org/officeDocument/2006/relationships/hyperlink" Target="http://pokemondb.net/move/dragonbreath" TargetMode="External"/><Relationship Id="rId460" Type="http://schemas.openxmlformats.org/officeDocument/2006/relationships/hyperlink" Target="http://pokemondb.net/type/normal" TargetMode="External"/><Relationship Id="rId698" Type="http://schemas.openxmlformats.org/officeDocument/2006/relationships/hyperlink" Target="http://pokemondb.net/type/ghost" TargetMode="External"/><Relationship Id="rId919" Type="http://schemas.openxmlformats.org/officeDocument/2006/relationships/hyperlink" Target="http://pokemondb.net/move/shadow-punch" TargetMode="External"/><Relationship Id="rId1090" Type="http://schemas.openxmlformats.org/officeDocument/2006/relationships/hyperlink" Target="http://pokemondb.net/type/normal" TargetMode="External"/><Relationship Id="rId1104" Type="http://schemas.openxmlformats.org/officeDocument/2006/relationships/hyperlink" Target="http://pokemondb.net/type/electric" TargetMode="External"/><Relationship Id="rId48" Type="http://schemas.openxmlformats.org/officeDocument/2006/relationships/hyperlink" Target="http://pokemondb.net/type/ghost" TargetMode="External"/><Relationship Id="rId113" Type="http://schemas.openxmlformats.org/officeDocument/2006/relationships/hyperlink" Target="http://pokemondb.net/move/bubble" TargetMode="External"/><Relationship Id="rId320" Type="http://schemas.openxmlformats.org/officeDocument/2006/relationships/hyperlink" Target="http://pokemondb.net/type/dark" TargetMode="External"/><Relationship Id="rId558" Type="http://schemas.openxmlformats.org/officeDocument/2006/relationships/hyperlink" Target="http://pokemondb.net/type/fighting" TargetMode="External"/><Relationship Id="rId765" Type="http://schemas.openxmlformats.org/officeDocument/2006/relationships/hyperlink" Target="http://pokemondb.net/move/power-gem" TargetMode="External"/><Relationship Id="rId972" Type="http://schemas.openxmlformats.org/officeDocument/2006/relationships/hyperlink" Target="http://pokemondb.net/type/normal" TargetMode="External"/><Relationship Id="rId1188" Type="http://schemas.openxmlformats.org/officeDocument/2006/relationships/hyperlink" Target="http://pokemondb.net/type/fire" TargetMode="External"/><Relationship Id="rId197" Type="http://schemas.openxmlformats.org/officeDocument/2006/relationships/hyperlink" Target="http://pokemondb.net/move/cut" TargetMode="External"/><Relationship Id="rId418" Type="http://schemas.openxmlformats.org/officeDocument/2006/relationships/hyperlink" Target="http://pokemondb.net/type/normal" TargetMode="External"/><Relationship Id="rId625" Type="http://schemas.openxmlformats.org/officeDocument/2006/relationships/hyperlink" Target="http://pokemondb.net/move/meditate" TargetMode="External"/><Relationship Id="rId832" Type="http://schemas.openxmlformats.org/officeDocument/2006/relationships/hyperlink" Target="http://pokemondb.net/type/normal" TargetMode="External"/><Relationship Id="rId1048" Type="http://schemas.openxmlformats.org/officeDocument/2006/relationships/hyperlink" Target="http://pokemondb.net/type/normal" TargetMode="External"/><Relationship Id="rId264" Type="http://schemas.openxmlformats.org/officeDocument/2006/relationships/hyperlink" Target="http://pokemondb.net/type/ground" TargetMode="External"/><Relationship Id="rId471" Type="http://schemas.openxmlformats.org/officeDocument/2006/relationships/hyperlink" Target="http://pokemondb.net/move/heal-pulse" TargetMode="External"/><Relationship Id="rId1115" Type="http://schemas.openxmlformats.org/officeDocument/2006/relationships/hyperlink" Target="http://pokemondb.net/move/torment" TargetMode="External"/><Relationship Id="rId59" Type="http://schemas.openxmlformats.org/officeDocument/2006/relationships/hyperlink" Target="http://pokemondb.net/move/avalanche" TargetMode="External"/><Relationship Id="rId124" Type="http://schemas.openxmlformats.org/officeDocument/2006/relationships/hyperlink" Target="http://pokemondb.net/type/ground" TargetMode="External"/><Relationship Id="rId569" Type="http://schemas.openxmlformats.org/officeDocument/2006/relationships/hyperlink" Target="http://pokemondb.net/move/lava-plume" TargetMode="External"/><Relationship Id="rId776" Type="http://schemas.openxmlformats.org/officeDocument/2006/relationships/hyperlink" Target="http://pokemondb.net/type/fighting" TargetMode="External"/><Relationship Id="rId983" Type="http://schemas.openxmlformats.org/officeDocument/2006/relationships/hyperlink" Target="http://pokemondb.net/move/soak" TargetMode="External"/><Relationship Id="rId1199" Type="http://schemas.openxmlformats.org/officeDocument/2006/relationships/hyperlink" Target="http://pokemondb.net/move/work-up" TargetMode="External"/><Relationship Id="rId331" Type="http://schemas.openxmlformats.org/officeDocument/2006/relationships/hyperlink" Target="http://pokemondb.net/move/final-gambit" TargetMode="External"/><Relationship Id="rId429" Type="http://schemas.openxmlformats.org/officeDocument/2006/relationships/hyperlink" Target="http://pokemondb.net/move/grassy-terrain" TargetMode="External"/><Relationship Id="rId636" Type="http://schemas.openxmlformats.org/officeDocument/2006/relationships/hyperlink" Target="http://pokemondb.net/type/dark" TargetMode="External"/><Relationship Id="rId1059" Type="http://schemas.openxmlformats.org/officeDocument/2006/relationships/hyperlink" Target="http://pokemondb.net/move/sweet-kiss" TargetMode="External"/><Relationship Id="rId843" Type="http://schemas.openxmlformats.org/officeDocument/2006/relationships/hyperlink" Target="http://pokemondb.net/move/revenge" TargetMode="External"/><Relationship Id="rId1126" Type="http://schemas.openxmlformats.org/officeDocument/2006/relationships/hyperlink" Target="http://pokemondb.net/type/psychic" TargetMode="External"/><Relationship Id="rId275" Type="http://schemas.openxmlformats.org/officeDocument/2006/relationships/hyperlink" Target="http://pokemondb.net/move/eerie-impulse" TargetMode="External"/><Relationship Id="rId482" Type="http://schemas.openxmlformats.org/officeDocument/2006/relationships/hyperlink" Target="http://pokemondb.net/type/fire" TargetMode="External"/><Relationship Id="rId703" Type="http://schemas.openxmlformats.org/officeDocument/2006/relationships/hyperlink" Target="http://pokemondb.net/move/noble-roar" TargetMode="External"/><Relationship Id="rId910" Type="http://schemas.openxmlformats.org/officeDocument/2006/relationships/hyperlink" Target="http://pokemondb.net/type/fighting" TargetMode="External"/><Relationship Id="rId135" Type="http://schemas.openxmlformats.org/officeDocument/2006/relationships/hyperlink" Target="http://pokemondb.net/move/charge" TargetMode="External"/><Relationship Id="rId342" Type="http://schemas.openxmlformats.org/officeDocument/2006/relationships/hyperlink" Target="http://pokemondb.net/type/fire" TargetMode="External"/><Relationship Id="rId787" Type="http://schemas.openxmlformats.org/officeDocument/2006/relationships/hyperlink" Target="http://pokemondb.net/move/psycho-boost" TargetMode="External"/><Relationship Id="rId994" Type="http://schemas.openxmlformats.org/officeDocument/2006/relationships/hyperlink" Target="http://pokemondb.net/type/electric" TargetMode="External"/><Relationship Id="rId202" Type="http://schemas.openxmlformats.org/officeDocument/2006/relationships/hyperlink" Target="http://pokemondb.net/type/dark" TargetMode="External"/><Relationship Id="rId647" Type="http://schemas.openxmlformats.org/officeDocument/2006/relationships/hyperlink" Target="http://pokemondb.net/move/milk-drink" TargetMode="External"/><Relationship Id="rId854" Type="http://schemas.openxmlformats.org/officeDocument/2006/relationships/hyperlink" Target="http://pokemondb.net/type/normal" TargetMode="External"/><Relationship Id="rId286" Type="http://schemas.openxmlformats.org/officeDocument/2006/relationships/hyperlink" Target="http://pokemondb.net/type/electric" TargetMode="External"/><Relationship Id="rId493" Type="http://schemas.openxmlformats.org/officeDocument/2006/relationships/hyperlink" Target="http://pokemondb.net/move/hone-claws" TargetMode="External"/><Relationship Id="rId507" Type="http://schemas.openxmlformats.org/officeDocument/2006/relationships/hyperlink" Target="http://pokemondb.net/move/hydro-pump" TargetMode="External"/><Relationship Id="rId714" Type="http://schemas.openxmlformats.org/officeDocument/2006/relationships/hyperlink" Target="http://pokemondb.net/type/ghost" TargetMode="External"/><Relationship Id="rId921" Type="http://schemas.openxmlformats.org/officeDocument/2006/relationships/hyperlink" Target="http://pokemondb.net/move/shadow-sneak" TargetMode="External"/><Relationship Id="rId1137" Type="http://schemas.openxmlformats.org/officeDocument/2006/relationships/hyperlink" Target="http://pokemondb.net/move/twister" TargetMode="External"/><Relationship Id="rId50" Type="http://schemas.openxmlformats.org/officeDocument/2006/relationships/hyperlink" Target="http://pokemondb.net/type/bug" TargetMode="External"/><Relationship Id="rId146" Type="http://schemas.openxmlformats.org/officeDocument/2006/relationships/hyperlink" Target="http://pokemondb.net/type/fighting" TargetMode="External"/><Relationship Id="rId353" Type="http://schemas.openxmlformats.org/officeDocument/2006/relationships/hyperlink" Target="http://pokemondb.net/move/flamethrower" TargetMode="External"/><Relationship Id="rId560" Type="http://schemas.openxmlformats.org/officeDocument/2006/relationships/hyperlink" Target="http://pokemondb.net/type/psychic" TargetMode="External"/><Relationship Id="rId798" Type="http://schemas.openxmlformats.org/officeDocument/2006/relationships/hyperlink" Target="http://pokemondb.net/type/psychic" TargetMode="External"/><Relationship Id="rId1190" Type="http://schemas.openxmlformats.org/officeDocument/2006/relationships/hyperlink" Target="http://pokemondb.net/type/flying" TargetMode="External"/><Relationship Id="rId1204" Type="http://schemas.openxmlformats.org/officeDocument/2006/relationships/hyperlink" Target="http://pokemondb.net/type/normal" TargetMode="External"/><Relationship Id="rId213" Type="http://schemas.openxmlformats.org/officeDocument/2006/relationships/hyperlink" Target="http://pokemondb.net/move/detect" TargetMode="External"/><Relationship Id="rId420" Type="http://schemas.openxmlformats.org/officeDocument/2006/relationships/hyperlink" Target="http://pokemondb.net/type/ice" TargetMode="External"/><Relationship Id="rId658" Type="http://schemas.openxmlformats.org/officeDocument/2006/relationships/hyperlink" Target="http://pokemondb.net/type/psychic" TargetMode="External"/><Relationship Id="rId865" Type="http://schemas.openxmlformats.org/officeDocument/2006/relationships/hyperlink" Target="http://pokemondb.net/move/rock-wrecker" TargetMode="External"/><Relationship Id="rId1050" Type="http://schemas.openxmlformats.org/officeDocument/2006/relationships/hyperlink" Target="http://pokemondb.net/type/fighting" TargetMode="External"/><Relationship Id="rId297" Type="http://schemas.openxmlformats.org/officeDocument/2006/relationships/hyperlink" Target="http://pokemondb.net/move/energy-ball" TargetMode="External"/><Relationship Id="rId518" Type="http://schemas.openxmlformats.org/officeDocument/2006/relationships/hyperlink" Target="http://pokemondb.net/type/ice" TargetMode="External"/><Relationship Id="rId725" Type="http://schemas.openxmlformats.org/officeDocument/2006/relationships/hyperlink" Target="http://pokemondb.net/move/pay-day" TargetMode="External"/><Relationship Id="rId932" Type="http://schemas.openxmlformats.org/officeDocument/2006/relationships/hyperlink" Target="http://pokemondb.net/type/electric" TargetMode="External"/><Relationship Id="rId1148" Type="http://schemas.openxmlformats.org/officeDocument/2006/relationships/hyperlink" Target="http://pokemondb.net/type/poison" TargetMode="External"/><Relationship Id="rId157" Type="http://schemas.openxmlformats.org/officeDocument/2006/relationships/hyperlink" Target="http://pokemondb.net/move/confide" TargetMode="External"/><Relationship Id="rId364" Type="http://schemas.openxmlformats.org/officeDocument/2006/relationships/hyperlink" Target="http://pokemondb.net/type/dark" TargetMode="External"/><Relationship Id="rId1008" Type="http://schemas.openxmlformats.org/officeDocument/2006/relationships/hyperlink" Target="http://pokemondb.net/type/normal" TargetMode="External"/><Relationship Id="rId1215" Type="http://schemas.openxmlformats.org/officeDocument/2006/relationships/table" Target="../tables/table2.xml"/><Relationship Id="rId61" Type="http://schemas.openxmlformats.org/officeDocument/2006/relationships/hyperlink" Target="http://pokemondb.net/move/baby-doll-eyes" TargetMode="External"/><Relationship Id="rId571" Type="http://schemas.openxmlformats.org/officeDocument/2006/relationships/hyperlink" Target="http://pokemondb.net/move/leaf-blade" TargetMode="External"/><Relationship Id="rId669" Type="http://schemas.openxmlformats.org/officeDocument/2006/relationships/hyperlink" Target="http://pokemondb.net/move/moonblast" TargetMode="External"/><Relationship Id="rId876" Type="http://schemas.openxmlformats.org/officeDocument/2006/relationships/hyperlink" Target="http://pokemondb.net/type/ground" TargetMode="External"/><Relationship Id="rId19" Type="http://schemas.openxmlformats.org/officeDocument/2006/relationships/hyperlink" Target="http://pokemondb.net/move/agility" TargetMode="External"/><Relationship Id="rId224" Type="http://schemas.openxmlformats.org/officeDocument/2006/relationships/hyperlink" Target="http://pokemondb.net/type/water" TargetMode="External"/><Relationship Id="rId431" Type="http://schemas.openxmlformats.org/officeDocument/2006/relationships/hyperlink" Target="http://pokemondb.net/move/gravity" TargetMode="External"/><Relationship Id="rId529" Type="http://schemas.openxmlformats.org/officeDocument/2006/relationships/hyperlink" Target="http://pokemondb.net/move/icicle-crash" TargetMode="External"/><Relationship Id="rId736" Type="http://schemas.openxmlformats.org/officeDocument/2006/relationships/hyperlink" Target="http://pokemondb.net/type/grass" TargetMode="External"/><Relationship Id="rId1061" Type="http://schemas.openxmlformats.org/officeDocument/2006/relationships/hyperlink" Target="http://pokemondb.net/move/sweet-scent" TargetMode="External"/><Relationship Id="rId1159" Type="http://schemas.openxmlformats.org/officeDocument/2006/relationships/hyperlink" Target="http://pokemondb.net/move/volt-tackle" TargetMode="External"/><Relationship Id="rId168" Type="http://schemas.openxmlformats.org/officeDocument/2006/relationships/hyperlink" Target="http://pokemondb.net/type/normal" TargetMode="External"/><Relationship Id="rId943" Type="http://schemas.openxmlformats.org/officeDocument/2006/relationships/hyperlink" Target="http://pokemondb.net/move/skill-swap" TargetMode="External"/><Relationship Id="rId1019" Type="http://schemas.openxmlformats.org/officeDocument/2006/relationships/hyperlink" Target="http://pokemondb.net/move/stockpile" TargetMode="External"/><Relationship Id="rId72" Type="http://schemas.openxmlformats.org/officeDocument/2006/relationships/hyperlink" Target="http://pokemondb.net/type/poison" TargetMode="External"/><Relationship Id="rId375" Type="http://schemas.openxmlformats.org/officeDocument/2006/relationships/hyperlink" Target="http://pokemondb.net/move/focus-punch" TargetMode="External"/><Relationship Id="rId582" Type="http://schemas.openxmlformats.org/officeDocument/2006/relationships/hyperlink" Target="http://pokemondb.net/type/normal" TargetMode="External"/><Relationship Id="rId803" Type="http://schemas.openxmlformats.org/officeDocument/2006/relationships/hyperlink" Target="http://pokemondb.net/move/quash" TargetMode="External"/><Relationship Id="rId3" Type="http://schemas.openxmlformats.org/officeDocument/2006/relationships/hyperlink" Target="http://pokemondb.net/move/acid" TargetMode="External"/><Relationship Id="rId235" Type="http://schemas.openxmlformats.org/officeDocument/2006/relationships/hyperlink" Target="http://pokemondb.net/move/double-edge" TargetMode="External"/><Relationship Id="rId442" Type="http://schemas.openxmlformats.org/officeDocument/2006/relationships/hyperlink" Target="http://pokemondb.net/type/psychic" TargetMode="External"/><Relationship Id="rId887" Type="http://schemas.openxmlformats.org/officeDocument/2006/relationships/hyperlink" Target="http://pokemondb.net/move/sand-attack" TargetMode="External"/><Relationship Id="rId1072" Type="http://schemas.openxmlformats.org/officeDocument/2006/relationships/hyperlink" Target="http://pokemondb.net/type/grass" TargetMode="External"/><Relationship Id="rId302" Type="http://schemas.openxmlformats.org/officeDocument/2006/relationships/hyperlink" Target="http://pokemondb.net/type/fire" TargetMode="External"/><Relationship Id="rId747" Type="http://schemas.openxmlformats.org/officeDocument/2006/relationships/hyperlink" Target="http://pokemondb.net/move/poison-fang" TargetMode="External"/><Relationship Id="rId954" Type="http://schemas.openxmlformats.org/officeDocument/2006/relationships/hyperlink" Target="http://pokemondb.net/type/normal" TargetMode="External"/><Relationship Id="rId83" Type="http://schemas.openxmlformats.org/officeDocument/2006/relationships/hyperlink" Target="http://pokemondb.net/move/blast-burn" TargetMode="External"/><Relationship Id="rId179" Type="http://schemas.openxmlformats.org/officeDocument/2006/relationships/hyperlink" Target="http://pokemondb.net/move/covet" TargetMode="External"/><Relationship Id="rId386" Type="http://schemas.openxmlformats.org/officeDocument/2006/relationships/hyperlink" Target="http://pokemondb.net/type/dark" TargetMode="External"/><Relationship Id="rId593" Type="http://schemas.openxmlformats.org/officeDocument/2006/relationships/hyperlink" Target="http://pokemondb.net/move/low-sweep" TargetMode="External"/><Relationship Id="rId607" Type="http://schemas.openxmlformats.org/officeDocument/2006/relationships/hyperlink" Target="http://pokemondb.net/move/magical-leaf" TargetMode="External"/><Relationship Id="rId814" Type="http://schemas.openxmlformats.org/officeDocument/2006/relationships/hyperlink" Target="http://pokemondb.net/type/bug" TargetMode="External"/><Relationship Id="rId246" Type="http://schemas.openxmlformats.org/officeDocument/2006/relationships/hyperlink" Target="http://pokemondb.net/type/dragon" TargetMode="External"/><Relationship Id="rId453" Type="http://schemas.openxmlformats.org/officeDocument/2006/relationships/hyperlink" Target="http://pokemondb.net/move/hammer-arm" TargetMode="External"/><Relationship Id="rId660" Type="http://schemas.openxmlformats.org/officeDocument/2006/relationships/hyperlink" Target="http://pokemondb.net/type/flying" TargetMode="External"/><Relationship Id="rId898" Type="http://schemas.openxmlformats.org/officeDocument/2006/relationships/hyperlink" Target="http://pokemondb.net/type/normal" TargetMode="External"/><Relationship Id="rId1083" Type="http://schemas.openxmlformats.org/officeDocument/2006/relationships/hyperlink" Target="http://pokemondb.net/move/take-down" TargetMode="External"/><Relationship Id="rId106" Type="http://schemas.openxmlformats.org/officeDocument/2006/relationships/hyperlink" Target="http://pokemondb.net/type/flying" TargetMode="External"/><Relationship Id="rId313" Type="http://schemas.openxmlformats.org/officeDocument/2006/relationships/hyperlink" Target="http://pokemondb.net/move/fairy-lock" TargetMode="External"/><Relationship Id="rId758" Type="http://schemas.openxmlformats.org/officeDocument/2006/relationships/hyperlink" Target="http://pokemondb.net/type/poison" TargetMode="External"/><Relationship Id="rId965" Type="http://schemas.openxmlformats.org/officeDocument/2006/relationships/hyperlink" Target="http://pokemondb.net/move/sludge-bomb" TargetMode="External"/><Relationship Id="rId1150" Type="http://schemas.openxmlformats.org/officeDocument/2006/relationships/hyperlink" Target="http://pokemondb.net/type/poison" TargetMode="External"/><Relationship Id="rId10" Type="http://schemas.openxmlformats.org/officeDocument/2006/relationships/hyperlink" Target="http://pokemondb.net/type/flying" TargetMode="External"/><Relationship Id="rId94" Type="http://schemas.openxmlformats.org/officeDocument/2006/relationships/hyperlink" Target="http://pokemondb.net/type/normal" TargetMode="External"/><Relationship Id="rId397" Type="http://schemas.openxmlformats.org/officeDocument/2006/relationships/hyperlink" Target="http://pokemondb.net/move/fury-attack" TargetMode="External"/><Relationship Id="rId520" Type="http://schemas.openxmlformats.org/officeDocument/2006/relationships/hyperlink" Target="http://pokemondb.net/type/ice" TargetMode="External"/><Relationship Id="rId618" Type="http://schemas.openxmlformats.org/officeDocument/2006/relationships/hyperlink" Target="http://pokemondb.net/type/ground" TargetMode="External"/><Relationship Id="rId825" Type="http://schemas.openxmlformats.org/officeDocument/2006/relationships/hyperlink" Target="http://pokemondb.net/move/recover" TargetMode="External"/><Relationship Id="rId257" Type="http://schemas.openxmlformats.org/officeDocument/2006/relationships/hyperlink" Target="http://pokemondb.net/move/draining-kiss" TargetMode="External"/><Relationship Id="rId464" Type="http://schemas.openxmlformats.org/officeDocument/2006/relationships/hyperlink" Target="http://pokemondb.net/type/normal" TargetMode="External"/><Relationship Id="rId1010" Type="http://schemas.openxmlformats.org/officeDocument/2006/relationships/hyperlink" Target="http://pokemondb.net/type/grass" TargetMode="External"/><Relationship Id="rId1094" Type="http://schemas.openxmlformats.org/officeDocument/2006/relationships/hyperlink" Target="http://pokemondb.net/type/psychic" TargetMode="External"/><Relationship Id="rId1108" Type="http://schemas.openxmlformats.org/officeDocument/2006/relationships/hyperlink" Target="http://pokemondb.net/type/electric" TargetMode="External"/><Relationship Id="rId117" Type="http://schemas.openxmlformats.org/officeDocument/2006/relationships/hyperlink" Target="http://pokemondb.net/move/bug-bite" TargetMode="External"/><Relationship Id="rId671" Type="http://schemas.openxmlformats.org/officeDocument/2006/relationships/hyperlink" Target="http://pokemondb.net/move/moonlight" TargetMode="External"/><Relationship Id="rId769" Type="http://schemas.openxmlformats.org/officeDocument/2006/relationships/hyperlink" Target="http://pokemondb.net/move/power-swap" TargetMode="External"/><Relationship Id="rId976" Type="http://schemas.openxmlformats.org/officeDocument/2006/relationships/hyperlink" Target="http://pokemondb.net/type/normal" TargetMode="External"/><Relationship Id="rId324" Type="http://schemas.openxmlformats.org/officeDocument/2006/relationships/hyperlink" Target="http://pokemondb.net/type/flying" TargetMode="External"/><Relationship Id="rId531" Type="http://schemas.openxmlformats.org/officeDocument/2006/relationships/hyperlink" Target="http://pokemondb.net/move/icicle-spear" TargetMode="External"/><Relationship Id="rId629" Type="http://schemas.openxmlformats.org/officeDocument/2006/relationships/hyperlink" Target="http://pokemondb.net/move/mega-kick" TargetMode="External"/><Relationship Id="rId1161" Type="http://schemas.openxmlformats.org/officeDocument/2006/relationships/hyperlink" Target="http://pokemondb.net/move/wake-up-slap" TargetMode="External"/><Relationship Id="rId836" Type="http://schemas.openxmlformats.org/officeDocument/2006/relationships/hyperlink" Target="http://pokemondb.net/type/normal" TargetMode="External"/><Relationship Id="rId1021" Type="http://schemas.openxmlformats.org/officeDocument/2006/relationships/hyperlink" Target="http://pokemondb.net/move/stomp" TargetMode="External"/><Relationship Id="rId1119" Type="http://schemas.openxmlformats.org/officeDocument/2006/relationships/hyperlink" Target="http://pokemondb.net/move/toxic-spikes" TargetMode="External"/><Relationship Id="rId903" Type="http://schemas.openxmlformats.org/officeDocument/2006/relationships/hyperlink" Target="http://pokemondb.net/move/secret-sword" TargetMode="External"/><Relationship Id="rId32" Type="http://schemas.openxmlformats.org/officeDocument/2006/relationships/hyperlink" Target="http://pokemondb.net/type/water" TargetMode="External"/><Relationship Id="rId181" Type="http://schemas.openxmlformats.org/officeDocument/2006/relationships/hyperlink" Target="http://pokemondb.net/move/crabhammer" TargetMode="External"/><Relationship Id="rId279" Type="http://schemas.openxmlformats.org/officeDocument/2006/relationships/hyperlink" Target="http://pokemondb.net/move/electric-terrain" TargetMode="External"/><Relationship Id="rId486" Type="http://schemas.openxmlformats.org/officeDocument/2006/relationships/hyperlink" Target="http://pokemondb.net/type/normal" TargetMode="External"/><Relationship Id="rId693" Type="http://schemas.openxmlformats.org/officeDocument/2006/relationships/hyperlink" Target="http://pokemondb.net/move/needle-arm" TargetMode="External"/><Relationship Id="rId139" Type="http://schemas.openxmlformats.org/officeDocument/2006/relationships/hyperlink" Target="http://pokemondb.net/move/charm" TargetMode="External"/><Relationship Id="rId346" Type="http://schemas.openxmlformats.org/officeDocument/2006/relationships/hyperlink" Target="http://pokemondb.net/type/normal" TargetMode="External"/><Relationship Id="rId553" Type="http://schemas.openxmlformats.org/officeDocument/2006/relationships/hyperlink" Target="http://pokemondb.net/move/judgment" TargetMode="External"/><Relationship Id="rId760" Type="http://schemas.openxmlformats.org/officeDocument/2006/relationships/hyperlink" Target="http://pokemondb.net/type/normal" TargetMode="External"/><Relationship Id="rId998" Type="http://schemas.openxmlformats.org/officeDocument/2006/relationships/hyperlink" Target="http://pokemondb.net/type/normal" TargetMode="External"/><Relationship Id="rId1183" Type="http://schemas.openxmlformats.org/officeDocument/2006/relationships/hyperlink" Target="http://pokemondb.net/move/wide-guard" TargetMode="External"/><Relationship Id="rId206" Type="http://schemas.openxmlformats.org/officeDocument/2006/relationships/hyperlink" Target="http://pokemondb.net/type/bug" TargetMode="External"/><Relationship Id="rId413" Type="http://schemas.openxmlformats.org/officeDocument/2006/relationships/hyperlink" Target="http://pokemondb.net/move/geomancy" TargetMode="External"/><Relationship Id="rId858" Type="http://schemas.openxmlformats.org/officeDocument/2006/relationships/hyperlink" Target="http://pokemondb.net/type/rock" TargetMode="External"/><Relationship Id="rId1043" Type="http://schemas.openxmlformats.org/officeDocument/2006/relationships/hyperlink" Target="http://pokemondb.net/move/sucker-punch" TargetMode="External"/><Relationship Id="rId620" Type="http://schemas.openxmlformats.org/officeDocument/2006/relationships/hyperlink" Target="http://pokemondb.net/type/fighting" TargetMode="External"/><Relationship Id="rId718" Type="http://schemas.openxmlformats.org/officeDocument/2006/relationships/hyperlink" Target="http://pokemondb.net/type/fire" TargetMode="External"/><Relationship Id="rId925" Type="http://schemas.openxmlformats.org/officeDocument/2006/relationships/hyperlink" Target="http://pokemondb.net/move/sheer-cold" TargetMode="External"/><Relationship Id="rId1110" Type="http://schemas.openxmlformats.org/officeDocument/2006/relationships/hyperlink" Target="http://pokemondb.net/type/electric" TargetMode="External"/><Relationship Id="rId1208" Type="http://schemas.openxmlformats.org/officeDocument/2006/relationships/hyperlink" Target="http://pokemondb.net/type/bug" TargetMode="External"/><Relationship Id="rId54" Type="http://schemas.openxmlformats.org/officeDocument/2006/relationships/hyperlink" Target="http://pokemondb.net/type/fighting" TargetMode="External"/><Relationship Id="rId270" Type="http://schemas.openxmlformats.org/officeDocument/2006/relationships/hyperlink" Target="http://pokemondb.net/type/ground" TargetMode="External"/><Relationship Id="rId130" Type="http://schemas.openxmlformats.org/officeDocument/2006/relationships/hyperlink" Target="http://pokemondb.net/type/psychic" TargetMode="External"/><Relationship Id="rId368" Type="http://schemas.openxmlformats.org/officeDocument/2006/relationships/hyperlink" Target="http://pokemondb.net/type/flying" TargetMode="External"/><Relationship Id="rId575" Type="http://schemas.openxmlformats.org/officeDocument/2006/relationships/hyperlink" Target="http://pokemondb.net/move/leaf-tornado" TargetMode="External"/><Relationship Id="rId782" Type="http://schemas.openxmlformats.org/officeDocument/2006/relationships/hyperlink" Target="http://pokemondb.net/type/psychic" TargetMode="External"/><Relationship Id="rId228" Type="http://schemas.openxmlformats.org/officeDocument/2006/relationships/hyperlink" Target="http://pokemondb.net/type/steel" TargetMode="External"/><Relationship Id="rId435" Type="http://schemas.openxmlformats.org/officeDocument/2006/relationships/hyperlink" Target="http://pokemondb.net/move/growth" TargetMode="External"/><Relationship Id="rId642" Type="http://schemas.openxmlformats.org/officeDocument/2006/relationships/hyperlink" Target="http://pokemondb.net/type/steel" TargetMode="External"/><Relationship Id="rId1065" Type="http://schemas.openxmlformats.org/officeDocument/2006/relationships/hyperlink" Target="http://pokemondb.net/move/switcheroo" TargetMode="External"/><Relationship Id="rId502" Type="http://schemas.openxmlformats.org/officeDocument/2006/relationships/hyperlink" Target="http://pokemondb.net/type/normal" TargetMode="External"/><Relationship Id="rId947" Type="http://schemas.openxmlformats.org/officeDocument/2006/relationships/hyperlink" Target="http://pokemondb.net/move/sky-attack" TargetMode="External"/><Relationship Id="rId1132" Type="http://schemas.openxmlformats.org/officeDocument/2006/relationships/hyperlink" Target="http://pokemondb.net/type/fighting" TargetMode="External"/><Relationship Id="rId76" Type="http://schemas.openxmlformats.org/officeDocument/2006/relationships/hyperlink" Target="http://pokemondb.net/type/normal" TargetMode="External"/><Relationship Id="rId807" Type="http://schemas.openxmlformats.org/officeDocument/2006/relationships/hyperlink" Target="http://pokemondb.net/move/quick-guard" TargetMode="External"/><Relationship Id="rId292" Type="http://schemas.openxmlformats.org/officeDocument/2006/relationships/hyperlink" Target="http://pokemondb.net/type/normal" TargetMode="External"/><Relationship Id="rId597" Type="http://schemas.openxmlformats.org/officeDocument/2006/relationships/hyperlink" Target="http://pokemondb.net/move/lunar-dance" TargetMode="External"/><Relationship Id="rId152" Type="http://schemas.openxmlformats.org/officeDocument/2006/relationships/hyperlink" Target="http://pokemondb.net/type/fighting" TargetMode="External"/><Relationship Id="rId457" Type="http://schemas.openxmlformats.org/officeDocument/2006/relationships/hyperlink" Target="http://pokemondb.net/move/haze" TargetMode="External"/><Relationship Id="rId1087" Type="http://schemas.openxmlformats.org/officeDocument/2006/relationships/hyperlink" Target="http://pokemondb.net/move/techno-blast" TargetMode="External"/><Relationship Id="rId664" Type="http://schemas.openxmlformats.org/officeDocument/2006/relationships/hyperlink" Target="http://pokemondb.net/type/ice" TargetMode="External"/><Relationship Id="rId871" Type="http://schemas.openxmlformats.org/officeDocument/2006/relationships/hyperlink" Target="http://pokemondb.net/move/rollout" TargetMode="External"/><Relationship Id="rId969" Type="http://schemas.openxmlformats.org/officeDocument/2006/relationships/hyperlink" Target="http://pokemondb.net/move/smack-down" TargetMode="External"/><Relationship Id="rId317" Type="http://schemas.openxmlformats.org/officeDocument/2006/relationships/hyperlink" Target="http://pokemondb.net/move/fake-out" TargetMode="External"/><Relationship Id="rId524" Type="http://schemas.openxmlformats.org/officeDocument/2006/relationships/hyperlink" Target="http://pokemondb.net/type/ice" TargetMode="External"/><Relationship Id="rId731" Type="http://schemas.openxmlformats.org/officeDocument/2006/relationships/hyperlink" Target="http://pokemondb.net/move/perish-song" TargetMode="External"/><Relationship Id="rId1154" Type="http://schemas.openxmlformats.org/officeDocument/2006/relationships/hyperlink" Target="http://pokemondb.net/type/grass" TargetMode="External"/><Relationship Id="rId98" Type="http://schemas.openxmlformats.org/officeDocument/2006/relationships/hyperlink" Target="http://pokemondb.net/type/ground" TargetMode="External"/><Relationship Id="rId829" Type="http://schemas.openxmlformats.org/officeDocument/2006/relationships/hyperlink" Target="http://pokemondb.net/move/reflect" TargetMode="External"/><Relationship Id="rId1014" Type="http://schemas.openxmlformats.org/officeDocument/2006/relationships/hyperlink" Target="http://pokemondb.net/type/bug" TargetMode="External"/><Relationship Id="rId25" Type="http://schemas.openxmlformats.org/officeDocument/2006/relationships/hyperlink" Target="http://pokemondb.net/move/ally-switch" TargetMode="External"/><Relationship Id="rId174" Type="http://schemas.openxmlformats.org/officeDocument/2006/relationships/hyperlink" Target="http://pokemondb.net/type/grass" TargetMode="External"/><Relationship Id="rId381" Type="http://schemas.openxmlformats.org/officeDocument/2006/relationships/hyperlink" Target="http://pokemondb.net/move/foresight" TargetMode="External"/><Relationship Id="rId241" Type="http://schemas.openxmlformats.org/officeDocument/2006/relationships/hyperlink" Target="http://pokemondb.net/move/dragon-claw" TargetMode="External"/><Relationship Id="rId479" Type="http://schemas.openxmlformats.org/officeDocument/2006/relationships/hyperlink" Target="http://pokemondb.net/move/heat-crash" TargetMode="External"/><Relationship Id="rId686" Type="http://schemas.openxmlformats.org/officeDocument/2006/relationships/hyperlink" Target="http://pokemondb.net/type/fire" TargetMode="External"/><Relationship Id="rId893" Type="http://schemas.openxmlformats.org/officeDocument/2006/relationships/hyperlink" Target="http://pokemondb.net/move/scary-face" TargetMode="External"/><Relationship Id="rId339" Type="http://schemas.openxmlformats.org/officeDocument/2006/relationships/hyperlink" Target="http://pokemondb.net/move/fire-punch" TargetMode="External"/><Relationship Id="rId546" Type="http://schemas.openxmlformats.org/officeDocument/2006/relationships/hyperlink" Target="http://pokemondb.net/type/electric" TargetMode="External"/><Relationship Id="rId753" Type="http://schemas.openxmlformats.org/officeDocument/2006/relationships/hyperlink" Target="http://pokemondb.net/move/poison-sting" TargetMode="External"/><Relationship Id="rId1176" Type="http://schemas.openxmlformats.org/officeDocument/2006/relationships/hyperlink" Target="http://pokemondb.net/type/water" TargetMode="External"/><Relationship Id="rId101" Type="http://schemas.openxmlformats.org/officeDocument/2006/relationships/hyperlink" Target="http://pokemondb.net/move/bonemerang" TargetMode="External"/><Relationship Id="rId406" Type="http://schemas.openxmlformats.org/officeDocument/2006/relationships/hyperlink" Target="http://pokemondb.net/type/fire" TargetMode="External"/><Relationship Id="rId960" Type="http://schemas.openxmlformats.org/officeDocument/2006/relationships/hyperlink" Target="http://pokemondb.net/type/grass" TargetMode="External"/><Relationship Id="rId1036" Type="http://schemas.openxmlformats.org/officeDocument/2006/relationships/hyperlink" Target="http://pokemondb.net/type/bug" TargetMode="External"/><Relationship Id="rId613" Type="http://schemas.openxmlformats.org/officeDocument/2006/relationships/hyperlink" Target="http://pokemondb.net/move/magnet-rise" TargetMode="External"/><Relationship Id="rId820" Type="http://schemas.openxmlformats.org/officeDocument/2006/relationships/hyperlink" Target="http://pokemondb.net/type/grass" TargetMode="External"/><Relationship Id="rId918" Type="http://schemas.openxmlformats.org/officeDocument/2006/relationships/hyperlink" Target="http://pokemondb.net/type/ghost" TargetMode="External"/><Relationship Id="rId1103" Type="http://schemas.openxmlformats.org/officeDocument/2006/relationships/hyperlink" Target="http://pokemondb.net/move/thunder-wave" TargetMode="External"/><Relationship Id="rId47" Type="http://schemas.openxmlformats.org/officeDocument/2006/relationships/hyperlink" Target="http://pokemondb.net/move/astonish" TargetMode="External"/><Relationship Id="rId196" Type="http://schemas.openxmlformats.org/officeDocument/2006/relationships/hyperlink" Target="http://pokemondb.net/type/ghost" TargetMode="External"/><Relationship Id="rId263" Type="http://schemas.openxmlformats.org/officeDocument/2006/relationships/hyperlink" Target="http://pokemondb.net/move/drill-run" TargetMode="External"/><Relationship Id="rId470" Type="http://schemas.openxmlformats.org/officeDocument/2006/relationships/hyperlink" Target="http://pokemondb.net/type/bug" TargetMode="External"/><Relationship Id="rId123" Type="http://schemas.openxmlformats.org/officeDocument/2006/relationships/hyperlink" Target="http://pokemondb.net/move/bulldoze" TargetMode="External"/><Relationship Id="rId330" Type="http://schemas.openxmlformats.org/officeDocument/2006/relationships/hyperlink" Target="http://pokemondb.net/type/fire" TargetMode="External"/><Relationship Id="rId568" Type="http://schemas.openxmlformats.org/officeDocument/2006/relationships/hyperlink" Target="http://pokemondb.net/type/normal" TargetMode="External"/><Relationship Id="rId775" Type="http://schemas.openxmlformats.org/officeDocument/2006/relationships/hyperlink" Target="http://pokemondb.net/move/power-up-punch" TargetMode="External"/><Relationship Id="rId982" Type="http://schemas.openxmlformats.org/officeDocument/2006/relationships/hyperlink" Target="http://pokemondb.net/type/normal" TargetMode="External"/><Relationship Id="rId1198" Type="http://schemas.openxmlformats.org/officeDocument/2006/relationships/hyperlink" Target="http://pokemondb.net/type/grass" TargetMode="External"/><Relationship Id="rId428" Type="http://schemas.openxmlformats.org/officeDocument/2006/relationships/hyperlink" Target="http://pokemondb.net/type/grass" TargetMode="External"/><Relationship Id="rId635" Type="http://schemas.openxmlformats.org/officeDocument/2006/relationships/hyperlink" Target="http://pokemondb.net/move/memento" TargetMode="External"/><Relationship Id="rId842" Type="http://schemas.openxmlformats.org/officeDocument/2006/relationships/hyperlink" Target="http://pokemondb.net/type/normal" TargetMode="External"/><Relationship Id="rId1058" Type="http://schemas.openxmlformats.org/officeDocument/2006/relationships/hyperlink" Target="http://pokemondb.net/type/normal" TargetMode="External"/><Relationship Id="rId702" Type="http://schemas.openxmlformats.org/officeDocument/2006/relationships/hyperlink" Target="http://pokemondb.net/type/ghost" TargetMode="External"/><Relationship Id="rId1125" Type="http://schemas.openxmlformats.org/officeDocument/2006/relationships/hyperlink" Target="http://pokemondb.net/move/trick" TargetMode="External"/><Relationship Id="rId69" Type="http://schemas.openxmlformats.org/officeDocument/2006/relationships/hyperlink" Target="http://pokemondb.net/move/beat-up" TargetMode="External"/><Relationship Id="rId285" Type="http://schemas.openxmlformats.org/officeDocument/2006/relationships/hyperlink" Target="http://pokemondb.net/move/electroweb" TargetMode="External"/><Relationship Id="rId492" Type="http://schemas.openxmlformats.org/officeDocument/2006/relationships/hyperlink" Target="http://pokemondb.net/type/normal" TargetMode="External"/><Relationship Id="rId797" Type="http://schemas.openxmlformats.org/officeDocument/2006/relationships/hyperlink" Target="http://pokemondb.net/move/psywave" TargetMode="External"/><Relationship Id="rId145" Type="http://schemas.openxmlformats.org/officeDocument/2006/relationships/hyperlink" Target="http://pokemondb.net/move/circle-throw" TargetMode="External"/><Relationship Id="rId352" Type="http://schemas.openxmlformats.org/officeDocument/2006/relationships/hyperlink" Target="http://pokemondb.net/type/fire" TargetMode="External"/><Relationship Id="rId212" Type="http://schemas.openxmlformats.org/officeDocument/2006/relationships/hyperlink" Target="http://pokemondb.net/type/ghost" TargetMode="External"/><Relationship Id="rId657" Type="http://schemas.openxmlformats.org/officeDocument/2006/relationships/hyperlink" Target="http://pokemondb.net/move/mirror-coat" TargetMode="External"/><Relationship Id="rId864" Type="http://schemas.openxmlformats.org/officeDocument/2006/relationships/hyperlink" Target="http://pokemondb.net/type/rock" TargetMode="External"/><Relationship Id="rId517" Type="http://schemas.openxmlformats.org/officeDocument/2006/relationships/hyperlink" Target="http://pokemondb.net/move/ice-ball" TargetMode="External"/><Relationship Id="rId724" Type="http://schemas.openxmlformats.org/officeDocument/2006/relationships/hyperlink" Target="http://pokemondb.net/type/dark" TargetMode="External"/><Relationship Id="rId931" Type="http://schemas.openxmlformats.org/officeDocument/2006/relationships/hyperlink" Target="http://pokemondb.net/move/shock-wave" TargetMode="External"/><Relationship Id="rId1147" Type="http://schemas.openxmlformats.org/officeDocument/2006/relationships/hyperlink" Target="http://pokemondb.net/move/venom-drench" TargetMode="External"/><Relationship Id="rId60" Type="http://schemas.openxmlformats.org/officeDocument/2006/relationships/hyperlink" Target="http://pokemondb.net/type/ice" TargetMode="External"/><Relationship Id="rId1007" Type="http://schemas.openxmlformats.org/officeDocument/2006/relationships/hyperlink" Target="http://pokemondb.net/move/splash" TargetMode="External"/><Relationship Id="rId1214" Type="http://schemas.openxmlformats.org/officeDocument/2006/relationships/hyperlink" Target="http://pokemondb.net/type/psychic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pokemondb.net/pokedex/chikorita" TargetMode="External"/><Relationship Id="rId671" Type="http://schemas.openxmlformats.org/officeDocument/2006/relationships/hyperlink" Target="http://pokemondb.net/pokedex/eevee" TargetMode="External"/><Relationship Id="rId21" Type="http://schemas.openxmlformats.org/officeDocument/2006/relationships/hyperlink" Target="http://pokemondb.net/pokedex/pidgey" TargetMode="External"/><Relationship Id="rId324" Type="http://schemas.openxmlformats.org/officeDocument/2006/relationships/hyperlink" Target="http://pokemondb.net/pokedex/cherrim" TargetMode="External"/><Relationship Id="rId531" Type="http://schemas.openxmlformats.org/officeDocument/2006/relationships/hyperlink" Target="http://pokemondb.net/pokedex/jigglypuff" TargetMode="External"/><Relationship Id="rId629" Type="http://schemas.openxmlformats.org/officeDocument/2006/relationships/hyperlink" Target="http://pokemondb.net/pokedex/feebas" TargetMode="External"/><Relationship Id="rId170" Type="http://schemas.openxmlformats.org/officeDocument/2006/relationships/hyperlink" Target="http://pokemondb.net/pokedex/donphan" TargetMode="External"/><Relationship Id="rId268" Type="http://schemas.openxmlformats.org/officeDocument/2006/relationships/hyperlink" Target="http://pokemondb.net/pokedex/dusclops" TargetMode="External"/><Relationship Id="rId475" Type="http://schemas.openxmlformats.org/officeDocument/2006/relationships/hyperlink" Target="http://pokemondb.net/pokedex/froakie" TargetMode="External"/><Relationship Id="rId682" Type="http://schemas.openxmlformats.org/officeDocument/2006/relationships/hyperlink" Target="http://pokemondb.net/pokedex/gliscor" TargetMode="External"/><Relationship Id="rId32" Type="http://schemas.openxmlformats.org/officeDocument/2006/relationships/hyperlink" Target="http://pokemondb.net/pokedex/sandslash" TargetMode="External"/><Relationship Id="rId128" Type="http://schemas.openxmlformats.org/officeDocument/2006/relationships/hyperlink" Target="http://pokemondb.net/pokedex/feraligatr" TargetMode="External"/><Relationship Id="rId335" Type="http://schemas.openxmlformats.org/officeDocument/2006/relationships/hyperlink" Target="http://pokemondb.net/pokedex/gible" TargetMode="External"/><Relationship Id="rId542" Type="http://schemas.openxmlformats.org/officeDocument/2006/relationships/hyperlink" Target="http://pokemondb.net/pokedex/victreebel" TargetMode="External"/><Relationship Id="rId181" Type="http://schemas.openxmlformats.org/officeDocument/2006/relationships/hyperlink" Target="http://pokemondb.net/pokedex/combusken" TargetMode="External"/><Relationship Id="rId402" Type="http://schemas.openxmlformats.org/officeDocument/2006/relationships/hyperlink" Target="http://pokemondb.net/pokedex/cofagrigus" TargetMode="External"/><Relationship Id="rId279" Type="http://schemas.openxmlformats.org/officeDocument/2006/relationships/hyperlink" Target="http://pokemondb.net/pokedex/beldum" TargetMode="External"/><Relationship Id="rId486" Type="http://schemas.openxmlformats.org/officeDocument/2006/relationships/hyperlink" Target="http://pokemondb.net/pokedex/spewpa" TargetMode="External"/><Relationship Id="rId693" Type="http://schemas.openxmlformats.org/officeDocument/2006/relationships/hyperlink" Target="http://pokemondb.net/pokedex/nincada" TargetMode="External"/><Relationship Id="rId707" Type="http://schemas.openxmlformats.org/officeDocument/2006/relationships/hyperlink" Target="http://pokemondb.net/pokedex/combee" TargetMode="External"/><Relationship Id="rId43" Type="http://schemas.openxmlformats.org/officeDocument/2006/relationships/hyperlink" Target="http://pokemondb.net/pokedex/venonat" TargetMode="External"/><Relationship Id="rId139" Type="http://schemas.openxmlformats.org/officeDocument/2006/relationships/hyperlink" Target="http://pokemondb.net/pokedex/natu" TargetMode="External"/><Relationship Id="rId346" Type="http://schemas.openxmlformats.org/officeDocument/2006/relationships/hyperlink" Target="http://pokemondb.net/pokedex/lumineon" TargetMode="External"/><Relationship Id="rId553" Type="http://schemas.openxmlformats.org/officeDocument/2006/relationships/hyperlink" Target="http://pokemondb.net/pokedex/eevee" TargetMode="External"/><Relationship Id="rId192" Type="http://schemas.openxmlformats.org/officeDocument/2006/relationships/hyperlink" Target="http://pokemondb.net/pokedex/silcoon" TargetMode="External"/><Relationship Id="rId206" Type="http://schemas.openxmlformats.org/officeDocument/2006/relationships/hyperlink" Target="http://pokemondb.net/pokedex/pelipper" TargetMode="External"/><Relationship Id="rId413" Type="http://schemas.openxmlformats.org/officeDocument/2006/relationships/hyperlink" Target="http://pokemondb.net/pokedex/gothorita" TargetMode="External"/><Relationship Id="rId497" Type="http://schemas.openxmlformats.org/officeDocument/2006/relationships/hyperlink" Target="http://pokemondb.net/pokedex/espurr" TargetMode="External"/><Relationship Id="rId620" Type="http://schemas.openxmlformats.org/officeDocument/2006/relationships/hyperlink" Target="http://pokemondb.net/pokedex/scizor" TargetMode="External"/><Relationship Id="rId718" Type="http://schemas.openxmlformats.org/officeDocument/2006/relationships/hyperlink" Target="http://pokemondb.net/pokedex/slurpuff" TargetMode="External"/><Relationship Id="rId357" Type="http://schemas.openxmlformats.org/officeDocument/2006/relationships/hyperlink" Target="http://pokemondb.net/pokedex/oshawott" TargetMode="External"/><Relationship Id="rId54" Type="http://schemas.openxmlformats.org/officeDocument/2006/relationships/hyperlink" Target="http://pokemondb.net/pokedex/poliwhirl" TargetMode="External"/><Relationship Id="rId217" Type="http://schemas.openxmlformats.org/officeDocument/2006/relationships/hyperlink" Target="http://pokemondb.net/pokedex/vigoroth" TargetMode="External"/><Relationship Id="rId564" Type="http://schemas.openxmlformats.org/officeDocument/2006/relationships/hyperlink" Target="http://pokemondb.net/pokedex/ludicolo" TargetMode="External"/><Relationship Id="rId424" Type="http://schemas.openxmlformats.org/officeDocument/2006/relationships/hyperlink" Target="http://pokemondb.net/pokedex/vanilluxe" TargetMode="External"/><Relationship Id="rId631" Type="http://schemas.openxmlformats.org/officeDocument/2006/relationships/hyperlink" Target="http://pokemondb.net/pokedex/dusclops" TargetMode="External"/><Relationship Id="rId729" Type="http://schemas.openxmlformats.org/officeDocument/2006/relationships/hyperlink" Target="http://pokemondb.net/pokedex/cleffa" TargetMode="External"/><Relationship Id="rId270" Type="http://schemas.openxmlformats.org/officeDocument/2006/relationships/hyperlink" Target="http://pokemondb.net/pokedex/glalie" TargetMode="External"/><Relationship Id="rId65" Type="http://schemas.openxmlformats.org/officeDocument/2006/relationships/hyperlink" Target="http://pokemondb.net/pokedex/ponyta" TargetMode="External"/><Relationship Id="rId130" Type="http://schemas.openxmlformats.org/officeDocument/2006/relationships/hyperlink" Target="http://pokemondb.net/pokedex/furret" TargetMode="External"/><Relationship Id="rId368" Type="http://schemas.openxmlformats.org/officeDocument/2006/relationships/hyperlink" Target="http://pokemondb.net/pokedex/liepard" TargetMode="External"/><Relationship Id="rId575" Type="http://schemas.openxmlformats.org/officeDocument/2006/relationships/hyperlink" Target="http://pokemondb.net/pokedex/pansage" TargetMode="External"/><Relationship Id="rId228" Type="http://schemas.openxmlformats.org/officeDocument/2006/relationships/hyperlink" Target="http://pokemondb.net/pokedex/hariyama" TargetMode="External"/><Relationship Id="rId435" Type="http://schemas.openxmlformats.org/officeDocument/2006/relationships/hyperlink" Target="http://pokemondb.net/pokedex/klink" TargetMode="External"/><Relationship Id="rId642" Type="http://schemas.openxmlformats.org/officeDocument/2006/relationships/hyperlink" Target="http://pokemondb.net/pokedex/escavalier" TargetMode="External"/><Relationship Id="rId281" Type="http://schemas.openxmlformats.org/officeDocument/2006/relationships/hyperlink" Target="http://pokemondb.net/pokedex/metang" TargetMode="External"/><Relationship Id="rId502" Type="http://schemas.openxmlformats.org/officeDocument/2006/relationships/hyperlink" Target="http://pokemondb.net/pokedex/malamar" TargetMode="External"/><Relationship Id="rId76" Type="http://schemas.openxmlformats.org/officeDocument/2006/relationships/hyperlink" Target="http://pokemondb.net/pokedex/muk" TargetMode="External"/><Relationship Id="rId141" Type="http://schemas.openxmlformats.org/officeDocument/2006/relationships/hyperlink" Target="http://pokemondb.net/pokedex/mareep" TargetMode="External"/><Relationship Id="rId379" Type="http://schemas.openxmlformats.org/officeDocument/2006/relationships/hyperlink" Target="http://pokemondb.net/pokedex/timburr" TargetMode="External"/><Relationship Id="rId586" Type="http://schemas.openxmlformats.org/officeDocument/2006/relationships/hyperlink" Target="http://pokemondb.net/pokedex/lilligant" TargetMode="External"/><Relationship Id="rId7" Type="http://schemas.openxmlformats.org/officeDocument/2006/relationships/hyperlink" Target="http://pokemondb.net/pokedex/charmeleon" TargetMode="External"/><Relationship Id="rId239" Type="http://schemas.openxmlformats.org/officeDocument/2006/relationships/hyperlink" Target="http://pokemondb.net/pokedex/carvanha" TargetMode="External"/><Relationship Id="rId446" Type="http://schemas.openxmlformats.org/officeDocument/2006/relationships/hyperlink" Target="http://pokemondb.net/pokedex/fraxure" TargetMode="External"/><Relationship Id="rId653" Type="http://schemas.openxmlformats.org/officeDocument/2006/relationships/hyperlink" Target="http://pokemondb.net/pokedex/magneton" TargetMode="External"/><Relationship Id="rId292" Type="http://schemas.openxmlformats.org/officeDocument/2006/relationships/hyperlink" Target="http://pokemondb.net/pokedex/prinplup" TargetMode="External"/><Relationship Id="rId306" Type="http://schemas.openxmlformats.org/officeDocument/2006/relationships/hyperlink" Target="http://pokemondb.net/pokedex/luxray" TargetMode="External"/><Relationship Id="rId87" Type="http://schemas.openxmlformats.org/officeDocument/2006/relationships/hyperlink" Target="http://pokemondb.net/pokedex/tyrogue" TargetMode="External"/><Relationship Id="rId513" Type="http://schemas.openxmlformats.org/officeDocument/2006/relationships/hyperlink" Target="http://pokemondb.net/pokedex/goomy" TargetMode="External"/><Relationship Id="rId597" Type="http://schemas.openxmlformats.org/officeDocument/2006/relationships/hyperlink" Target="http://pokemondb.net/pokedex/doublade" TargetMode="External"/><Relationship Id="rId720" Type="http://schemas.openxmlformats.org/officeDocument/2006/relationships/hyperlink" Target="http://pokemondb.net/pokedex/malamar" TargetMode="External"/><Relationship Id="rId152" Type="http://schemas.openxmlformats.org/officeDocument/2006/relationships/hyperlink" Target="http://pokemondb.net/pokedex/quagsire" TargetMode="External"/><Relationship Id="rId457" Type="http://schemas.openxmlformats.org/officeDocument/2006/relationships/hyperlink" Target="http://pokemondb.net/pokedex/rufflet" TargetMode="External"/><Relationship Id="rId664" Type="http://schemas.openxmlformats.org/officeDocument/2006/relationships/hyperlink" Target="http://pokemondb.net/pokedex/chansey" TargetMode="External"/><Relationship Id="rId14" Type="http://schemas.openxmlformats.org/officeDocument/2006/relationships/hyperlink" Target="http://pokemondb.net/pokedex/metapod" TargetMode="External"/><Relationship Id="rId317" Type="http://schemas.openxmlformats.org/officeDocument/2006/relationships/hyperlink" Target="http://pokemondb.net/pokedex/burmy" TargetMode="External"/><Relationship Id="rId524" Type="http://schemas.openxmlformats.org/officeDocument/2006/relationships/hyperlink" Target="http://pokemondb.net/pokedex/nidoqueen" TargetMode="External"/><Relationship Id="rId731" Type="http://schemas.openxmlformats.org/officeDocument/2006/relationships/hyperlink" Target="http://pokemondb.net/pokedex/igglybuff" TargetMode="External"/><Relationship Id="rId98" Type="http://schemas.openxmlformats.org/officeDocument/2006/relationships/hyperlink" Target="http://pokemondb.net/pokedex/seadra" TargetMode="External"/><Relationship Id="rId163" Type="http://schemas.openxmlformats.org/officeDocument/2006/relationships/hyperlink" Target="http://pokemondb.net/pokedex/swinub" TargetMode="External"/><Relationship Id="rId370" Type="http://schemas.openxmlformats.org/officeDocument/2006/relationships/hyperlink" Target="http://pokemondb.net/pokedex/tranquill" TargetMode="External"/><Relationship Id="rId230" Type="http://schemas.openxmlformats.org/officeDocument/2006/relationships/hyperlink" Target="http://pokemondb.net/pokedex/lairon" TargetMode="External"/><Relationship Id="rId468" Type="http://schemas.openxmlformats.org/officeDocument/2006/relationships/hyperlink" Target="http://pokemondb.net/pokedex/quilladin" TargetMode="External"/><Relationship Id="rId675" Type="http://schemas.openxmlformats.org/officeDocument/2006/relationships/hyperlink" Target="http://pokemondb.net/pokedex/bonsly" TargetMode="External"/><Relationship Id="rId25" Type="http://schemas.openxmlformats.org/officeDocument/2006/relationships/hyperlink" Target="http://pokemondb.net/pokedex/rattata" TargetMode="External"/><Relationship Id="rId328" Type="http://schemas.openxmlformats.org/officeDocument/2006/relationships/hyperlink" Target="http://pokemondb.net/pokedex/drifblim" TargetMode="External"/><Relationship Id="rId535" Type="http://schemas.openxmlformats.org/officeDocument/2006/relationships/hyperlink" Target="http://pokemondb.net/pokedex/gloom" TargetMode="External"/><Relationship Id="rId742" Type="http://schemas.openxmlformats.org/officeDocument/2006/relationships/hyperlink" Target="http://pokemondb.net/pokedex/snorlax" TargetMode="External"/><Relationship Id="rId174" Type="http://schemas.openxmlformats.org/officeDocument/2006/relationships/hyperlink" Target="http://pokemondb.net/pokedex/tyranitar" TargetMode="External"/><Relationship Id="rId381" Type="http://schemas.openxmlformats.org/officeDocument/2006/relationships/hyperlink" Target="http://pokemondb.net/pokedex/tympole" TargetMode="External"/><Relationship Id="rId602" Type="http://schemas.openxmlformats.org/officeDocument/2006/relationships/hyperlink" Target="http://pokemondb.net/pokedex/politoed" TargetMode="External"/><Relationship Id="rId241" Type="http://schemas.openxmlformats.org/officeDocument/2006/relationships/hyperlink" Target="http://pokemondb.net/pokedex/wailmer" TargetMode="External"/><Relationship Id="rId479" Type="http://schemas.openxmlformats.org/officeDocument/2006/relationships/hyperlink" Target="http://pokemondb.net/pokedex/bunnelby" TargetMode="External"/><Relationship Id="rId686" Type="http://schemas.openxmlformats.org/officeDocument/2006/relationships/hyperlink" Target="http://pokemondb.net/pokedex/mamoswine" TargetMode="External"/><Relationship Id="rId36" Type="http://schemas.openxmlformats.org/officeDocument/2006/relationships/hyperlink" Target="http://pokemondb.net/pokedex/nidorino" TargetMode="External"/><Relationship Id="rId339" Type="http://schemas.openxmlformats.org/officeDocument/2006/relationships/hyperlink" Target="http://pokemondb.net/pokedex/hippopotas" TargetMode="External"/><Relationship Id="rId546" Type="http://schemas.openxmlformats.org/officeDocument/2006/relationships/hyperlink" Target="http://pokemondb.net/pokedex/exeggutor" TargetMode="External"/><Relationship Id="rId753" Type="http://schemas.openxmlformats.org/officeDocument/2006/relationships/hyperlink" Target="http://pokemondb.net/pokedex/riolu" TargetMode="External"/><Relationship Id="rId101" Type="http://schemas.openxmlformats.org/officeDocument/2006/relationships/hyperlink" Target="http://pokemondb.net/pokedex/smoochum" TargetMode="External"/><Relationship Id="rId185" Type="http://schemas.openxmlformats.org/officeDocument/2006/relationships/hyperlink" Target="http://pokemondb.net/pokedex/marshtomp" TargetMode="External"/><Relationship Id="rId406" Type="http://schemas.openxmlformats.org/officeDocument/2006/relationships/hyperlink" Target="http://pokemondb.net/pokedex/archeops" TargetMode="External"/><Relationship Id="rId392" Type="http://schemas.openxmlformats.org/officeDocument/2006/relationships/hyperlink" Target="http://pokemondb.net/pokedex/krokorok" TargetMode="External"/><Relationship Id="rId613" Type="http://schemas.openxmlformats.org/officeDocument/2006/relationships/hyperlink" Target="http://pokemondb.net/pokedex/onix" TargetMode="External"/><Relationship Id="rId697" Type="http://schemas.openxmlformats.org/officeDocument/2006/relationships/hyperlink" Target="http://pokemondb.net/pokedex/feebas" TargetMode="External"/><Relationship Id="rId252" Type="http://schemas.openxmlformats.org/officeDocument/2006/relationships/hyperlink" Target="http://pokemondb.net/pokedex/cacturne" TargetMode="External"/><Relationship Id="rId47" Type="http://schemas.openxmlformats.org/officeDocument/2006/relationships/hyperlink" Target="http://pokemondb.net/pokedex/meowth" TargetMode="External"/><Relationship Id="rId112" Type="http://schemas.openxmlformats.org/officeDocument/2006/relationships/hyperlink" Target="http://pokemondb.net/pokedex/kabutops" TargetMode="External"/><Relationship Id="rId557" Type="http://schemas.openxmlformats.org/officeDocument/2006/relationships/hyperlink" Target="http://pokemondb.net/pokedex/sunkern" TargetMode="External"/><Relationship Id="rId196" Type="http://schemas.openxmlformats.org/officeDocument/2006/relationships/hyperlink" Target="http://pokemondb.net/pokedex/cascoon" TargetMode="External"/><Relationship Id="rId417" Type="http://schemas.openxmlformats.org/officeDocument/2006/relationships/hyperlink" Target="http://pokemondb.net/pokedex/duosion" TargetMode="External"/><Relationship Id="rId624" Type="http://schemas.openxmlformats.org/officeDocument/2006/relationships/hyperlink" Target="http://pokemondb.net/pokedex/magmortar" TargetMode="External"/><Relationship Id="rId263" Type="http://schemas.openxmlformats.org/officeDocument/2006/relationships/hyperlink" Target="http://pokemondb.net/pokedex/anorith" TargetMode="External"/><Relationship Id="rId470" Type="http://schemas.openxmlformats.org/officeDocument/2006/relationships/hyperlink" Target="http://pokemondb.net/pokedex/chesnaught" TargetMode="External"/><Relationship Id="rId58" Type="http://schemas.openxmlformats.org/officeDocument/2006/relationships/hyperlink" Target="http://pokemondb.net/pokedex/machoke" TargetMode="External"/><Relationship Id="rId123" Type="http://schemas.openxmlformats.org/officeDocument/2006/relationships/hyperlink" Target="http://pokemondb.net/pokedex/quilava" TargetMode="External"/><Relationship Id="rId330" Type="http://schemas.openxmlformats.org/officeDocument/2006/relationships/hyperlink" Target="http://pokemondb.net/pokedex/purugly" TargetMode="External"/><Relationship Id="rId568" Type="http://schemas.openxmlformats.org/officeDocument/2006/relationships/hyperlink" Target="http://pokemondb.net/pokedex/gallade" TargetMode="External"/><Relationship Id="rId428" Type="http://schemas.openxmlformats.org/officeDocument/2006/relationships/hyperlink" Target="http://pokemondb.net/pokedex/amoonguss" TargetMode="External"/><Relationship Id="rId635" Type="http://schemas.openxmlformats.org/officeDocument/2006/relationships/hyperlink" Target="http://pokemondb.net/pokedex/clamperl" TargetMode="External"/><Relationship Id="rId274" Type="http://schemas.openxmlformats.org/officeDocument/2006/relationships/hyperlink" Target="http://pokemondb.net/pokedex/walrein" TargetMode="External"/><Relationship Id="rId481" Type="http://schemas.openxmlformats.org/officeDocument/2006/relationships/hyperlink" Target="http://pokemondb.net/pokedex/fletchling" TargetMode="External"/><Relationship Id="rId702" Type="http://schemas.openxmlformats.org/officeDocument/2006/relationships/hyperlink" Target="http://pokemondb.net/pokedex/wormadam" TargetMode="External"/><Relationship Id="rId69" Type="http://schemas.openxmlformats.org/officeDocument/2006/relationships/hyperlink" Target="http://pokemondb.net/pokedex/magnemite" TargetMode="External"/><Relationship Id="rId134" Type="http://schemas.openxmlformats.org/officeDocument/2006/relationships/hyperlink" Target="http://pokemondb.net/pokedex/ledian" TargetMode="External"/><Relationship Id="rId579" Type="http://schemas.openxmlformats.org/officeDocument/2006/relationships/hyperlink" Target="http://pokemondb.net/pokedex/panpour" TargetMode="External"/><Relationship Id="rId341" Type="http://schemas.openxmlformats.org/officeDocument/2006/relationships/hyperlink" Target="http://pokemondb.net/pokedex/skorupi" TargetMode="External"/><Relationship Id="rId439" Type="http://schemas.openxmlformats.org/officeDocument/2006/relationships/hyperlink" Target="http://pokemondb.net/pokedex/tynamo" TargetMode="External"/><Relationship Id="rId646" Type="http://schemas.openxmlformats.org/officeDocument/2006/relationships/hyperlink" Target="http://pokemondb.net/pokedex/aromatisse" TargetMode="External"/><Relationship Id="rId201" Type="http://schemas.openxmlformats.org/officeDocument/2006/relationships/hyperlink" Target="http://pokemondb.net/pokedex/seedot" TargetMode="External"/><Relationship Id="rId285" Type="http://schemas.openxmlformats.org/officeDocument/2006/relationships/hyperlink" Target="http://pokemondb.net/pokedex/grotle" TargetMode="External"/><Relationship Id="rId506" Type="http://schemas.openxmlformats.org/officeDocument/2006/relationships/hyperlink" Target="http://pokemondb.net/pokedex/dragalge" TargetMode="External"/><Relationship Id="rId492" Type="http://schemas.openxmlformats.org/officeDocument/2006/relationships/hyperlink" Target="http://pokemondb.net/pokedex/floette" TargetMode="External"/><Relationship Id="rId713" Type="http://schemas.openxmlformats.org/officeDocument/2006/relationships/hyperlink" Target="http://pokemondb.net/pokedex/pancham" TargetMode="External"/><Relationship Id="rId145" Type="http://schemas.openxmlformats.org/officeDocument/2006/relationships/hyperlink" Target="http://pokemondb.net/pokedex/marill" TargetMode="External"/><Relationship Id="rId352" Type="http://schemas.openxmlformats.org/officeDocument/2006/relationships/hyperlink" Target="http://pokemondb.net/pokedex/serperior" TargetMode="External"/><Relationship Id="rId212" Type="http://schemas.openxmlformats.org/officeDocument/2006/relationships/hyperlink" Target="http://pokemondb.net/pokedex/masquerain" TargetMode="External"/><Relationship Id="rId657" Type="http://schemas.openxmlformats.org/officeDocument/2006/relationships/hyperlink" Target="http://pokemondb.net/pokedex/tyrogue" TargetMode="External"/><Relationship Id="rId296" Type="http://schemas.openxmlformats.org/officeDocument/2006/relationships/hyperlink" Target="http://pokemondb.net/pokedex/staravia" TargetMode="External"/><Relationship Id="rId517" Type="http://schemas.openxmlformats.org/officeDocument/2006/relationships/hyperlink" Target="http://pokemondb.net/pokedex/bergmite" TargetMode="External"/><Relationship Id="rId724" Type="http://schemas.openxmlformats.org/officeDocument/2006/relationships/hyperlink" Target="http://pokemondb.net/pokedex/aurorus" TargetMode="External"/><Relationship Id="rId60" Type="http://schemas.openxmlformats.org/officeDocument/2006/relationships/hyperlink" Target="http://pokemondb.net/pokedex/weepinbell" TargetMode="External"/><Relationship Id="rId156" Type="http://schemas.openxmlformats.org/officeDocument/2006/relationships/hyperlink" Target="http://pokemondb.net/pokedex/forretress" TargetMode="External"/><Relationship Id="rId363" Type="http://schemas.openxmlformats.org/officeDocument/2006/relationships/hyperlink" Target="http://pokemondb.net/pokedex/lillipup" TargetMode="External"/><Relationship Id="rId570" Type="http://schemas.openxmlformats.org/officeDocument/2006/relationships/hyperlink" Target="http://pokemondb.net/pokedex/delcatty" TargetMode="External"/><Relationship Id="rId223" Type="http://schemas.openxmlformats.org/officeDocument/2006/relationships/hyperlink" Target="http://pokemondb.net/pokedex/whismur" TargetMode="External"/><Relationship Id="rId430" Type="http://schemas.openxmlformats.org/officeDocument/2006/relationships/hyperlink" Target="http://pokemondb.net/pokedex/jellicent" TargetMode="External"/><Relationship Id="rId668" Type="http://schemas.openxmlformats.org/officeDocument/2006/relationships/hyperlink" Target="http://pokemondb.net/pokedex/mr-mime" TargetMode="External"/><Relationship Id="rId18" Type="http://schemas.openxmlformats.org/officeDocument/2006/relationships/hyperlink" Target="http://pokemondb.net/pokedex/kakuna" TargetMode="External"/><Relationship Id="rId528" Type="http://schemas.openxmlformats.org/officeDocument/2006/relationships/hyperlink" Target="http://pokemondb.net/pokedex/clefable" TargetMode="External"/><Relationship Id="rId735" Type="http://schemas.openxmlformats.org/officeDocument/2006/relationships/hyperlink" Target="http://pokemondb.net/pokedex/chansey" TargetMode="External"/><Relationship Id="rId167" Type="http://schemas.openxmlformats.org/officeDocument/2006/relationships/hyperlink" Target="http://pokemondb.net/pokedex/houndour" TargetMode="External"/><Relationship Id="rId374" Type="http://schemas.openxmlformats.org/officeDocument/2006/relationships/hyperlink" Target="http://pokemondb.net/pokedex/zebstrika" TargetMode="External"/><Relationship Id="rId581" Type="http://schemas.openxmlformats.org/officeDocument/2006/relationships/hyperlink" Target="http://pokemondb.net/pokedex/munna" TargetMode="External"/><Relationship Id="rId71" Type="http://schemas.openxmlformats.org/officeDocument/2006/relationships/hyperlink" Target="http://pokemondb.net/pokedex/doduo" TargetMode="External"/><Relationship Id="rId234" Type="http://schemas.openxmlformats.org/officeDocument/2006/relationships/hyperlink" Target="http://pokemondb.net/pokedex/medicham" TargetMode="External"/><Relationship Id="rId679" Type="http://schemas.openxmlformats.org/officeDocument/2006/relationships/hyperlink" Target="http://pokemondb.net/pokedex/yanma" TargetMode="External"/><Relationship Id="rId2" Type="http://schemas.openxmlformats.org/officeDocument/2006/relationships/hyperlink" Target="http://pokemondb.net/pokedex/ivysaur" TargetMode="External"/><Relationship Id="rId29" Type="http://schemas.openxmlformats.org/officeDocument/2006/relationships/hyperlink" Target="http://pokemondb.net/pokedex/ekans" TargetMode="External"/><Relationship Id="rId441" Type="http://schemas.openxmlformats.org/officeDocument/2006/relationships/hyperlink" Target="http://pokemondb.net/pokedex/elgyem" TargetMode="External"/><Relationship Id="rId539" Type="http://schemas.openxmlformats.org/officeDocument/2006/relationships/hyperlink" Target="http://pokemondb.net/pokedex/poliwhirl" TargetMode="External"/><Relationship Id="rId746" Type="http://schemas.openxmlformats.org/officeDocument/2006/relationships/hyperlink" Target="http://pokemondb.net/pokedex/marill" TargetMode="External"/><Relationship Id="rId178" Type="http://schemas.openxmlformats.org/officeDocument/2006/relationships/hyperlink" Target="http://pokemondb.net/pokedex/sceptile" TargetMode="External"/><Relationship Id="rId301" Type="http://schemas.openxmlformats.org/officeDocument/2006/relationships/hyperlink" Target="http://pokemondb.net/pokedex/kricketot" TargetMode="External"/><Relationship Id="rId82" Type="http://schemas.openxmlformats.org/officeDocument/2006/relationships/hyperlink" Target="http://pokemondb.net/pokedex/kingler" TargetMode="External"/><Relationship Id="rId385" Type="http://schemas.openxmlformats.org/officeDocument/2006/relationships/hyperlink" Target="http://pokemondb.net/pokedex/sewaddle" TargetMode="External"/><Relationship Id="rId592" Type="http://schemas.openxmlformats.org/officeDocument/2006/relationships/hyperlink" Target="http://pokemondb.net/pokedex/chandelure" TargetMode="External"/><Relationship Id="rId606" Type="http://schemas.openxmlformats.org/officeDocument/2006/relationships/hyperlink" Target="http://pokemondb.net/pokedex/machamp" TargetMode="External"/><Relationship Id="rId245" Type="http://schemas.openxmlformats.org/officeDocument/2006/relationships/hyperlink" Target="http://pokemondb.net/pokedex/spoink" TargetMode="External"/><Relationship Id="rId452" Type="http://schemas.openxmlformats.org/officeDocument/2006/relationships/hyperlink" Target="http://pokemondb.net/pokedex/mienshao" TargetMode="External"/><Relationship Id="rId105" Type="http://schemas.openxmlformats.org/officeDocument/2006/relationships/hyperlink" Target="http://pokemondb.net/pokedex/magby" TargetMode="External"/><Relationship Id="rId312" Type="http://schemas.openxmlformats.org/officeDocument/2006/relationships/hyperlink" Target="http://pokemondb.net/pokedex/mothim" TargetMode="External"/><Relationship Id="rId757" Type="http://schemas.openxmlformats.org/officeDocument/2006/relationships/hyperlink" Target="http://pokemondb.net/pokedex/swadloon" TargetMode="External"/><Relationship Id="rId93" Type="http://schemas.openxmlformats.org/officeDocument/2006/relationships/hyperlink" Target="http://pokemondb.net/pokedex/koffing" TargetMode="External"/><Relationship Id="rId189" Type="http://schemas.openxmlformats.org/officeDocument/2006/relationships/hyperlink" Target="http://pokemondb.net/pokedex/zigzagoon" TargetMode="External"/><Relationship Id="rId396" Type="http://schemas.openxmlformats.org/officeDocument/2006/relationships/hyperlink" Target="http://pokemondb.net/pokedex/darmanitan" TargetMode="External"/><Relationship Id="rId617" Type="http://schemas.openxmlformats.org/officeDocument/2006/relationships/hyperlink" Target="http://pokemondb.net/pokedex/seadra" TargetMode="External"/><Relationship Id="rId256" Type="http://schemas.openxmlformats.org/officeDocument/2006/relationships/hyperlink" Target="http://pokemondb.net/pokedex/whiscash" TargetMode="External"/><Relationship Id="rId463" Type="http://schemas.openxmlformats.org/officeDocument/2006/relationships/hyperlink" Target="http://pokemondb.net/pokedex/zweilous" TargetMode="External"/><Relationship Id="rId670" Type="http://schemas.openxmlformats.org/officeDocument/2006/relationships/hyperlink" Target="http://pokemondb.net/pokedex/leafeon" TargetMode="External"/><Relationship Id="rId116" Type="http://schemas.openxmlformats.org/officeDocument/2006/relationships/hyperlink" Target="http://pokemondb.net/pokedex/dragonite" TargetMode="External"/><Relationship Id="rId323" Type="http://schemas.openxmlformats.org/officeDocument/2006/relationships/hyperlink" Target="http://pokemondb.net/pokedex/cherubi" TargetMode="External"/><Relationship Id="rId530" Type="http://schemas.openxmlformats.org/officeDocument/2006/relationships/hyperlink" Target="http://pokemondb.net/pokedex/ninetales" TargetMode="External"/><Relationship Id="rId20" Type="http://schemas.openxmlformats.org/officeDocument/2006/relationships/hyperlink" Target="http://pokemondb.net/pokedex/beedrill" TargetMode="External"/><Relationship Id="rId628" Type="http://schemas.openxmlformats.org/officeDocument/2006/relationships/hyperlink" Target="http://pokemondb.net/pokedex/porygon-z" TargetMode="External"/><Relationship Id="rId267" Type="http://schemas.openxmlformats.org/officeDocument/2006/relationships/hyperlink" Target="http://pokemondb.net/pokedex/duskull" TargetMode="External"/><Relationship Id="rId474" Type="http://schemas.openxmlformats.org/officeDocument/2006/relationships/hyperlink" Target="http://pokemondb.net/pokedex/delphox" TargetMode="External"/><Relationship Id="rId127" Type="http://schemas.openxmlformats.org/officeDocument/2006/relationships/hyperlink" Target="http://pokemondb.net/pokedex/croconaw" TargetMode="External"/><Relationship Id="rId681" Type="http://schemas.openxmlformats.org/officeDocument/2006/relationships/hyperlink" Target="http://pokemondb.net/pokedex/gligar" TargetMode="External"/><Relationship Id="rId31" Type="http://schemas.openxmlformats.org/officeDocument/2006/relationships/hyperlink" Target="http://pokemondb.net/pokedex/sandshrew" TargetMode="External"/><Relationship Id="rId73" Type="http://schemas.openxmlformats.org/officeDocument/2006/relationships/hyperlink" Target="http://pokemondb.net/pokedex/seel" TargetMode="External"/><Relationship Id="rId169" Type="http://schemas.openxmlformats.org/officeDocument/2006/relationships/hyperlink" Target="http://pokemondb.net/pokedex/phanpy" TargetMode="External"/><Relationship Id="rId334" Type="http://schemas.openxmlformats.org/officeDocument/2006/relationships/hyperlink" Target="http://pokemondb.net/pokedex/bronzong" TargetMode="External"/><Relationship Id="rId376" Type="http://schemas.openxmlformats.org/officeDocument/2006/relationships/hyperlink" Target="http://pokemondb.net/pokedex/boldore" TargetMode="External"/><Relationship Id="rId541" Type="http://schemas.openxmlformats.org/officeDocument/2006/relationships/hyperlink" Target="http://pokemondb.net/pokedex/weepinbell" TargetMode="External"/><Relationship Id="rId583" Type="http://schemas.openxmlformats.org/officeDocument/2006/relationships/hyperlink" Target="http://pokemondb.net/pokedex/cottonee" TargetMode="External"/><Relationship Id="rId639" Type="http://schemas.openxmlformats.org/officeDocument/2006/relationships/hyperlink" Target="http://pokemondb.net/pokedex/gurdurr" TargetMode="External"/><Relationship Id="rId4" Type="http://schemas.openxmlformats.org/officeDocument/2006/relationships/hyperlink" Target="http://pokemondb.net/pokedex/venusaur" TargetMode="External"/><Relationship Id="rId180" Type="http://schemas.openxmlformats.org/officeDocument/2006/relationships/hyperlink" Target="http://pokemondb.net/pokedex/combusken" TargetMode="External"/><Relationship Id="rId236" Type="http://schemas.openxmlformats.org/officeDocument/2006/relationships/hyperlink" Target="http://pokemondb.net/pokedex/manectric" TargetMode="External"/><Relationship Id="rId278" Type="http://schemas.openxmlformats.org/officeDocument/2006/relationships/hyperlink" Target="http://pokemondb.net/pokedex/salamence" TargetMode="External"/><Relationship Id="rId401" Type="http://schemas.openxmlformats.org/officeDocument/2006/relationships/hyperlink" Target="http://pokemondb.net/pokedex/yamask" TargetMode="External"/><Relationship Id="rId443" Type="http://schemas.openxmlformats.org/officeDocument/2006/relationships/hyperlink" Target="http://pokemondb.net/pokedex/litwick" TargetMode="External"/><Relationship Id="rId650" Type="http://schemas.openxmlformats.org/officeDocument/2006/relationships/hyperlink" Target="http://pokemondb.net/pokedex/trevenant" TargetMode="External"/><Relationship Id="rId303" Type="http://schemas.openxmlformats.org/officeDocument/2006/relationships/hyperlink" Target="http://pokemondb.net/pokedex/shinx" TargetMode="External"/><Relationship Id="rId485" Type="http://schemas.openxmlformats.org/officeDocument/2006/relationships/hyperlink" Target="http://pokemondb.net/pokedex/scatterbug" TargetMode="External"/><Relationship Id="rId692" Type="http://schemas.openxmlformats.org/officeDocument/2006/relationships/hyperlink" Target="http://pokemondb.net/pokedex/cascoon" TargetMode="External"/><Relationship Id="rId706" Type="http://schemas.openxmlformats.org/officeDocument/2006/relationships/hyperlink" Target="http://pokemondb.net/pokedex/wormadam" TargetMode="External"/><Relationship Id="rId748" Type="http://schemas.openxmlformats.org/officeDocument/2006/relationships/hyperlink" Target="http://pokemondb.net/pokedex/roselia" TargetMode="External"/><Relationship Id="rId42" Type="http://schemas.openxmlformats.org/officeDocument/2006/relationships/hyperlink" Target="http://pokemondb.net/pokedex/parasect" TargetMode="External"/><Relationship Id="rId84" Type="http://schemas.openxmlformats.org/officeDocument/2006/relationships/hyperlink" Target="http://pokemondb.net/pokedex/electrode" TargetMode="External"/><Relationship Id="rId138" Type="http://schemas.openxmlformats.org/officeDocument/2006/relationships/hyperlink" Target="http://pokemondb.net/pokedex/lanturn" TargetMode="External"/><Relationship Id="rId345" Type="http://schemas.openxmlformats.org/officeDocument/2006/relationships/hyperlink" Target="http://pokemondb.net/pokedex/finneon" TargetMode="External"/><Relationship Id="rId387" Type="http://schemas.openxmlformats.org/officeDocument/2006/relationships/hyperlink" Target="http://pokemondb.net/pokedex/venipede" TargetMode="External"/><Relationship Id="rId510" Type="http://schemas.openxmlformats.org/officeDocument/2006/relationships/hyperlink" Target="http://pokemondb.net/pokedex/tyrantrum" TargetMode="External"/><Relationship Id="rId552" Type="http://schemas.openxmlformats.org/officeDocument/2006/relationships/hyperlink" Target="http://pokemondb.net/pokedex/jolteon" TargetMode="External"/><Relationship Id="rId594" Type="http://schemas.openxmlformats.org/officeDocument/2006/relationships/hyperlink" Target="http://pokemondb.net/pokedex/florges" TargetMode="External"/><Relationship Id="rId608" Type="http://schemas.openxmlformats.org/officeDocument/2006/relationships/hyperlink" Target="http://pokemondb.net/pokedex/golem" TargetMode="External"/><Relationship Id="rId191" Type="http://schemas.openxmlformats.org/officeDocument/2006/relationships/hyperlink" Target="http://pokemondb.net/pokedex/wurmple" TargetMode="External"/><Relationship Id="rId205" Type="http://schemas.openxmlformats.org/officeDocument/2006/relationships/hyperlink" Target="http://pokemondb.net/pokedex/wingull" TargetMode="External"/><Relationship Id="rId247" Type="http://schemas.openxmlformats.org/officeDocument/2006/relationships/hyperlink" Target="http://pokemondb.net/pokedex/trapinch" TargetMode="External"/><Relationship Id="rId412" Type="http://schemas.openxmlformats.org/officeDocument/2006/relationships/hyperlink" Target="http://pokemondb.net/pokedex/gothorita" TargetMode="External"/><Relationship Id="rId107" Type="http://schemas.openxmlformats.org/officeDocument/2006/relationships/hyperlink" Target="http://pokemondb.net/pokedex/magikarp" TargetMode="External"/><Relationship Id="rId289" Type="http://schemas.openxmlformats.org/officeDocument/2006/relationships/hyperlink" Target="http://pokemondb.net/pokedex/monferno" TargetMode="External"/><Relationship Id="rId454" Type="http://schemas.openxmlformats.org/officeDocument/2006/relationships/hyperlink" Target="http://pokemondb.net/pokedex/golurk" TargetMode="External"/><Relationship Id="rId496" Type="http://schemas.openxmlformats.org/officeDocument/2006/relationships/hyperlink" Target="http://pokemondb.net/pokedex/pangoro" TargetMode="External"/><Relationship Id="rId661" Type="http://schemas.openxmlformats.org/officeDocument/2006/relationships/hyperlink" Target="http://pokemondb.net/pokedex/lickitung" TargetMode="External"/><Relationship Id="rId717" Type="http://schemas.openxmlformats.org/officeDocument/2006/relationships/hyperlink" Target="http://pokemondb.net/pokedex/swirlix" TargetMode="External"/><Relationship Id="rId759" Type="http://schemas.openxmlformats.org/officeDocument/2006/relationships/table" Target="../tables/table3.xml"/><Relationship Id="rId11" Type="http://schemas.openxmlformats.org/officeDocument/2006/relationships/hyperlink" Target="http://pokemondb.net/pokedex/wartortle" TargetMode="External"/><Relationship Id="rId53" Type="http://schemas.openxmlformats.org/officeDocument/2006/relationships/hyperlink" Target="http://pokemondb.net/pokedex/poliwag" TargetMode="External"/><Relationship Id="rId149" Type="http://schemas.openxmlformats.org/officeDocument/2006/relationships/hyperlink" Target="http://pokemondb.net/pokedex/skiploom" TargetMode="External"/><Relationship Id="rId314" Type="http://schemas.openxmlformats.org/officeDocument/2006/relationships/hyperlink" Target="http://pokemondb.net/pokedex/wormadam" TargetMode="External"/><Relationship Id="rId356" Type="http://schemas.openxmlformats.org/officeDocument/2006/relationships/hyperlink" Target="http://pokemondb.net/pokedex/emboar" TargetMode="External"/><Relationship Id="rId398" Type="http://schemas.openxmlformats.org/officeDocument/2006/relationships/hyperlink" Target="http://pokemondb.net/pokedex/crustle" TargetMode="External"/><Relationship Id="rId521" Type="http://schemas.openxmlformats.org/officeDocument/2006/relationships/hyperlink" Target="http://pokemondb.net/pokedex/pikachu" TargetMode="External"/><Relationship Id="rId563" Type="http://schemas.openxmlformats.org/officeDocument/2006/relationships/hyperlink" Target="http://pokemondb.net/pokedex/lombre" TargetMode="External"/><Relationship Id="rId619" Type="http://schemas.openxmlformats.org/officeDocument/2006/relationships/hyperlink" Target="http://pokemondb.net/pokedex/scyther" TargetMode="External"/><Relationship Id="rId95" Type="http://schemas.openxmlformats.org/officeDocument/2006/relationships/hyperlink" Target="http://pokemondb.net/pokedex/rhyhorn" TargetMode="External"/><Relationship Id="rId160" Type="http://schemas.openxmlformats.org/officeDocument/2006/relationships/hyperlink" Target="http://pokemondb.net/pokedex/ursaring" TargetMode="External"/><Relationship Id="rId216" Type="http://schemas.openxmlformats.org/officeDocument/2006/relationships/hyperlink" Target="http://pokemondb.net/pokedex/vigoroth" TargetMode="External"/><Relationship Id="rId423" Type="http://schemas.openxmlformats.org/officeDocument/2006/relationships/hyperlink" Target="http://pokemondb.net/pokedex/vanillish" TargetMode="External"/><Relationship Id="rId258" Type="http://schemas.openxmlformats.org/officeDocument/2006/relationships/hyperlink" Target="http://pokemondb.net/pokedex/crawdaunt" TargetMode="External"/><Relationship Id="rId465" Type="http://schemas.openxmlformats.org/officeDocument/2006/relationships/hyperlink" Target="http://pokemondb.net/pokedex/larvesta" TargetMode="External"/><Relationship Id="rId630" Type="http://schemas.openxmlformats.org/officeDocument/2006/relationships/hyperlink" Target="http://pokemondb.net/pokedex/milotic" TargetMode="External"/><Relationship Id="rId672" Type="http://schemas.openxmlformats.org/officeDocument/2006/relationships/hyperlink" Target="http://pokemondb.net/pokedex/glaceon" TargetMode="External"/><Relationship Id="rId728" Type="http://schemas.openxmlformats.org/officeDocument/2006/relationships/hyperlink" Target="http://pokemondb.net/pokedex/pikachu" TargetMode="External"/><Relationship Id="rId22" Type="http://schemas.openxmlformats.org/officeDocument/2006/relationships/hyperlink" Target="http://pokemondb.net/pokedex/pidgeotto" TargetMode="External"/><Relationship Id="rId64" Type="http://schemas.openxmlformats.org/officeDocument/2006/relationships/hyperlink" Target="http://pokemondb.net/pokedex/graveler" TargetMode="External"/><Relationship Id="rId118" Type="http://schemas.openxmlformats.org/officeDocument/2006/relationships/hyperlink" Target="http://pokemondb.net/pokedex/bayleef" TargetMode="External"/><Relationship Id="rId325" Type="http://schemas.openxmlformats.org/officeDocument/2006/relationships/hyperlink" Target="http://pokemondb.net/pokedex/shellos" TargetMode="External"/><Relationship Id="rId367" Type="http://schemas.openxmlformats.org/officeDocument/2006/relationships/hyperlink" Target="http://pokemondb.net/pokedex/purrloin" TargetMode="External"/><Relationship Id="rId532" Type="http://schemas.openxmlformats.org/officeDocument/2006/relationships/hyperlink" Target="http://pokemondb.net/pokedex/wigglytuff" TargetMode="External"/><Relationship Id="rId574" Type="http://schemas.openxmlformats.org/officeDocument/2006/relationships/hyperlink" Target="http://pokemondb.net/pokedex/froslass" TargetMode="External"/><Relationship Id="rId171" Type="http://schemas.openxmlformats.org/officeDocument/2006/relationships/hyperlink" Target="http://pokemondb.net/pokedex/larvitar" TargetMode="External"/><Relationship Id="rId227" Type="http://schemas.openxmlformats.org/officeDocument/2006/relationships/hyperlink" Target="http://pokemondb.net/pokedex/makuhita" TargetMode="External"/><Relationship Id="rId269" Type="http://schemas.openxmlformats.org/officeDocument/2006/relationships/hyperlink" Target="http://pokemondb.net/pokedex/snorunt" TargetMode="External"/><Relationship Id="rId434" Type="http://schemas.openxmlformats.org/officeDocument/2006/relationships/hyperlink" Target="http://pokemondb.net/pokedex/ferrothorn" TargetMode="External"/><Relationship Id="rId476" Type="http://schemas.openxmlformats.org/officeDocument/2006/relationships/hyperlink" Target="http://pokemondb.net/pokedex/frogadier" TargetMode="External"/><Relationship Id="rId641" Type="http://schemas.openxmlformats.org/officeDocument/2006/relationships/hyperlink" Target="http://pokemondb.net/pokedex/karrablast" TargetMode="External"/><Relationship Id="rId683" Type="http://schemas.openxmlformats.org/officeDocument/2006/relationships/hyperlink" Target="http://pokemondb.net/pokedex/sneasel" TargetMode="External"/><Relationship Id="rId739" Type="http://schemas.openxmlformats.org/officeDocument/2006/relationships/hyperlink" Target="http://pokemondb.net/pokedex/eevee" TargetMode="External"/><Relationship Id="rId33" Type="http://schemas.openxmlformats.org/officeDocument/2006/relationships/hyperlink" Target="http://pokemondb.net/pokedex/nidoran-f" TargetMode="External"/><Relationship Id="rId129" Type="http://schemas.openxmlformats.org/officeDocument/2006/relationships/hyperlink" Target="http://pokemondb.net/pokedex/sentret" TargetMode="External"/><Relationship Id="rId280" Type="http://schemas.openxmlformats.org/officeDocument/2006/relationships/hyperlink" Target="http://pokemondb.net/pokedex/metang" TargetMode="External"/><Relationship Id="rId336" Type="http://schemas.openxmlformats.org/officeDocument/2006/relationships/hyperlink" Target="http://pokemondb.net/pokedex/gabite" TargetMode="External"/><Relationship Id="rId501" Type="http://schemas.openxmlformats.org/officeDocument/2006/relationships/hyperlink" Target="http://pokemondb.net/pokedex/inkay" TargetMode="External"/><Relationship Id="rId543" Type="http://schemas.openxmlformats.org/officeDocument/2006/relationships/hyperlink" Target="http://pokemondb.net/pokedex/shellder" TargetMode="External"/><Relationship Id="rId75" Type="http://schemas.openxmlformats.org/officeDocument/2006/relationships/hyperlink" Target="http://pokemondb.net/pokedex/grimer" TargetMode="External"/><Relationship Id="rId140" Type="http://schemas.openxmlformats.org/officeDocument/2006/relationships/hyperlink" Target="http://pokemondb.net/pokedex/xatu" TargetMode="External"/><Relationship Id="rId182" Type="http://schemas.openxmlformats.org/officeDocument/2006/relationships/hyperlink" Target="http://pokemondb.net/pokedex/blaziken" TargetMode="External"/><Relationship Id="rId378" Type="http://schemas.openxmlformats.org/officeDocument/2006/relationships/hyperlink" Target="http://pokemondb.net/pokedex/excadrill" TargetMode="External"/><Relationship Id="rId403" Type="http://schemas.openxmlformats.org/officeDocument/2006/relationships/hyperlink" Target="http://pokemondb.net/pokedex/tirtouga" TargetMode="External"/><Relationship Id="rId585" Type="http://schemas.openxmlformats.org/officeDocument/2006/relationships/hyperlink" Target="http://pokemondb.net/pokedex/petilil" TargetMode="External"/><Relationship Id="rId750" Type="http://schemas.openxmlformats.org/officeDocument/2006/relationships/hyperlink" Target="http://pokemondb.net/pokedex/chimecho" TargetMode="External"/><Relationship Id="rId6" Type="http://schemas.openxmlformats.org/officeDocument/2006/relationships/hyperlink" Target="http://pokemondb.net/pokedex/charmeleon" TargetMode="External"/><Relationship Id="rId238" Type="http://schemas.openxmlformats.org/officeDocument/2006/relationships/hyperlink" Target="http://pokemondb.net/pokedex/swalot" TargetMode="External"/><Relationship Id="rId445" Type="http://schemas.openxmlformats.org/officeDocument/2006/relationships/hyperlink" Target="http://pokemondb.net/pokedex/axew" TargetMode="External"/><Relationship Id="rId487" Type="http://schemas.openxmlformats.org/officeDocument/2006/relationships/hyperlink" Target="http://pokemondb.net/pokedex/spewpa" TargetMode="External"/><Relationship Id="rId610" Type="http://schemas.openxmlformats.org/officeDocument/2006/relationships/hyperlink" Target="http://pokemondb.net/pokedex/slowking" TargetMode="External"/><Relationship Id="rId652" Type="http://schemas.openxmlformats.org/officeDocument/2006/relationships/hyperlink" Target="http://pokemondb.net/pokedex/gourgeist" TargetMode="External"/><Relationship Id="rId694" Type="http://schemas.openxmlformats.org/officeDocument/2006/relationships/hyperlink" Target="http://pokemondb.net/pokedex/shedinja" TargetMode="External"/><Relationship Id="rId708" Type="http://schemas.openxmlformats.org/officeDocument/2006/relationships/hyperlink" Target="http://pokemondb.net/pokedex/vespiquen" TargetMode="External"/><Relationship Id="rId291" Type="http://schemas.openxmlformats.org/officeDocument/2006/relationships/hyperlink" Target="http://pokemondb.net/pokedex/piplup" TargetMode="External"/><Relationship Id="rId305" Type="http://schemas.openxmlformats.org/officeDocument/2006/relationships/hyperlink" Target="http://pokemondb.net/pokedex/luxio" TargetMode="External"/><Relationship Id="rId347" Type="http://schemas.openxmlformats.org/officeDocument/2006/relationships/hyperlink" Target="http://pokemondb.net/pokedex/snover" TargetMode="External"/><Relationship Id="rId512" Type="http://schemas.openxmlformats.org/officeDocument/2006/relationships/hyperlink" Target="http://pokemondb.net/pokedex/aurorus" TargetMode="External"/><Relationship Id="rId44" Type="http://schemas.openxmlformats.org/officeDocument/2006/relationships/hyperlink" Target="http://pokemondb.net/pokedex/venomoth" TargetMode="External"/><Relationship Id="rId86" Type="http://schemas.openxmlformats.org/officeDocument/2006/relationships/hyperlink" Target="http://pokemondb.net/pokedex/marowak" TargetMode="External"/><Relationship Id="rId151" Type="http://schemas.openxmlformats.org/officeDocument/2006/relationships/hyperlink" Target="http://pokemondb.net/pokedex/wooper" TargetMode="External"/><Relationship Id="rId389" Type="http://schemas.openxmlformats.org/officeDocument/2006/relationships/hyperlink" Target="http://pokemondb.net/pokedex/whirlipede" TargetMode="External"/><Relationship Id="rId554" Type="http://schemas.openxmlformats.org/officeDocument/2006/relationships/hyperlink" Target="http://pokemondb.net/pokedex/flareon" TargetMode="External"/><Relationship Id="rId596" Type="http://schemas.openxmlformats.org/officeDocument/2006/relationships/hyperlink" Target="http://pokemondb.net/pokedex/aegislash" TargetMode="External"/><Relationship Id="rId193" Type="http://schemas.openxmlformats.org/officeDocument/2006/relationships/hyperlink" Target="http://pokemondb.net/pokedex/silcoon" TargetMode="External"/><Relationship Id="rId207" Type="http://schemas.openxmlformats.org/officeDocument/2006/relationships/hyperlink" Target="http://pokemondb.net/pokedex/ralts" TargetMode="External"/><Relationship Id="rId249" Type="http://schemas.openxmlformats.org/officeDocument/2006/relationships/hyperlink" Target="http://pokemondb.net/pokedex/vibrava" TargetMode="External"/><Relationship Id="rId414" Type="http://schemas.openxmlformats.org/officeDocument/2006/relationships/hyperlink" Target="http://pokemondb.net/pokedex/gothitelle" TargetMode="External"/><Relationship Id="rId456" Type="http://schemas.openxmlformats.org/officeDocument/2006/relationships/hyperlink" Target="http://pokemondb.net/pokedex/bisharp" TargetMode="External"/><Relationship Id="rId498" Type="http://schemas.openxmlformats.org/officeDocument/2006/relationships/hyperlink" Target="http://pokemondb.net/pokedex/meowstic" TargetMode="External"/><Relationship Id="rId621" Type="http://schemas.openxmlformats.org/officeDocument/2006/relationships/hyperlink" Target="http://pokemondb.net/pokedex/electabuzz" TargetMode="External"/><Relationship Id="rId663" Type="http://schemas.openxmlformats.org/officeDocument/2006/relationships/hyperlink" Target="http://pokemondb.net/pokedex/happiny" TargetMode="External"/><Relationship Id="rId13" Type="http://schemas.openxmlformats.org/officeDocument/2006/relationships/hyperlink" Target="http://pokemondb.net/pokedex/caterpie" TargetMode="External"/><Relationship Id="rId109" Type="http://schemas.openxmlformats.org/officeDocument/2006/relationships/hyperlink" Target="http://pokemondb.net/pokedex/omanyte" TargetMode="External"/><Relationship Id="rId260" Type="http://schemas.openxmlformats.org/officeDocument/2006/relationships/hyperlink" Target="http://pokemondb.net/pokedex/claydol" TargetMode="External"/><Relationship Id="rId316" Type="http://schemas.openxmlformats.org/officeDocument/2006/relationships/hyperlink" Target="http://pokemondb.net/pokedex/wormadam" TargetMode="External"/><Relationship Id="rId523" Type="http://schemas.openxmlformats.org/officeDocument/2006/relationships/hyperlink" Target="http://pokemondb.net/pokedex/nidorina" TargetMode="External"/><Relationship Id="rId719" Type="http://schemas.openxmlformats.org/officeDocument/2006/relationships/hyperlink" Target="http://pokemondb.net/pokedex/inkay" TargetMode="External"/><Relationship Id="rId55" Type="http://schemas.openxmlformats.org/officeDocument/2006/relationships/hyperlink" Target="http://pokemondb.net/pokedex/abra" TargetMode="External"/><Relationship Id="rId97" Type="http://schemas.openxmlformats.org/officeDocument/2006/relationships/hyperlink" Target="http://pokemondb.net/pokedex/horsea" TargetMode="External"/><Relationship Id="rId120" Type="http://schemas.openxmlformats.org/officeDocument/2006/relationships/hyperlink" Target="http://pokemondb.net/pokedex/meganium" TargetMode="External"/><Relationship Id="rId358" Type="http://schemas.openxmlformats.org/officeDocument/2006/relationships/hyperlink" Target="http://pokemondb.net/pokedex/dewott" TargetMode="External"/><Relationship Id="rId565" Type="http://schemas.openxmlformats.org/officeDocument/2006/relationships/hyperlink" Target="http://pokemondb.net/pokedex/nuzleaf" TargetMode="External"/><Relationship Id="rId730" Type="http://schemas.openxmlformats.org/officeDocument/2006/relationships/hyperlink" Target="http://pokemondb.net/pokedex/clefairy" TargetMode="External"/><Relationship Id="rId162" Type="http://schemas.openxmlformats.org/officeDocument/2006/relationships/hyperlink" Target="http://pokemondb.net/pokedex/magcargo" TargetMode="External"/><Relationship Id="rId218" Type="http://schemas.openxmlformats.org/officeDocument/2006/relationships/hyperlink" Target="http://pokemondb.net/pokedex/slaking" TargetMode="External"/><Relationship Id="rId425" Type="http://schemas.openxmlformats.org/officeDocument/2006/relationships/hyperlink" Target="http://pokemondb.net/pokedex/deerling" TargetMode="External"/><Relationship Id="rId467" Type="http://schemas.openxmlformats.org/officeDocument/2006/relationships/hyperlink" Target="http://pokemondb.net/pokedex/chespin" TargetMode="External"/><Relationship Id="rId632" Type="http://schemas.openxmlformats.org/officeDocument/2006/relationships/hyperlink" Target="http://pokemondb.net/pokedex/dusknoir" TargetMode="External"/><Relationship Id="rId271" Type="http://schemas.openxmlformats.org/officeDocument/2006/relationships/hyperlink" Target="http://pokemondb.net/pokedex/spheal" TargetMode="External"/><Relationship Id="rId674" Type="http://schemas.openxmlformats.org/officeDocument/2006/relationships/hyperlink" Target="http://pokemondb.net/pokedex/sylveon" TargetMode="External"/><Relationship Id="rId24" Type="http://schemas.openxmlformats.org/officeDocument/2006/relationships/hyperlink" Target="http://pokemondb.net/pokedex/pidgeot" TargetMode="External"/><Relationship Id="rId66" Type="http://schemas.openxmlformats.org/officeDocument/2006/relationships/hyperlink" Target="http://pokemondb.net/pokedex/rapidash" TargetMode="External"/><Relationship Id="rId131" Type="http://schemas.openxmlformats.org/officeDocument/2006/relationships/hyperlink" Target="http://pokemondb.net/pokedex/hoothoot" TargetMode="External"/><Relationship Id="rId327" Type="http://schemas.openxmlformats.org/officeDocument/2006/relationships/hyperlink" Target="http://pokemondb.net/pokedex/drifloon" TargetMode="External"/><Relationship Id="rId369" Type="http://schemas.openxmlformats.org/officeDocument/2006/relationships/hyperlink" Target="http://pokemondb.net/pokedex/pidove" TargetMode="External"/><Relationship Id="rId534" Type="http://schemas.openxmlformats.org/officeDocument/2006/relationships/hyperlink" Target="http://pokemondb.net/pokedex/vileplume" TargetMode="External"/><Relationship Id="rId576" Type="http://schemas.openxmlformats.org/officeDocument/2006/relationships/hyperlink" Target="http://pokemondb.net/pokedex/simisage" TargetMode="External"/><Relationship Id="rId741" Type="http://schemas.openxmlformats.org/officeDocument/2006/relationships/hyperlink" Target="http://pokemondb.net/pokedex/munchlax" TargetMode="External"/><Relationship Id="rId173" Type="http://schemas.openxmlformats.org/officeDocument/2006/relationships/hyperlink" Target="http://pokemondb.net/pokedex/pupitar" TargetMode="External"/><Relationship Id="rId229" Type="http://schemas.openxmlformats.org/officeDocument/2006/relationships/hyperlink" Target="http://pokemondb.net/pokedex/aron" TargetMode="External"/><Relationship Id="rId380" Type="http://schemas.openxmlformats.org/officeDocument/2006/relationships/hyperlink" Target="http://pokemondb.net/pokedex/gurdurr" TargetMode="External"/><Relationship Id="rId436" Type="http://schemas.openxmlformats.org/officeDocument/2006/relationships/hyperlink" Target="http://pokemondb.net/pokedex/klang" TargetMode="External"/><Relationship Id="rId601" Type="http://schemas.openxmlformats.org/officeDocument/2006/relationships/hyperlink" Target="http://pokemondb.net/pokedex/poliwhirl" TargetMode="External"/><Relationship Id="rId643" Type="http://schemas.openxmlformats.org/officeDocument/2006/relationships/hyperlink" Target="http://pokemondb.net/pokedex/shelmet" TargetMode="External"/><Relationship Id="rId240" Type="http://schemas.openxmlformats.org/officeDocument/2006/relationships/hyperlink" Target="http://pokemondb.net/pokedex/sharpedo" TargetMode="External"/><Relationship Id="rId478" Type="http://schemas.openxmlformats.org/officeDocument/2006/relationships/hyperlink" Target="http://pokemondb.net/pokedex/greninja" TargetMode="External"/><Relationship Id="rId685" Type="http://schemas.openxmlformats.org/officeDocument/2006/relationships/hyperlink" Target="http://pokemondb.net/pokedex/piloswine" TargetMode="External"/><Relationship Id="rId35" Type="http://schemas.openxmlformats.org/officeDocument/2006/relationships/hyperlink" Target="http://pokemondb.net/pokedex/nidoran-m" TargetMode="External"/><Relationship Id="rId77" Type="http://schemas.openxmlformats.org/officeDocument/2006/relationships/hyperlink" Target="http://pokemondb.net/pokedex/gastly" TargetMode="External"/><Relationship Id="rId100" Type="http://schemas.openxmlformats.org/officeDocument/2006/relationships/hyperlink" Target="http://pokemondb.net/pokedex/seaking" TargetMode="External"/><Relationship Id="rId282" Type="http://schemas.openxmlformats.org/officeDocument/2006/relationships/hyperlink" Target="http://pokemondb.net/pokedex/metagross" TargetMode="External"/><Relationship Id="rId338" Type="http://schemas.openxmlformats.org/officeDocument/2006/relationships/hyperlink" Target="http://pokemondb.net/pokedex/garchomp" TargetMode="External"/><Relationship Id="rId503" Type="http://schemas.openxmlformats.org/officeDocument/2006/relationships/hyperlink" Target="http://pokemondb.net/pokedex/binacle" TargetMode="External"/><Relationship Id="rId545" Type="http://schemas.openxmlformats.org/officeDocument/2006/relationships/hyperlink" Target="http://pokemondb.net/pokedex/exeggcute" TargetMode="External"/><Relationship Id="rId587" Type="http://schemas.openxmlformats.org/officeDocument/2006/relationships/hyperlink" Target="http://pokemondb.net/pokedex/minccino" TargetMode="External"/><Relationship Id="rId710" Type="http://schemas.openxmlformats.org/officeDocument/2006/relationships/hyperlink" Target="http://pokemondb.net/pokedex/escavalier" TargetMode="External"/><Relationship Id="rId752" Type="http://schemas.openxmlformats.org/officeDocument/2006/relationships/hyperlink" Target="http://pokemondb.net/pokedex/lopunny" TargetMode="External"/><Relationship Id="rId8" Type="http://schemas.openxmlformats.org/officeDocument/2006/relationships/hyperlink" Target="http://pokemondb.net/pokedex/charizard" TargetMode="External"/><Relationship Id="rId142" Type="http://schemas.openxmlformats.org/officeDocument/2006/relationships/hyperlink" Target="http://pokemondb.net/pokedex/flaaffy" TargetMode="External"/><Relationship Id="rId184" Type="http://schemas.openxmlformats.org/officeDocument/2006/relationships/hyperlink" Target="http://pokemondb.net/pokedex/marshtomp" TargetMode="External"/><Relationship Id="rId391" Type="http://schemas.openxmlformats.org/officeDocument/2006/relationships/hyperlink" Target="http://pokemondb.net/pokedex/sandile" TargetMode="External"/><Relationship Id="rId405" Type="http://schemas.openxmlformats.org/officeDocument/2006/relationships/hyperlink" Target="http://pokemondb.net/pokedex/archen" TargetMode="External"/><Relationship Id="rId447" Type="http://schemas.openxmlformats.org/officeDocument/2006/relationships/hyperlink" Target="http://pokemondb.net/pokedex/fraxure" TargetMode="External"/><Relationship Id="rId612" Type="http://schemas.openxmlformats.org/officeDocument/2006/relationships/hyperlink" Target="http://pokemondb.net/pokedex/gengar" TargetMode="External"/><Relationship Id="rId251" Type="http://schemas.openxmlformats.org/officeDocument/2006/relationships/hyperlink" Target="http://pokemondb.net/pokedex/cacnea" TargetMode="External"/><Relationship Id="rId489" Type="http://schemas.openxmlformats.org/officeDocument/2006/relationships/hyperlink" Target="http://pokemondb.net/pokedex/litleo" TargetMode="External"/><Relationship Id="rId654" Type="http://schemas.openxmlformats.org/officeDocument/2006/relationships/hyperlink" Target="http://pokemondb.net/pokedex/magnezone" TargetMode="External"/><Relationship Id="rId696" Type="http://schemas.openxmlformats.org/officeDocument/2006/relationships/hyperlink" Target="http://pokemondb.net/pokedex/probopass" TargetMode="External"/><Relationship Id="rId46" Type="http://schemas.openxmlformats.org/officeDocument/2006/relationships/hyperlink" Target="http://pokemondb.net/pokedex/dugtrio" TargetMode="External"/><Relationship Id="rId293" Type="http://schemas.openxmlformats.org/officeDocument/2006/relationships/hyperlink" Target="http://pokemondb.net/pokedex/prinplup" TargetMode="External"/><Relationship Id="rId307" Type="http://schemas.openxmlformats.org/officeDocument/2006/relationships/hyperlink" Target="http://pokemondb.net/pokedex/cranidos" TargetMode="External"/><Relationship Id="rId349" Type="http://schemas.openxmlformats.org/officeDocument/2006/relationships/hyperlink" Target="http://pokemondb.net/pokedex/snivy" TargetMode="External"/><Relationship Id="rId514" Type="http://schemas.openxmlformats.org/officeDocument/2006/relationships/hyperlink" Target="http://pokemondb.net/pokedex/sliggoo" TargetMode="External"/><Relationship Id="rId556" Type="http://schemas.openxmlformats.org/officeDocument/2006/relationships/hyperlink" Target="http://pokemondb.net/pokedex/togekiss" TargetMode="External"/><Relationship Id="rId721" Type="http://schemas.openxmlformats.org/officeDocument/2006/relationships/hyperlink" Target="http://pokemondb.net/pokedex/tyrunt" TargetMode="External"/><Relationship Id="rId88" Type="http://schemas.openxmlformats.org/officeDocument/2006/relationships/hyperlink" Target="http://pokemondb.net/pokedex/hitmonlee" TargetMode="External"/><Relationship Id="rId111" Type="http://schemas.openxmlformats.org/officeDocument/2006/relationships/hyperlink" Target="http://pokemondb.net/pokedex/kabuto" TargetMode="External"/><Relationship Id="rId153" Type="http://schemas.openxmlformats.org/officeDocument/2006/relationships/hyperlink" Target="http://pokemondb.net/pokedex/wynaut" TargetMode="External"/><Relationship Id="rId195" Type="http://schemas.openxmlformats.org/officeDocument/2006/relationships/hyperlink" Target="http://pokemondb.net/pokedex/wurmple" TargetMode="External"/><Relationship Id="rId209" Type="http://schemas.openxmlformats.org/officeDocument/2006/relationships/hyperlink" Target="http://pokemondb.net/pokedex/kirlia" TargetMode="External"/><Relationship Id="rId360" Type="http://schemas.openxmlformats.org/officeDocument/2006/relationships/hyperlink" Target="http://pokemondb.net/pokedex/samurott" TargetMode="External"/><Relationship Id="rId416" Type="http://schemas.openxmlformats.org/officeDocument/2006/relationships/hyperlink" Target="http://pokemondb.net/pokedex/duosion" TargetMode="External"/><Relationship Id="rId598" Type="http://schemas.openxmlformats.org/officeDocument/2006/relationships/hyperlink" Target="http://pokemondb.net/pokedex/aegislash" TargetMode="External"/><Relationship Id="rId220" Type="http://schemas.openxmlformats.org/officeDocument/2006/relationships/hyperlink" Target="http://pokemondb.net/pokedex/ninjask" TargetMode="External"/><Relationship Id="rId458" Type="http://schemas.openxmlformats.org/officeDocument/2006/relationships/hyperlink" Target="http://pokemondb.net/pokedex/braviary" TargetMode="External"/><Relationship Id="rId623" Type="http://schemas.openxmlformats.org/officeDocument/2006/relationships/hyperlink" Target="http://pokemondb.net/pokedex/magmar" TargetMode="External"/><Relationship Id="rId665" Type="http://schemas.openxmlformats.org/officeDocument/2006/relationships/hyperlink" Target="http://pokemondb.net/pokedex/tangela" TargetMode="External"/><Relationship Id="rId15" Type="http://schemas.openxmlformats.org/officeDocument/2006/relationships/hyperlink" Target="http://pokemondb.net/pokedex/metapod" TargetMode="External"/><Relationship Id="rId57" Type="http://schemas.openxmlformats.org/officeDocument/2006/relationships/hyperlink" Target="http://pokemondb.net/pokedex/machop" TargetMode="External"/><Relationship Id="rId262" Type="http://schemas.openxmlformats.org/officeDocument/2006/relationships/hyperlink" Target="http://pokemondb.net/pokedex/cradily" TargetMode="External"/><Relationship Id="rId318" Type="http://schemas.openxmlformats.org/officeDocument/2006/relationships/hyperlink" Target="http://pokemondb.net/pokedex/wormadam" TargetMode="External"/><Relationship Id="rId525" Type="http://schemas.openxmlformats.org/officeDocument/2006/relationships/hyperlink" Target="http://pokemondb.net/pokedex/nidorino" TargetMode="External"/><Relationship Id="rId567" Type="http://schemas.openxmlformats.org/officeDocument/2006/relationships/hyperlink" Target="http://pokemondb.net/pokedex/kirlia" TargetMode="External"/><Relationship Id="rId732" Type="http://schemas.openxmlformats.org/officeDocument/2006/relationships/hyperlink" Target="http://pokemondb.net/pokedex/jigglypuff" TargetMode="External"/><Relationship Id="rId99" Type="http://schemas.openxmlformats.org/officeDocument/2006/relationships/hyperlink" Target="http://pokemondb.net/pokedex/goldeen" TargetMode="External"/><Relationship Id="rId122" Type="http://schemas.openxmlformats.org/officeDocument/2006/relationships/hyperlink" Target="http://pokemondb.net/pokedex/quilava" TargetMode="External"/><Relationship Id="rId164" Type="http://schemas.openxmlformats.org/officeDocument/2006/relationships/hyperlink" Target="http://pokemondb.net/pokedex/piloswine" TargetMode="External"/><Relationship Id="rId371" Type="http://schemas.openxmlformats.org/officeDocument/2006/relationships/hyperlink" Target="http://pokemondb.net/pokedex/tranquill" TargetMode="External"/><Relationship Id="rId427" Type="http://schemas.openxmlformats.org/officeDocument/2006/relationships/hyperlink" Target="http://pokemondb.net/pokedex/foongus" TargetMode="External"/><Relationship Id="rId469" Type="http://schemas.openxmlformats.org/officeDocument/2006/relationships/hyperlink" Target="http://pokemondb.net/pokedex/quilladin" TargetMode="External"/><Relationship Id="rId634" Type="http://schemas.openxmlformats.org/officeDocument/2006/relationships/hyperlink" Target="http://pokemondb.net/pokedex/huntail" TargetMode="External"/><Relationship Id="rId676" Type="http://schemas.openxmlformats.org/officeDocument/2006/relationships/hyperlink" Target="http://pokemondb.net/pokedex/sudowoodo" TargetMode="External"/><Relationship Id="rId26" Type="http://schemas.openxmlformats.org/officeDocument/2006/relationships/hyperlink" Target="http://pokemondb.net/pokedex/raticate" TargetMode="External"/><Relationship Id="rId231" Type="http://schemas.openxmlformats.org/officeDocument/2006/relationships/hyperlink" Target="http://pokemondb.net/pokedex/lairon" TargetMode="External"/><Relationship Id="rId273" Type="http://schemas.openxmlformats.org/officeDocument/2006/relationships/hyperlink" Target="http://pokemondb.net/pokedex/sealeo" TargetMode="External"/><Relationship Id="rId329" Type="http://schemas.openxmlformats.org/officeDocument/2006/relationships/hyperlink" Target="http://pokemondb.net/pokedex/glameow" TargetMode="External"/><Relationship Id="rId480" Type="http://schemas.openxmlformats.org/officeDocument/2006/relationships/hyperlink" Target="http://pokemondb.net/pokedex/diggersby" TargetMode="External"/><Relationship Id="rId536" Type="http://schemas.openxmlformats.org/officeDocument/2006/relationships/hyperlink" Target="http://pokemondb.net/pokedex/bellossom" TargetMode="External"/><Relationship Id="rId701" Type="http://schemas.openxmlformats.org/officeDocument/2006/relationships/hyperlink" Target="http://pokemondb.net/pokedex/burmy" TargetMode="External"/><Relationship Id="rId68" Type="http://schemas.openxmlformats.org/officeDocument/2006/relationships/hyperlink" Target="http://pokemondb.net/pokedex/slowbro" TargetMode="External"/><Relationship Id="rId133" Type="http://schemas.openxmlformats.org/officeDocument/2006/relationships/hyperlink" Target="http://pokemondb.net/pokedex/ledyba" TargetMode="External"/><Relationship Id="rId175" Type="http://schemas.openxmlformats.org/officeDocument/2006/relationships/hyperlink" Target="http://pokemondb.net/pokedex/treecko" TargetMode="External"/><Relationship Id="rId340" Type="http://schemas.openxmlformats.org/officeDocument/2006/relationships/hyperlink" Target="http://pokemondb.net/pokedex/hippowdon" TargetMode="External"/><Relationship Id="rId578" Type="http://schemas.openxmlformats.org/officeDocument/2006/relationships/hyperlink" Target="http://pokemondb.net/pokedex/simisear" TargetMode="External"/><Relationship Id="rId743" Type="http://schemas.openxmlformats.org/officeDocument/2006/relationships/hyperlink" Target="http://pokemondb.net/pokedex/togepi" TargetMode="External"/><Relationship Id="rId200" Type="http://schemas.openxmlformats.org/officeDocument/2006/relationships/hyperlink" Target="http://pokemondb.net/pokedex/lombre" TargetMode="External"/><Relationship Id="rId382" Type="http://schemas.openxmlformats.org/officeDocument/2006/relationships/hyperlink" Target="http://pokemondb.net/pokedex/palpitoad" TargetMode="External"/><Relationship Id="rId438" Type="http://schemas.openxmlformats.org/officeDocument/2006/relationships/hyperlink" Target="http://pokemondb.net/pokedex/klinklang" TargetMode="External"/><Relationship Id="rId603" Type="http://schemas.openxmlformats.org/officeDocument/2006/relationships/hyperlink" Target="http://pokemondb.net/pokedex/kadabra" TargetMode="External"/><Relationship Id="rId645" Type="http://schemas.openxmlformats.org/officeDocument/2006/relationships/hyperlink" Target="http://pokemondb.net/pokedex/spritzee" TargetMode="External"/><Relationship Id="rId687" Type="http://schemas.openxmlformats.org/officeDocument/2006/relationships/hyperlink" Target="http://pokemondb.net/pokedex/mantyke" TargetMode="External"/><Relationship Id="rId242" Type="http://schemas.openxmlformats.org/officeDocument/2006/relationships/hyperlink" Target="http://pokemondb.net/pokedex/wailord" TargetMode="External"/><Relationship Id="rId284" Type="http://schemas.openxmlformats.org/officeDocument/2006/relationships/hyperlink" Target="http://pokemondb.net/pokedex/grotle" TargetMode="External"/><Relationship Id="rId491" Type="http://schemas.openxmlformats.org/officeDocument/2006/relationships/hyperlink" Target="http://pokemondb.net/pokedex/flabebe" TargetMode="External"/><Relationship Id="rId505" Type="http://schemas.openxmlformats.org/officeDocument/2006/relationships/hyperlink" Target="http://pokemondb.net/pokedex/skrelp" TargetMode="External"/><Relationship Id="rId712" Type="http://schemas.openxmlformats.org/officeDocument/2006/relationships/hyperlink" Target="http://pokemondb.net/pokedex/accelgor" TargetMode="External"/><Relationship Id="rId37" Type="http://schemas.openxmlformats.org/officeDocument/2006/relationships/hyperlink" Target="http://pokemondb.net/pokedex/zubat" TargetMode="External"/><Relationship Id="rId79" Type="http://schemas.openxmlformats.org/officeDocument/2006/relationships/hyperlink" Target="http://pokemondb.net/pokedex/drowzee" TargetMode="External"/><Relationship Id="rId102" Type="http://schemas.openxmlformats.org/officeDocument/2006/relationships/hyperlink" Target="http://pokemondb.net/pokedex/jynx" TargetMode="External"/><Relationship Id="rId144" Type="http://schemas.openxmlformats.org/officeDocument/2006/relationships/hyperlink" Target="http://pokemondb.net/pokedex/ampharos" TargetMode="External"/><Relationship Id="rId547" Type="http://schemas.openxmlformats.org/officeDocument/2006/relationships/hyperlink" Target="http://pokemondb.net/pokedex/staryu" TargetMode="External"/><Relationship Id="rId589" Type="http://schemas.openxmlformats.org/officeDocument/2006/relationships/hyperlink" Target="http://pokemondb.net/pokedex/eelektrik" TargetMode="External"/><Relationship Id="rId754" Type="http://schemas.openxmlformats.org/officeDocument/2006/relationships/hyperlink" Target="http://pokemondb.net/pokedex/lucario" TargetMode="External"/><Relationship Id="rId90" Type="http://schemas.openxmlformats.org/officeDocument/2006/relationships/hyperlink" Target="http://pokemondb.net/pokedex/hitmonchan" TargetMode="External"/><Relationship Id="rId186" Type="http://schemas.openxmlformats.org/officeDocument/2006/relationships/hyperlink" Target="http://pokemondb.net/pokedex/swampert" TargetMode="External"/><Relationship Id="rId351" Type="http://schemas.openxmlformats.org/officeDocument/2006/relationships/hyperlink" Target="http://pokemondb.net/pokedex/servine" TargetMode="External"/><Relationship Id="rId393" Type="http://schemas.openxmlformats.org/officeDocument/2006/relationships/hyperlink" Target="http://pokemondb.net/pokedex/krokorok" TargetMode="External"/><Relationship Id="rId407" Type="http://schemas.openxmlformats.org/officeDocument/2006/relationships/hyperlink" Target="http://pokemondb.net/pokedex/trubbish" TargetMode="External"/><Relationship Id="rId449" Type="http://schemas.openxmlformats.org/officeDocument/2006/relationships/hyperlink" Target="http://pokemondb.net/pokedex/cubchoo" TargetMode="External"/><Relationship Id="rId614" Type="http://schemas.openxmlformats.org/officeDocument/2006/relationships/hyperlink" Target="http://pokemondb.net/pokedex/steelix" TargetMode="External"/><Relationship Id="rId656" Type="http://schemas.openxmlformats.org/officeDocument/2006/relationships/hyperlink" Target="http://pokemondb.net/pokedex/hitmonlee" TargetMode="External"/><Relationship Id="rId211" Type="http://schemas.openxmlformats.org/officeDocument/2006/relationships/hyperlink" Target="http://pokemondb.net/pokedex/surskit" TargetMode="External"/><Relationship Id="rId253" Type="http://schemas.openxmlformats.org/officeDocument/2006/relationships/hyperlink" Target="http://pokemondb.net/pokedex/swablu" TargetMode="External"/><Relationship Id="rId295" Type="http://schemas.openxmlformats.org/officeDocument/2006/relationships/hyperlink" Target="http://pokemondb.net/pokedex/starly" TargetMode="External"/><Relationship Id="rId309" Type="http://schemas.openxmlformats.org/officeDocument/2006/relationships/hyperlink" Target="http://pokemondb.net/pokedex/shieldon" TargetMode="External"/><Relationship Id="rId460" Type="http://schemas.openxmlformats.org/officeDocument/2006/relationships/hyperlink" Target="http://pokemondb.net/pokedex/mandibuzz" TargetMode="External"/><Relationship Id="rId516" Type="http://schemas.openxmlformats.org/officeDocument/2006/relationships/hyperlink" Target="http://pokemondb.net/pokedex/goodra" TargetMode="External"/><Relationship Id="rId698" Type="http://schemas.openxmlformats.org/officeDocument/2006/relationships/hyperlink" Target="http://pokemondb.net/pokedex/milotic" TargetMode="External"/><Relationship Id="rId48" Type="http://schemas.openxmlformats.org/officeDocument/2006/relationships/hyperlink" Target="http://pokemondb.net/pokedex/persian" TargetMode="External"/><Relationship Id="rId113" Type="http://schemas.openxmlformats.org/officeDocument/2006/relationships/hyperlink" Target="http://pokemondb.net/pokedex/dratini" TargetMode="External"/><Relationship Id="rId320" Type="http://schemas.openxmlformats.org/officeDocument/2006/relationships/hyperlink" Target="http://pokemondb.net/pokedex/vespiquen" TargetMode="External"/><Relationship Id="rId558" Type="http://schemas.openxmlformats.org/officeDocument/2006/relationships/hyperlink" Target="http://pokemondb.net/pokedex/sunflora" TargetMode="External"/><Relationship Id="rId723" Type="http://schemas.openxmlformats.org/officeDocument/2006/relationships/hyperlink" Target="http://pokemondb.net/pokedex/amaura" TargetMode="External"/><Relationship Id="rId155" Type="http://schemas.openxmlformats.org/officeDocument/2006/relationships/hyperlink" Target="http://pokemondb.net/pokedex/pineco" TargetMode="External"/><Relationship Id="rId197" Type="http://schemas.openxmlformats.org/officeDocument/2006/relationships/hyperlink" Target="http://pokemondb.net/pokedex/cascoon" TargetMode="External"/><Relationship Id="rId362" Type="http://schemas.openxmlformats.org/officeDocument/2006/relationships/hyperlink" Target="http://pokemondb.net/pokedex/watchog" TargetMode="External"/><Relationship Id="rId418" Type="http://schemas.openxmlformats.org/officeDocument/2006/relationships/hyperlink" Target="http://pokemondb.net/pokedex/reuniclus" TargetMode="External"/><Relationship Id="rId625" Type="http://schemas.openxmlformats.org/officeDocument/2006/relationships/hyperlink" Target="http://pokemondb.net/pokedex/porygon" TargetMode="External"/><Relationship Id="rId222" Type="http://schemas.openxmlformats.org/officeDocument/2006/relationships/hyperlink" Target="http://pokemondb.net/pokedex/shedinja" TargetMode="External"/><Relationship Id="rId264" Type="http://schemas.openxmlformats.org/officeDocument/2006/relationships/hyperlink" Target="http://pokemondb.net/pokedex/armaldo" TargetMode="External"/><Relationship Id="rId471" Type="http://schemas.openxmlformats.org/officeDocument/2006/relationships/hyperlink" Target="http://pokemondb.net/pokedex/fennekin" TargetMode="External"/><Relationship Id="rId667" Type="http://schemas.openxmlformats.org/officeDocument/2006/relationships/hyperlink" Target="http://pokemondb.net/pokedex/mime-jr" TargetMode="External"/><Relationship Id="rId17" Type="http://schemas.openxmlformats.org/officeDocument/2006/relationships/hyperlink" Target="http://pokemondb.net/pokedex/weedle" TargetMode="External"/><Relationship Id="rId59" Type="http://schemas.openxmlformats.org/officeDocument/2006/relationships/hyperlink" Target="http://pokemondb.net/pokedex/bellsprout" TargetMode="External"/><Relationship Id="rId124" Type="http://schemas.openxmlformats.org/officeDocument/2006/relationships/hyperlink" Target="http://pokemondb.net/pokedex/typhlosion" TargetMode="External"/><Relationship Id="rId527" Type="http://schemas.openxmlformats.org/officeDocument/2006/relationships/hyperlink" Target="http://pokemondb.net/pokedex/clefairy" TargetMode="External"/><Relationship Id="rId569" Type="http://schemas.openxmlformats.org/officeDocument/2006/relationships/hyperlink" Target="http://pokemondb.net/pokedex/skitty" TargetMode="External"/><Relationship Id="rId734" Type="http://schemas.openxmlformats.org/officeDocument/2006/relationships/hyperlink" Target="http://pokemondb.net/pokedex/crobat" TargetMode="External"/><Relationship Id="rId70" Type="http://schemas.openxmlformats.org/officeDocument/2006/relationships/hyperlink" Target="http://pokemondb.net/pokedex/magneton" TargetMode="External"/><Relationship Id="rId166" Type="http://schemas.openxmlformats.org/officeDocument/2006/relationships/hyperlink" Target="http://pokemondb.net/pokedex/octillery" TargetMode="External"/><Relationship Id="rId331" Type="http://schemas.openxmlformats.org/officeDocument/2006/relationships/hyperlink" Target="http://pokemondb.net/pokedex/stunky" TargetMode="External"/><Relationship Id="rId373" Type="http://schemas.openxmlformats.org/officeDocument/2006/relationships/hyperlink" Target="http://pokemondb.net/pokedex/blitzle" TargetMode="External"/><Relationship Id="rId429" Type="http://schemas.openxmlformats.org/officeDocument/2006/relationships/hyperlink" Target="http://pokemondb.net/pokedex/frillish" TargetMode="External"/><Relationship Id="rId580" Type="http://schemas.openxmlformats.org/officeDocument/2006/relationships/hyperlink" Target="http://pokemondb.net/pokedex/simipour" TargetMode="External"/><Relationship Id="rId636" Type="http://schemas.openxmlformats.org/officeDocument/2006/relationships/hyperlink" Target="http://pokemondb.net/pokedex/gorebyss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pokedex/meditite" TargetMode="External"/><Relationship Id="rId440" Type="http://schemas.openxmlformats.org/officeDocument/2006/relationships/hyperlink" Target="http://pokemondb.net/pokedex/eelektrik" TargetMode="External"/><Relationship Id="rId678" Type="http://schemas.openxmlformats.org/officeDocument/2006/relationships/hyperlink" Target="http://pokemondb.net/pokedex/ambipom" TargetMode="External"/><Relationship Id="rId28" Type="http://schemas.openxmlformats.org/officeDocument/2006/relationships/hyperlink" Target="http://pokemondb.net/pokedex/fearow" TargetMode="External"/><Relationship Id="rId275" Type="http://schemas.openxmlformats.org/officeDocument/2006/relationships/hyperlink" Target="http://pokemondb.net/pokedex/bagon" TargetMode="External"/><Relationship Id="rId300" Type="http://schemas.openxmlformats.org/officeDocument/2006/relationships/hyperlink" Target="http://pokemondb.net/pokedex/bibarel" TargetMode="External"/><Relationship Id="rId482" Type="http://schemas.openxmlformats.org/officeDocument/2006/relationships/hyperlink" Target="http://pokemondb.net/pokedex/fletchinder" TargetMode="External"/><Relationship Id="rId538" Type="http://schemas.openxmlformats.org/officeDocument/2006/relationships/hyperlink" Target="http://pokemondb.net/pokedex/arcanine" TargetMode="External"/><Relationship Id="rId703" Type="http://schemas.openxmlformats.org/officeDocument/2006/relationships/hyperlink" Target="http://pokemondb.net/pokedex/burmy" TargetMode="External"/><Relationship Id="rId745" Type="http://schemas.openxmlformats.org/officeDocument/2006/relationships/hyperlink" Target="http://pokemondb.net/pokedex/azurill" TargetMode="External"/><Relationship Id="rId81" Type="http://schemas.openxmlformats.org/officeDocument/2006/relationships/hyperlink" Target="http://pokemondb.net/pokedex/krabby" TargetMode="External"/><Relationship Id="rId135" Type="http://schemas.openxmlformats.org/officeDocument/2006/relationships/hyperlink" Target="http://pokemondb.net/pokedex/spinarak" TargetMode="External"/><Relationship Id="rId177" Type="http://schemas.openxmlformats.org/officeDocument/2006/relationships/hyperlink" Target="http://pokemondb.net/pokedex/grovyle" TargetMode="External"/><Relationship Id="rId342" Type="http://schemas.openxmlformats.org/officeDocument/2006/relationships/hyperlink" Target="http://pokemondb.net/pokedex/drapion" TargetMode="External"/><Relationship Id="rId384" Type="http://schemas.openxmlformats.org/officeDocument/2006/relationships/hyperlink" Target="http://pokemondb.net/pokedex/seismitoad" TargetMode="External"/><Relationship Id="rId591" Type="http://schemas.openxmlformats.org/officeDocument/2006/relationships/hyperlink" Target="http://pokemondb.net/pokedex/lampent" TargetMode="External"/><Relationship Id="rId605" Type="http://schemas.openxmlformats.org/officeDocument/2006/relationships/hyperlink" Target="http://pokemondb.net/pokedex/machoke" TargetMode="External"/><Relationship Id="rId202" Type="http://schemas.openxmlformats.org/officeDocument/2006/relationships/hyperlink" Target="http://pokemondb.net/pokedex/nuzleaf" TargetMode="External"/><Relationship Id="rId244" Type="http://schemas.openxmlformats.org/officeDocument/2006/relationships/hyperlink" Target="http://pokemondb.net/pokedex/camerupt" TargetMode="External"/><Relationship Id="rId647" Type="http://schemas.openxmlformats.org/officeDocument/2006/relationships/hyperlink" Target="http://pokemondb.net/pokedex/swirlix" TargetMode="External"/><Relationship Id="rId689" Type="http://schemas.openxmlformats.org/officeDocument/2006/relationships/hyperlink" Target="http://pokemondb.net/pokedex/wurmple" TargetMode="External"/><Relationship Id="rId39" Type="http://schemas.openxmlformats.org/officeDocument/2006/relationships/hyperlink" Target="http://pokemondb.net/pokedex/oddish" TargetMode="External"/><Relationship Id="rId286" Type="http://schemas.openxmlformats.org/officeDocument/2006/relationships/hyperlink" Target="http://pokemondb.net/pokedex/torterra" TargetMode="External"/><Relationship Id="rId451" Type="http://schemas.openxmlformats.org/officeDocument/2006/relationships/hyperlink" Target="http://pokemondb.net/pokedex/mienfoo" TargetMode="External"/><Relationship Id="rId493" Type="http://schemas.openxmlformats.org/officeDocument/2006/relationships/hyperlink" Target="http://pokemondb.net/pokedex/skiddo" TargetMode="External"/><Relationship Id="rId507" Type="http://schemas.openxmlformats.org/officeDocument/2006/relationships/hyperlink" Target="http://pokemondb.net/pokedex/clauncher" TargetMode="External"/><Relationship Id="rId549" Type="http://schemas.openxmlformats.org/officeDocument/2006/relationships/hyperlink" Target="http://pokemondb.net/pokedex/eevee" TargetMode="External"/><Relationship Id="rId714" Type="http://schemas.openxmlformats.org/officeDocument/2006/relationships/hyperlink" Target="http://pokemondb.net/pokedex/pangoro" TargetMode="External"/><Relationship Id="rId756" Type="http://schemas.openxmlformats.org/officeDocument/2006/relationships/hyperlink" Target="http://pokemondb.net/pokedex/swoobat" TargetMode="External"/><Relationship Id="rId50" Type="http://schemas.openxmlformats.org/officeDocument/2006/relationships/hyperlink" Target="http://pokemondb.net/pokedex/golduck" TargetMode="External"/><Relationship Id="rId104" Type="http://schemas.openxmlformats.org/officeDocument/2006/relationships/hyperlink" Target="http://pokemondb.net/pokedex/electabuzz" TargetMode="External"/><Relationship Id="rId146" Type="http://schemas.openxmlformats.org/officeDocument/2006/relationships/hyperlink" Target="http://pokemondb.net/pokedex/azumarill" TargetMode="External"/><Relationship Id="rId188" Type="http://schemas.openxmlformats.org/officeDocument/2006/relationships/hyperlink" Target="http://pokemondb.net/pokedex/mightyena" TargetMode="External"/><Relationship Id="rId311" Type="http://schemas.openxmlformats.org/officeDocument/2006/relationships/hyperlink" Target="http://pokemondb.net/pokedex/burmy" TargetMode="External"/><Relationship Id="rId353" Type="http://schemas.openxmlformats.org/officeDocument/2006/relationships/hyperlink" Target="http://pokemondb.net/pokedex/tepig" TargetMode="External"/><Relationship Id="rId395" Type="http://schemas.openxmlformats.org/officeDocument/2006/relationships/hyperlink" Target="http://pokemondb.net/pokedex/darumaka" TargetMode="External"/><Relationship Id="rId409" Type="http://schemas.openxmlformats.org/officeDocument/2006/relationships/hyperlink" Target="http://pokemondb.net/pokedex/zorua" TargetMode="External"/><Relationship Id="rId560" Type="http://schemas.openxmlformats.org/officeDocument/2006/relationships/hyperlink" Target="http://pokemondb.net/pokedex/honchkrow" TargetMode="External"/><Relationship Id="rId92" Type="http://schemas.openxmlformats.org/officeDocument/2006/relationships/hyperlink" Target="http://pokemondb.net/pokedex/hitmontop" TargetMode="External"/><Relationship Id="rId213" Type="http://schemas.openxmlformats.org/officeDocument/2006/relationships/hyperlink" Target="http://pokemondb.net/pokedex/shroomish" TargetMode="External"/><Relationship Id="rId420" Type="http://schemas.openxmlformats.org/officeDocument/2006/relationships/hyperlink" Target="http://pokemondb.net/pokedex/swanna" TargetMode="External"/><Relationship Id="rId616" Type="http://schemas.openxmlformats.org/officeDocument/2006/relationships/hyperlink" Target="http://pokemondb.net/pokedex/rhyperior" TargetMode="External"/><Relationship Id="rId658" Type="http://schemas.openxmlformats.org/officeDocument/2006/relationships/hyperlink" Target="http://pokemondb.net/pokedex/hitmonchan" TargetMode="External"/><Relationship Id="rId255" Type="http://schemas.openxmlformats.org/officeDocument/2006/relationships/hyperlink" Target="http://pokemondb.net/pokedex/barboach" TargetMode="External"/><Relationship Id="rId297" Type="http://schemas.openxmlformats.org/officeDocument/2006/relationships/hyperlink" Target="http://pokemondb.net/pokedex/staravia" TargetMode="External"/><Relationship Id="rId462" Type="http://schemas.openxmlformats.org/officeDocument/2006/relationships/hyperlink" Target="http://pokemondb.net/pokedex/zweilous" TargetMode="External"/><Relationship Id="rId518" Type="http://schemas.openxmlformats.org/officeDocument/2006/relationships/hyperlink" Target="http://pokemondb.net/pokedex/avalugg" TargetMode="External"/><Relationship Id="rId725" Type="http://schemas.openxmlformats.org/officeDocument/2006/relationships/hyperlink" Target="http://pokemondb.net/pokedex/sliggoo" TargetMode="External"/><Relationship Id="rId115" Type="http://schemas.openxmlformats.org/officeDocument/2006/relationships/hyperlink" Target="http://pokemondb.net/pokedex/dragonair" TargetMode="External"/><Relationship Id="rId157" Type="http://schemas.openxmlformats.org/officeDocument/2006/relationships/hyperlink" Target="http://pokemondb.net/pokedex/snubbull" TargetMode="External"/><Relationship Id="rId322" Type="http://schemas.openxmlformats.org/officeDocument/2006/relationships/hyperlink" Target="http://pokemondb.net/pokedex/floatzel" TargetMode="External"/><Relationship Id="rId364" Type="http://schemas.openxmlformats.org/officeDocument/2006/relationships/hyperlink" Target="http://pokemondb.net/pokedex/herdier" TargetMode="External"/><Relationship Id="rId61" Type="http://schemas.openxmlformats.org/officeDocument/2006/relationships/hyperlink" Target="http://pokemondb.net/pokedex/tentacool" TargetMode="External"/><Relationship Id="rId199" Type="http://schemas.openxmlformats.org/officeDocument/2006/relationships/hyperlink" Target="http://pokemondb.net/pokedex/lotad" TargetMode="External"/><Relationship Id="rId571" Type="http://schemas.openxmlformats.org/officeDocument/2006/relationships/hyperlink" Target="http://pokemondb.net/pokedex/roselia" TargetMode="External"/><Relationship Id="rId627" Type="http://schemas.openxmlformats.org/officeDocument/2006/relationships/hyperlink" Target="http://pokemondb.net/pokedex/porygon2" TargetMode="External"/><Relationship Id="rId669" Type="http://schemas.openxmlformats.org/officeDocument/2006/relationships/hyperlink" Target="http://pokemondb.net/pokedex/eevee" TargetMode="External"/><Relationship Id="rId19" Type="http://schemas.openxmlformats.org/officeDocument/2006/relationships/hyperlink" Target="http://pokemondb.net/pokedex/kakuna" TargetMode="External"/><Relationship Id="rId224" Type="http://schemas.openxmlformats.org/officeDocument/2006/relationships/hyperlink" Target="http://pokemondb.net/pokedex/loudred" TargetMode="External"/><Relationship Id="rId266" Type="http://schemas.openxmlformats.org/officeDocument/2006/relationships/hyperlink" Target="http://pokemondb.net/pokedex/banette" TargetMode="External"/><Relationship Id="rId431" Type="http://schemas.openxmlformats.org/officeDocument/2006/relationships/hyperlink" Target="http://pokemondb.net/pokedex/joltik" TargetMode="External"/><Relationship Id="rId473" Type="http://schemas.openxmlformats.org/officeDocument/2006/relationships/hyperlink" Target="http://pokemondb.net/pokedex/braixen" TargetMode="External"/><Relationship Id="rId529" Type="http://schemas.openxmlformats.org/officeDocument/2006/relationships/hyperlink" Target="http://pokemondb.net/pokedex/vulpix" TargetMode="External"/><Relationship Id="rId680" Type="http://schemas.openxmlformats.org/officeDocument/2006/relationships/hyperlink" Target="http://pokemondb.net/pokedex/yanmega" TargetMode="External"/><Relationship Id="rId736" Type="http://schemas.openxmlformats.org/officeDocument/2006/relationships/hyperlink" Target="http://pokemondb.net/pokedex/blissey" TargetMode="External"/><Relationship Id="rId30" Type="http://schemas.openxmlformats.org/officeDocument/2006/relationships/hyperlink" Target="http://pokemondb.net/pokedex/arbok" TargetMode="External"/><Relationship Id="rId126" Type="http://schemas.openxmlformats.org/officeDocument/2006/relationships/hyperlink" Target="http://pokemondb.net/pokedex/croconaw" TargetMode="External"/><Relationship Id="rId168" Type="http://schemas.openxmlformats.org/officeDocument/2006/relationships/hyperlink" Target="http://pokemondb.net/pokedex/houndoom" TargetMode="External"/><Relationship Id="rId333" Type="http://schemas.openxmlformats.org/officeDocument/2006/relationships/hyperlink" Target="http://pokemondb.net/pokedex/bronzor" TargetMode="External"/><Relationship Id="rId540" Type="http://schemas.openxmlformats.org/officeDocument/2006/relationships/hyperlink" Target="http://pokemondb.net/pokedex/poliwrath" TargetMode="External"/><Relationship Id="rId72" Type="http://schemas.openxmlformats.org/officeDocument/2006/relationships/hyperlink" Target="http://pokemondb.net/pokedex/dodrio" TargetMode="External"/><Relationship Id="rId375" Type="http://schemas.openxmlformats.org/officeDocument/2006/relationships/hyperlink" Target="http://pokemondb.net/pokedex/roggenrola" TargetMode="External"/><Relationship Id="rId582" Type="http://schemas.openxmlformats.org/officeDocument/2006/relationships/hyperlink" Target="http://pokemondb.net/pokedex/musharna" TargetMode="External"/><Relationship Id="rId638" Type="http://schemas.openxmlformats.org/officeDocument/2006/relationships/hyperlink" Target="http://pokemondb.net/pokedex/gigalith" TargetMode="External"/><Relationship Id="rId3" Type="http://schemas.openxmlformats.org/officeDocument/2006/relationships/hyperlink" Target="http://pokemondb.net/pokedex/ivysaur" TargetMode="External"/><Relationship Id="rId235" Type="http://schemas.openxmlformats.org/officeDocument/2006/relationships/hyperlink" Target="http://pokemondb.net/pokedex/electrike" TargetMode="External"/><Relationship Id="rId277" Type="http://schemas.openxmlformats.org/officeDocument/2006/relationships/hyperlink" Target="http://pokemondb.net/pokedex/shelgon" TargetMode="External"/><Relationship Id="rId400" Type="http://schemas.openxmlformats.org/officeDocument/2006/relationships/hyperlink" Target="http://pokemondb.net/pokedex/scrafty" TargetMode="External"/><Relationship Id="rId442" Type="http://schemas.openxmlformats.org/officeDocument/2006/relationships/hyperlink" Target="http://pokemondb.net/pokedex/beheeyem" TargetMode="External"/><Relationship Id="rId484" Type="http://schemas.openxmlformats.org/officeDocument/2006/relationships/hyperlink" Target="http://pokemondb.net/pokedex/talonflame" TargetMode="External"/><Relationship Id="rId705" Type="http://schemas.openxmlformats.org/officeDocument/2006/relationships/hyperlink" Target="http://pokemondb.net/pokedex/burmy" TargetMode="External"/><Relationship Id="rId137" Type="http://schemas.openxmlformats.org/officeDocument/2006/relationships/hyperlink" Target="http://pokemondb.net/pokedex/chinchou" TargetMode="External"/><Relationship Id="rId302" Type="http://schemas.openxmlformats.org/officeDocument/2006/relationships/hyperlink" Target="http://pokemondb.net/pokedex/kricketune" TargetMode="External"/><Relationship Id="rId344" Type="http://schemas.openxmlformats.org/officeDocument/2006/relationships/hyperlink" Target="http://pokemondb.net/pokedex/toxicroak" TargetMode="External"/><Relationship Id="rId691" Type="http://schemas.openxmlformats.org/officeDocument/2006/relationships/hyperlink" Target="http://pokemondb.net/pokedex/wurmple" TargetMode="External"/><Relationship Id="rId747" Type="http://schemas.openxmlformats.org/officeDocument/2006/relationships/hyperlink" Target="http://pokemondb.net/pokedex/budew" TargetMode="External"/><Relationship Id="rId41" Type="http://schemas.openxmlformats.org/officeDocument/2006/relationships/hyperlink" Target="http://pokemondb.net/pokedex/paras" TargetMode="External"/><Relationship Id="rId83" Type="http://schemas.openxmlformats.org/officeDocument/2006/relationships/hyperlink" Target="http://pokemondb.net/pokedex/voltorb" TargetMode="External"/><Relationship Id="rId179" Type="http://schemas.openxmlformats.org/officeDocument/2006/relationships/hyperlink" Target="http://pokemondb.net/pokedex/torchic" TargetMode="External"/><Relationship Id="rId386" Type="http://schemas.openxmlformats.org/officeDocument/2006/relationships/hyperlink" Target="http://pokemondb.net/pokedex/swadloon" TargetMode="External"/><Relationship Id="rId551" Type="http://schemas.openxmlformats.org/officeDocument/2006/relationships/hyperlink" Target="http://pokemondb.net/pokedex/eevee" TargetMode="External"/><Relationship Id="rId593" Type="http://schemas.openxmlformats.org/officeDocument/2006/relationships/hyperlink" Target="http://pokemondb.net/pokedex/floette" TargetMode="External"/><Relationship Id="rId607" Type="http://schemas.openxmlformats.org/officeDocument/2006/relationships/hyperlink" Target="http://pokemondb.net/pokedex/graveler" TargetMode="External"/><Relationship Id="rId649" Type="http://schemas.openxmlformats.org/officeDocument/2006/relationships/hyperlink" Target="http://pokemondb.net/pokedex/phantump" TargetMode="External"/><Relationship Id="rId190" Type="http://schemas.openxmlformats.org/officeDocument/2006/relationships/hyperlink" Target="http://pokemondb.net/pokedex/linoone" TargetMode="External"/><Relationship Id="rId204" Type="http://schemas.openxmlformats.org/officeDocument/2006/relationships/hyperlink" Target="http://pokemondb.net/pokedex/swellow" TargetMode="External"/><Relationship Id="rId246" Type="http://schemas.openxmlformats.org/officeDocument/2006/relationships/hyperlink" Target="http://pokemondb.net/pokedex/grumpig" TargetMode="External"/><Relationship Id="rId288" Type="http://schemas.openxmlformats.org/officeDocument/2006/relationships/hyperlink" Target="http://pokemondb.net/pokedex/monferno" TargetMode="External"/><Relationship Id="rId411" Type="http://schemas.openxmlformats.org/officeDocument/2006/relationships/hyperlink" Target="http://pokemondb.net/pokedex/gothita" TargetMode="External"/><Relationship Id="rId453" Type="http://schemas.openxmlformats.org/officeDocument/2006/relationships/hyperlink" Target="http://pokemondb.net/pokedex/golett" TargetMode="External"/><Relationship Id="rId509" Type="http://schemas.openxmlformats.org/officeDocument/2006/relationships/hyperlink" Target="http://pokemondb.net/pokedex/tyrunt" TargetMode="External"/><Relationship Id="rId660" Type="http://schemas.openxmlformats.org/officeDocument/2006/relationships/hyperlink" Target="http://pokemondb.net/pokedex/hitmontop" TargetMode="External"/><Relationship Id="rId106" Type="http://schemas.openxmlformats.org/officeDocument/2006/relationships/hyperlink" Target="http://pokemondb.net/pokedex/magmar" TargetMode="External"/><Relationship Id="rId313" Type="http://schemas.openxmlformats.org/officeDocument/2006/relationships/hyperlink" Target="http://pokemondb.net/pokedex/burmy" TargetMode="External"/><Relationship Id="rId495" Type="http://schemas.openxmlformats.org/officeDocument/2006/relationships/hyperlink" Target="http://pokemondb.net/pokedex/pancham" TargetMode="External"/><Relationship Id="rId716" Type="http://schemas.openxmlformats.org/officeDocument/2006/relationships/hyperlink" Target="http://pokemondb.net/pokedex/aromatisse" TargetMode="External"/><Relationship Id="rId758" Type="http://schemas.openxmlformats.org/officeDocument/2006/relationships/hyperlink" Target="http://pokemondb.net/pokedex/leavanny" TargetMode="External"/><Relationship Id="rId10" Type="http://schemas.openxmlformats.org/officeDocument/2006/relationships/hyperlink" Target="http://pokemondb.net/pokedex/wartortle" TargetMode="External"/><Relationship Id="rId52" Type="http://schemas.openxmlformats.org/officeDocument/2006/relationships/hyperlink" Target="http://pokemondb.net/pokedex/primeape" TargetMode="External"/><Relationship Id="rId94" Type="http://schemas.openxmlformats.org/officeDocument/2006/relationships/hyperlink" Target="http://pokemondb.net/pokedex/weezing" TargetMode="External"/><Relationship Id="rId148" Type="http://schemas.openxmlformats.org/officeDocument/2006/relationships/hyperlink" Target="http://pokemondb.net/pokedex/skiploom" TargetMode="External"/><Relationship Id="rId355" Type="http://schemas.openxmlformats.org/officeDocument/2006/relationships/hyperlink" Target="http://pokemondb.net/pokedex/pignite" TargetMode="External"/><Relationship Id="rId397" Type="http://schemas.openxmlformats.org/officeDocument/2006/relationships/hyperlink" Target="http://pokemondb.net/pokedex/dwebble" TargetMode="External"/><Relationship Id="rId520" Type="http://schemas.openxmlformats.org/officeDocument/2006/relationships/hyperlink" Target="http://pokemondb.net/pokedex/noivern" TargetMode="External"/><Relationship Id="rId562" Type="http://schemas.openxmlformats.org/officeDocument/2006/relationships/hyperlink" Target="http://pokemondb.net/pokedex/mismagius" TargetMode="External"/><Relationship Id="rId618" Type="http://schemas.openxmlformats.org/officeDocument/2006/relationships/hyperlink" Target="http://pokemondb.net/pokedex/kingdra" TargetMode="External"/><Relationship Id="rId215" Type="http://schemas.openxmlformats.org/officeDocument/2006/relationships/hyperlink" Target="http://pokemondb.net/pokedex/slakoth" TargetMode="External"/><Relationship Id="rId257" Type="http://schemas.openxmlformats.org/officeDocument/2006/relationships/hyperlink" Target="http://pokemondb.net/pokedex/corphish" TargetMode="External"/><Relationship Id="rId422" Type="http://schemas.openxmlformats.org/officeDocument/2006/relationships/hyperlink" Target="http://pokemondb.net/pokedex/vanillish" TargetMode="External"/><Relationship Id="rId464" Type="http://schemas.openxmlformats.org/officeDocument/2006/relationships/hyperlink" Target="http://pokemondb.net/pokedex/hydreigon" TargetMode="External"/><Relationship Id="rId299" Type="http://schemas.openxmlformats.org/officeDocument/2006/relationships/hyperlink" Target="http://pokemondb.net/pokedex/bidoof" TargetMode="External"/><Relationship Id="rId727" Type="http://schemas.openxmlformats.org/officeDocument/2006/relationships/hyperlink" Target="http://pokemondb.net/pokedex/pichu" TargetMode="External"/><Relationship Id="rId63" Type="http://schemas.openxmlformats.org/officeDocument/2006/relationships/hyperlink" Target="http://pokemondb.net/pokedex/geodude" TargetMode="External"/><Relationship Id="rId159" Type="http://schemas.openxmlformats.org/officeDocument/2006/relationships/hyperlink" Target="http://pokemondb.net/pokedex/teddiursa" TargetMode="External"/><Relationship Id="rId366" Type="http://schemas.openxmlformats.org/officeDocument/2006/relationships/hyperlink" Target="http://pokemondb.net/pokedex/stoutland" TargetMode="External"/><Relationship Id="rId573" Type="http://schemas.openxmlformats.org/officeDocument/2006/relationships/hyperlink" Target="http://pokemondb.net/pokedex/snorunt" TargetMode="External"/><Relationship Id="rId226" Type="http://schemas.openxmlformats.org/officeDocument/2006/relationships/hyperlink" Target="http://pokemondb.net/pokedex/exploud" TargetMode="External"/><Relationship Id="rId433" Type="http://schemas.openxmlformats.org/officeDocument/2006/relationships/hyperlink" Target="http://pokemondb.net/pokedex/ferroseed" TargetMode="External"/><Relationship Id="rId640" Type="http://schemas.openxmlformats.org/officeDocument/2006/relationships/hyperlink" Target="http://pokemondb.net/pokedex/conkeldurr" TargetMode="External"/><Relationship Id="rId738" Type="http://schemas.openxmlformats.org/officeDocument/2006/relationships/hyperlink" Target="http://pokemondb.net/pokedex/espeon" TargetMode="External"/><Relationship Id="rId74" Type="http://schemas.openxmlformats.org/officeDocument/2006/relationships/hyperlink" Target="http://pokemondb.net/pokedex/dewgong" TargetMode="External"/><Relationship Id="rId377" Type="http://schemas.openxmlformats.org/officeDocument/2006/relationships/hyperlink" Target="http://pokemondb.net/pokedex/drilbur" TargetMode="External"/><Relationship Id="rId500" Type="http://schemas.openxmlformats.org/officeDocument/2006/relationships/hyperlink" Target="http://pokemondb.net/pokedex/doublade" TargetMode="External"/><Relationship Id="rId584" Type="http://schemas.openxmlformats.org/officeDocument/2006/relationships/hyperlink" Target="http://pokemondb.net/pokedex/whimsicott" TargetMode="External"/><Relationship Id="rId5" Type="http://schemas.openxmlformats.org/officeDocument/2006/relationships/hyperlink" Target="http://pokemondb.net/pokedex/charmander" TargetMode="External"/><Relationship Id="rId237" Type="http://schemas.openxmlformats.org/officeDocument/2006/relationships/hyperlink" Target="http://pokemondb.net/pokedex/gulpin" TargetMode="External"/><Relationship Id="rId444" Type="http://schemas.openxmlformats.org/officeDocument/2006/relationships/hyperlink" Target="http://pokemondb.net/pokedex/lampent" TargetMode="External"/><Relationship Id="rId651" Type="http://schemas.openxmlformats.org/officeDocument/2006/relationships/hyperlink" Target="http://pokemondb.net/pokedex/pumpkaboo" TargetMode="External"/><Relationship Id="rId749" Type="http://schemas.openxmlformats.org/officeDocument/2006/relationships/hyperlink" Target="http://pokemondb.net/pokedex/chingling" TargetMode="External"/><Relationship Id="rId290" Type="http://schemas.openxmlformats.org/officeDocument/2006/relationships/hyperlink" Target="http://pokemondb.net/pokedex/infernape" TargetMode="External"/><Relationship Id="rId304" Type="http://schemas.openxmlformats.org/officeDocument/2006/relationships/hyperlink" Target="http://pokemondb.net/pokedex/luxio" TargetMode="External"/><Relationship Id="rId388" Type="http://schemas.openxmlformats.org/officeDocument/2006/relationships/hyperlink" Target="http://pokemondb.net/pokedex/whirlipede" TargetMode="External"/><Relationship Id="rId511" Type="http://schemas.openxmlformats.org/officeDocument/2006/relationships/hyperlink" Target="http://pokemondb.net/pokedex/amaura" TargetMode="External"/><Relationship Id="rId609" Type="http://schemas.openxmlformats.org/officeDocument/2006/relationships/hyperlink" Target="http://pokemondb.net/pokedex/slowpoke" TargetMode="External"/><Relationship Id="rId85" Type="http://schemas.openxmlformats.org/officeDocument/2006/relationships/hyperlink" Target="http://pokemondb.net/pokedex/cubone" TargetMode="External"/><Relationship Id="rId150" Type="http://schemas.openxmlformats.org/officeDocument/2006/relationships/hyperlink" Target="http://pokemondb.net/pokedex/jumpluff" TargetMode="External"/><Relationship Id="rId595" Type="http://schemas.openxmlformats.org/officeDocument/2006/relationships/hyperlink" Target="http://pokemondb.net/pokedex/doublade" TargetMode="External"/><Relationship Id="rId248" Type="http://schemas.openxmlformats.org/officeDocument/2006/relationships/hyperlink" Target="http://pokemondb.net/pokedex/vibrava" TargetMode="External"/><Relationship Id="rId455" Type="http://schemas.openxmlformats.org/officeDocument/2006/relationships/hyperlink" Target="http://pokemondb.net/pokedex/pawniard" TargetMode="External"/><Relationship Id="rId662" Type="http://schemas.openxmlformats.org/officeDocument/2006/relationships/hyperlink" Target="http://pokemondb.net/pokedex/lickilicky" TargetMode="External"/><Relationship Id="rId12" Type="http://schemas.openxmlformats.org/officeDocument/2006/relationships/hyperlink" Target="http://pokemondb.net/pokedex/blastoise" TargetMode="External"/><Relationship Id="rId108" Type="http://schemas.openxmlformats.org/officeDocument/2006/relationships/hyperlink" Target="http://pokemondb.net/pokedex/gyarados" TargetMode="External"/><Relationship Id="rId315" Type="http://schemas.openxmlformats.org/officeDocument/2006/relationships/hyperlink" Target="http://pokemondb.net/pokedex/burmy" TargetMode="External"/><Relationship Id="rId522" Type="http://schemas.openxmlformats.org/officeDocument/2006/relationships/hyperlink" Target="http://pokemondb.net/pokedex/raichu" TargetMode="External"/><Relationship Id="rId96" Type="http://schemas.openxmlformats.org/officeDocument/2006/relationships/hyperlink" Target="http://pokemondb.net/pokedex/rhydon" TargetMode="External"/><Relationship Id="rId161" Type="http://schemas.openxmlformats.org/officeDocument/2006/relationships/hyperlink" Target="http://pokemondb.net/pokedex/slugma" TargetMode="External"/><Relationship Id="rId399" Type="http://schemas.openxmlformats.org/officeDocument/2006/relationships/hyperlink" Target="http://pokemondb.net/pokedex/scraggy" TargetMode="External"/><Relationship Id="rId259" Type="http://schemas.openxmlformats.org/officeDocument/2006/relationships/hyperlink" Target="http://pokemondb.net/pokedex/baltoy" TargetMode="External"/><Relationship Id="rId466" Type="http://schemas.openxmlformats.org/officeDocument/2006/relationships/hyperlink" Target="http://pokemondb.net/pokedex/volcarona" TargetMode="External"/><Relationship Id="rId673" Type="http://schemas.openxmlformats.org/officeDocument/2006/relationships/hyperlink" Target="http://pokemondb.net/pokedex/eevee" TargetMode="External"/><Relationship Id="rId23" Type="http://schemas.openxmlformats.org/officeDocument/2006/relationships/hyperlink" Target="http://pokemondb.net/pokedex/pidgeotto" TargetMode="External"/><Relationship Id="rId119" Type="http://schemas.openxmlformats.org/officeDocument/2006/relationships/hyperlink" Target="http://pokemondb.net/pokedex/bayleef" TargetMode="External"/><Relationship Id="rId326" Type="http://schemas.openxmlformats.org/officeDocument/2006/relationships/hyperlink" Target="http://pokemondb.net/pokedex/gastrodon" TargetMode="External"/><Relationship Id="rId533" Type="http://schemas.openxmlformats.org/officeDocument/2006/relationships/hyperlink" Target="http://pokemondb.net/pokedex/gloom" TargetMode="External"/><Relationship Id="rId740" Type="http://schemas.openxmlformats.org/officeDocument/2006/relationships/hyperlink" Target="http://pokemondb.net/pokedex/umbreon" TargetMode="External"/><Relationship Id="rId172" Type="http://schemas.openxmlformats.org/officeDocument/2006/relationships/hyperlink" Target="http://pokemondb.net/pokedex/pupitar" TargetMode="External"/><Relationship Id="rId477" Type="http://schemas.openxmlformats.org/officeDocument/2006/relationships/hyperlink" Target="http://pokemondb.net/pokedex/frogadier" TargetMode="External"/><Relationship Id="rId600" Type="http://schemas.openxmlformats.org/officeDocument/2006/relationships/hyperlink" Target="http://pokemondb.net/pokedex/heliolisk" TargetMode="External"/><Relationship Id="rId684" Type="http://schemas.openxmlformats.org/officeDocument/2006/relationships/hyperlink" Target="http://pokemondb.net/pokedex/weavile" TargetMode="External"/><Relationship Id="rId337" Type="http://schemas.openxmlformats.org/officeDocument/2006/relationships/hyperlink" Target="http://pokemondb.net/pokedex/gabite" TargetMode="External"/><Relationship Id="rId34" Type="http://schemas.openxmlformats.org/officeDocument/2006/relationships/hyperlink" Target="http://pokemondb.net/pokedex/nidorina" TargetMode="External"/><Relationship Id="rId544" Type="http://schemas.openxmlformats.org/officeDocument/2006/relationships/hyperlink" Target="http://pokemondb.net/pokedex/cloyster" TargetMode="External"/><Relationship Id="rId751" Type="http://schemas.openxmlformats.org/officeDocument/2006/relationships/hyperlink" Target="http://pokemondb.net/pokedex/buneary" TargetMode="External"/><Relationship Id="rId183" Type="http://schemas.openxmlformats.org/officeDocument/2006/relationships/hyperlink" Target="http://pokemondb.net/pokedex/mudkip" TargetMode="External"/><Relationship Id="rId390" Type="http://schemas.openxmlformats.org/officeDocument/2006/relationships/hyperlink" Target="http://pokemondb.net/pokedex/scolipede" TargetMode="External"/><Relationship Id="rId404" Type="http://schemas.openxmlformats.org/officeDocument/2006/relationships/hyperlink" Target="http://pokemondb.net/pokedex/carracosta" TargetMode="External"/><Relationship Id="rId611" Type="http://schemas.openxmlformats.org/officeDocument/2006/relationships/hyperlink" Target="http://pokemondb.net/pokedex/haunter" TargetMode="External"/><Relationship Id="rId250" Type="http://schemas.openxmlformats.org/officeDocument/2006/relationships/hyperlink" Target="http://pokemondb.net/pokedex/flygon" TargetMode="External"/><Relationship Id="rId488" Type="http://schemas.openxmlformats.org/officeDocument/2006/relationships/hyperlink" Target="http://pokemondb.net/pokedex/vivillon" TargetMode="External"/><Relationship Id="rId695" Type="http://schemas.openxmlformats.org/officeDocument/2006/relationships/hyperlink" Target="http://pokemondb.net/pokedex/nosepass" TargetMode="External"/><Relationship Id="rId709" Type="http://schemas.openxmlformats.org/officeDocument/2006/relationships/hyperlink" Target="http://pokemondb.net/pokedex/karrablast" TargetMode="External"/><Relationship Id="rId45" Type="http://schemas.openxmlformats.org/officeDocument/2006/relationships/hyperlink" Target="http://pokemondb.net/pokedex/diglett" TargetMode="External"/><Relationship Id="rId110" Type="http://schemas.openxmlformats.org/officeDocument/2006/relationships/hyperlink" Target="http://pokemondb.net/pokedex/omastar" TargetMode="External"/><Relationship Id="rId348" Type="http://schemas.openxmlformats.org/officeDocument/2006/relationships/hyperlink" Target="http://pokemondb.net/pokedex/abomasnow" TargetMode="External"/><Relationship Id="rId555" Type="http://schemas.openxmlformats.org/officeDocument/2006/relationships/hyperlink" Target="http://pokemondb.net/pokedex/togetic" TargetMode="External"/><Relationship Id="rId194" Type="http://schemas.openxmlformats.org/officeDocument/2006/relationships/hyperlink" Target="http://pokemondb.net/pokedex/beautifly" TargetMode="External"/><Relationship Id="rId208" Type="http://schemas.openxmlformats.org/officeDocument/2006/relationships/hyperlink" Target="http://pokemondb.net/pokedex/kirlia" TargetMode="External"/><Relationship Id="rId415" Type="http://schemas.openxmlformats.org/officeDocument/2006/relationships/hyperlink" Target="http://pokemondb.net/pokedex/solosis" TargetMode="External"/><Relationship Id="rId622" Type="http://schemas.openxmlformats.org/officeDocument/2006/relationships/hyperlink" Target="http://pokemondb.net/pokedex/electivire" TargetMode="External"/><Relationship Id="rId261" Type="http://schemas.openxmlformats.org/officeDocument/2006/relationships/hyperlink" Target="http://pokemondb.net/pokedex/lileep" TargetMode="External"/><Relationship Id="rId499" Type="http://schemas.openxmlformats.org/officeDocument/2006/relationships/hyperlink" Target="http://pokemondb.net/pokedex/honedge" TargetMode="External"/><Relationship Id="rId56" Type="http://schemas.openxmlformats.org/officeDocument/2006/relationships/hyperlink" Target="http://pokemondb.net/pokedex/kadabra" TargetMode="External"/><Relationship Id="rId359" Type="http://schemas.openxmlformats.org/officeDocument/2006/relationships/hyperlink" Target="http://pokemondb.net/pokedex/dewott" TargetMode="External"/><Relationship Id="rId566" Type="http://schemas.openxmlformats.org/officeDocument/2006/relationships/hyperlink" Target="http://pokemondb.net/pokedex/shiftry" TargetMode="External"/><Relationship Id="rId121" Type="http://schemas.openxmlformats.org/officeDocument/2006/relationships/hyperlink" Target="http://pokemondb.net/pokedex/cyndaquil" TargetMode="External"/><Relationship Id="rId219" Type="http://schemas.openxmlformats.org/officeDocument/2006/relationships/hyperlink" Target="http://pokemondb.net/pokedex/nincada" TargetMode="External"/><Relationship Id="rId426" Type="http://schemas.openxmlformats.org/officeDocument/2006/relationships/hyperlink" Target="http://pokemondb.net/pokedex/sawsbuck" TargetMode="External"/><Relationship Id="rId633" Type="http://schemas.openxmlformats.org/officeDocument/2006/relationships/hyperlink" Target="http://pokemondb.net/pokedex/clamperl" TargetMode="External"/><Relationship Id="rId67" Type="http://schemas.openxmlformats.org/officeDocument/2006/relationships/hyperlink" Target="http://pokemondb.net/pokedex/slowpoke" TargetMode="External"/><Relationship Id="rId272" Type="http://schemas.openxmlformats.org/officeDocument/2006/relationships/hyperlink" Target="http://pokemondb.net/pokedex/sealeo" TargetMode="External"/><Relationship Id="rId577" Type="http://schemas.openxmlformats.org/officeDocument/2006/relationships/hyperlink" Target="http://pokemondb.net/pokedex/pansear" TargetMode="External"/><Relationship Id="rId700" Type="http://schemas.openxmlformats.org/officeDocument/2006/relationships/hyperlink" Target="http://pokemondb.net/pokedex/mothim" TargetMode="External"/><Relationship Id="rId132" Type="http://schemas.openxmlformats.org/officeDocument/2006/relationships/hyperlink" Target="http://pokemondb.net/pokedex/noctowl" TargetMode="External"/><Relationship Id="rId437" Type="http://schemas.openxmlformats.org/officeDocument/2006/relationships/hyperlink" Target="http://pokemondb.net/pokedex/klang" TargetMode="External"/><Relationship Id="rId644" Type="http://schemas.openxmlformats.org/officeDocument/2006/relationships/hyperlink" Target="http://pokemondb.net/pokedex/accelgor" TargetMode="External"/><Relationship Id="rId283" Type="http://schemas.openxmlformats.org/officeDocument/2006/relationships/hyperlink" Target="http://pokemondb.net/pokedex/turtwig" TargetMode="External"/><Relationship Id="rId490" Type="http://schemas.openxmlformats.org/officeDocument/2006/relationships/hyperlink" Target="http://pokemondb.net/pokedex/pyroar" TargetMode="External"/><Relationship Id="rId504" Type="http://schemas.openxmlformats.org/officeDocument/2006/relationships/hyperlink" Target="http://pokemondb.net/pokedex/barbaracle" TargetMode="External"/><Relationship Id="rId711" Type="http://schemas.openxmlformats.org/officeDocument/2006/relationships/hyperlink" Target="http://pokemondb.net/pokedex/shelmet" TargetMode="External"/><Relationship Id="rId78" Type="http://schemas.openxmlformats.org/officeDocument/2006/relationships/hyperlink" Target="http://pokemondb.net/pokedex/haunter" TargetMode="External"/><Relationship Id="rId143" Type="http://schemas.openxmlformats.org/officeDocument/2006/relationships/hyperlink" Target="http://pokemondb.net/pokedex/flaaffy" TargetMode="External"/><Relationship Id="rId350" Type="http://schemas.openxmlformats.org/officeDocument/2006/relationships/hyperlink" Target="http://pokemondb.net/pokedex/servine" TargetMode="External"/><Relationship Id="rId588" Type="http://schemas.openxmlformats.org/officeDocument/2006/relationships/hyperlink" Target="http://pokemondb.net/pokedex/cinccino" TargetMode="External"/><Relationship Id="rId9" Type="http://schemas.openxmlformats.org/officeDocument/2006/relationships/hyperlink" Target="http://pokemondb.net/pokedex/squirtle" TargetMode="External"/><Relationship Id="rId210" Type="http://schemas.openxmlformats.org/officeDocument/2006/relationships/hyperlink" Target="http://pokemondb.net/pokedex/gardevoir" TargetMode="External"/><Relationship Id="rId448" Type="http://schemas.openxmlformats.org/officeDocument/2006/relationships/hyperlink" Target="http://pokemondb.net/pokedex/haxorus" TargetMode="External"/><Relationship Id="rId655" Type="http://schemas.openxmlformats.org/officeDocument/2006/relationships/hyperlink" Target="http://pokemondb.net/pokedex/tyrogue" TargetMode="External"/><Relationship Id="rId294" Type="http://schemas.openxmlformats.org/officeDocument/2006/relationships/hyperlink" Target="http://pokemondb.net/pokedex/empoleon" TargetMode="External"/><Relationship Id="rId308" Type="http://schemas.openxmlformats.org/officeDocument/2006/relationships/hyperlink" Target="http://pokemondb.net/pokedex/rampardos" TargetMode="External"/><Relationship Id="rId515" Type="http://schemas.openxmlformats.org/officeDocument/2006/relationships/hyperlink" Target="http://pokemondb.net/pokedex/sliggoo" TargetMode="External"/><Relationship Id="rId722" Type="http://schemas.openxmlformats.org/officeDocument/2006/relationships/hyperlink" Target="http://pokemondb.net/pokedex/tyrantrum" TargetMode="External"/><Relationship Id="rId89" Type="http://schemas.openxmlformats.org/officeDocument/2006/relationships/hyperlink" Target="http://pokemondb.net/pokedex/tyrogue" TargetMode="External"/><Relationship Id="rId154" Type="http://schemas.openxmlformats.org/officeDocument/2006/relationships/hyperlink" Target="http://pokemondb.net/pokedex/wobbuffet" TargetMode="External"/><Relationship Id="rId361" Type="http://schemas.openxmlformats.org/officeDocument/2006/relationships/hyperlink" Target="http://pokemondb.net/pokedex/patrat" TargetMode="External"/><Relationship Id="rId599" Type="http://schemas.openxmlformats.org/officeDocument/2006/relationships/hyperlink" Target="http://pokemondb.net/pokedex/helioptile" TargetMode="External"/><Relationship Id="rId459" Type="http://schemas.openxmlformats.org/officeDocument/2006/relationships/hyperlink" Target="http://pokemondb.net/pokedex/vullaby" TargetMode="External"/><Relationship Id="rId666" Type="http://schemas.openxmlformats.org/officeDocument/2006/relationships/hyperlink" Target="http://pokemondb.net/pokedex/tangrowth" TargetMode="External"/><Relationship Id="rId16" Type="http://schemas.openxmlformats.org/officeDocument/2006/relationships/hyperlink" Target="http://pokemondb.net/pokedex/butterfree" TargetMode="External"/><Relationship Id="rId221" Type="http://schemas.openxmlformats.org/officeDocument/2006/relationships/hyperlink" Target="http://pokemondb.net/pokedex/nincada" TargetMode="External"/><Relationship Id="rId319" Type="http://schemas.openxmlformats.org/officeDocument/2006/relationships/hyperlink" Target="http://pokemondb.net/pokedex/combee" TargetMode="External"/><Relationship Id="rId526" Type="http://schemas.openxmlformats.org/officeDocument/2006/relationships/hyperlink" Target="http://pokemondb.net/pokedex/nidoking" TargetMode="External"/><Relationship Id="rId733" Type="http://schemas.openxmlformats.org/officeDocument/2006/relationships/hyperlink" Target="http://pokemondb.net/pokedex/golbat" TargetMode="External"/><Relationship Id="rId165" Type="http://schemas.openxmlformats.org/officeDocument/2006/relationships/hyperlink" Target="http://pokemondb.net/pokedex/remoraid" TargetMode="External"/><Relationship Id="rId372" Type="http://schemas.openxmlformats.org/officeDocument/2006/relationships/hyperlink" Target="http://pokemondb.net/pokedex/unfezant" TargetMode="External"/><Relationship Id="rId677" Type="http://schemas.openxmlformats.org/officeDocument/2006/relationships/hyperlink" Target="http://pokemondb.net/pokedex/aipom" TargetMode="External"/><Relationship Id="rId232" Type="http://schemas.openxmlformats.org/officeDocument/2006/relationships/hyperlink" Target="http://pokemondb.net/pokedex/aggron" TargetMode="External"/><Relationship Id="rId27" Type="http://schemas.openxmlformats.org/officeDocument/2006/relationships/hyperlink" Target="http://pokemondb.net/pokedex/spearow" TargetMode="External"/><Relationship Id="rId537" Type="http://schemas.openxmlformats.org/officeDocument/2006/relationships/hyperlink" Target="http://pokemondb.net/pokedex/growlithe" TargetMode="External"/><Relationship Id="rId744" Type="http://schemas.openxmlformats.org/officeDocument/2006/relationships/hyperlink" Target="http://pokemondb.net/pokedex/togetic" TargetMode="External"/><Relationship Id="rId80" Type="http://schemas.openxmlformats.org/officeDocument/2006/relationships/hyperlink" Target="http://pokemondb.net/pokedex/hypno" TargetMode="External"/><Relationship Id="rId176" Type="http://schemas.openxmlformats.org/officeDocument/2006/relationships/hyperlink" Target="http://pokemondb.net/pokedex/grovyle" TargetMode="External"/><Relationship Id="rId383" Type="http://schemas.openxmlformats.org/officeDocument/2006/relationships/hyperlink" Target="http://pokemondb.net/pokedex/palpitoad" TargetMode="External"/><Relationship Id="rId590" Type="http://schemas.openxmlformats.org/officeDocument/2006/relationships/hyperlink" Target="http://pokemondb.net/pokedex/eelektross" TargetMode="External"/><Relationship Id="rId604" Type="http://schemas.openxmlformats.org/officeDocument/2006/relationships/hyperlink" Target="http://pokemondb.net/pokedex/alakazam" TargetMode="External"/><Relationship Id="rId243" Type="http://schemas.openxmlformats.org/officeDocument/2006/relationships/hyperlink" Target="http://pokemondb.net/pokedex/numel" TargetMode="External"/><Relationship Id="rId450" Type="http://schemas.openxmlformats.org/officeDocument/2006/relationships/hyperlink" Target="http://pokemondb.net/pokedex/beartic" TargetMode="External"/><Relationship Id="rId688" Type="http://schemas.openxmlformats.org/officeDocument/2006/relationships/hyperlink" Target="http://pokemondb.net/pokedex/mantine" TargetMode="External"/><Relationship Id="rId38" Type="http://schemas.openxmlformats.org/officeDocument/2006/relationships/hyperlink" Target="http://pokemondb.net/pokedex/golbat" TargetMode="External"/><Relationship Id="rId103" Type="http://schemas.openxmlformats.org/officeDocument/2006/relationships/hyperlink" Target="http://pokemondb.net/pokedex/elekid" TargetMode="External"/><Relationship Id="rId310" Type="http://schemas.openxmlformats.org/officeDocument/2006/relationships/hyperlink" Target="http://pokemondb.net/pokedex/bastiodon" TargetMode="External"/><Relationship Id="rId548" Type="http://schemas.openxmlformats.org/officeDocument/2006/relationships/hyperlink" Target="http://pokemondb.net/pokedex/starmie" TargetMode="External"/><Relationship Id="rId755" Type="http://schemas.openxmlformats.org/officeDocument/2006/relationships/hyperlink" Target="http://pokemondb.net/pokedex/woobat" TargetMode="External"/><Relationship Id="rId91" Type="http://schemas.openxmlformats.org/officeDocument/2006/relationships/hyperlink" Target="http://pokemondb.net/pokedex/tyrogue" TargetMode="External"/><Relationship Id="rId187" Type="http://schemas.openxmlformats.org/officeDocument/2006/relationships/hyperlink" Target="http://pokemondb.net/pokedex/poochyena" TargetMode="External"/><Relationship Id="rId394" Type="http://schemas.openxmlformats.org/officeDocument/2006/relationships/hyperlink" Target="http://pokemondb.net/pokedex/krookodile" TargetMode="External"/><Relationship Id="rId408" Type="http://schemas.openxmlformats.org/officeDocument/2006/relationships/hyperlink" Target="http://pokemondb.net/pokedex/garbodor" TargetMode="External"/><Relationship Id="rId615" Type="http://schemas.openxmlformats.org/officeDocument/2006/relationships/hyperlink" Target="http://pokemondb.net/pokedex/rhydon" TargetMode="External"/><Relationship Id="rId254" Type="http://schemas.openxmlformats.org/officeDocument/2006/relationships/hyperlink" Target="http://pokemondb.net/pokedex/altaria" TargetMode="External"/><Relationship Id="rId699" Type="http://schemas.openxmlformats.org/officeDocument/2006/relationships/hyperlink" Target="http://pokemondb.net/pokedex/burmy" TargetMode="External"/><Relationship Id="rId49" Type="http://schemas.openxmlformats.org/officeDocument/2006/relationships/hyperlink" Target="http://pokemondb.net/pokedex/psyduck" TargetMode="External"/><Relationship Id="rId114" Type="http://schemas.openxmlformats.org/officeDocument/2006/relationships/hyperlink" Target="http://pokemondb.net/pokedex/dragonair" TargetMode="External"/><Relationship Id="rId461" Type="http://schemas.openxmlformats.org/officeDocument/2006/relationships/hyperlink" Target="http://pokemondb.net/pokedex/deino" TargetMode="External"/><Relationship Id="rId559" Type="http://schemas.openxmlformats.org/officeDocument/2006/relationships/hyperlink" Target="http://pokemondb.net/pokedex/murkrow" TargetMode="External"/><Relationship Id="rId198" Type="http://schemas.openxmlformats.org/officeDocument/2006/relationships/hyperlink" Target="http://pokemondb.net/pokedex/dustox" TargetMode="External"/><Relationship Id="rId321" Type="http://schemas.openxmlformats.org/officeDocument/2006/relationships/hyperlink" Target="http://pokemondb.net/pokedex/buizel" TargetMode="External"/><Relationship Id="rId419" Type="http://schemas.openxmlformats.org/officeDocument/2006/relationships/hyperlink" Target="http://pokemondb.net/pokedex/ducklett" TargetMode="External"/><Relationship Id="rId626" Type="http://schemas.openxmlformats.org/officeDocument/2006/relationships/hyperlink" Target="http://pokemondb.net/pokedex/porygon2" TargetMode="External"/><Relationship Id="rId265" Type="http://schemas.openxmlformats.org/officeDocument/2006/relationships/hyperlink" Target="http://pokemondb.net/pokedex/shuppet" TargetMode="External"/><Relationship Id="rId472" Type="http://schemas.openxmlformats.org/officeDocument/2006/relationships/hyperlink" Target="http://pokemondb.net/pokedex/braixen" TargetMode="External"/><Relationship Id="rId125" Type="http://schemas.openxmlformats.org/officeDocument/2006/relationships/hyperlink" Target="http://pokemondb.net/pokedex/totodile" TargetMode="External"/><Relationship Id="rId332" Type="http://schemas.openxmlformats.org/officeDocument/2006/relationships/hyperlink" Target="http://pokemondb.net/pokedex/skuntank" TargetMode="External"/><Relationship Id="rId637" Type="http://schemas.openxmlformats.org/officeDocument/2006/relationships/hyperlink" Target="http://pokemondb.net/pokedex/boldore" TargetMode="External"/><Relationship Id="rId276" Type="http://schemas.openxmlformats.org/officeDocument/2006/relationships/hyperlink" Target="http://pokemondb.net/pokedex/shelgon" TargetMode="External"/><Relationship Id="rId483" Type="http://schemas.openxmlformats.org/officeDocument/2006/relationships/hyperlink" Target="http://pokemondb.net/pokedex/fletchinder" TargetMode="External"/><Relationship Id="rId690" Type="http://schemas.openxmlformats.org/officeDocument/2006/relationships/hyperlink" Target="http://pokemondb.net/pokedex/silcoon" TargetMode="External"/><Relationship Id="rId704" Type="http://schemas.openxmlformats.org/officeDocument/2006/relationships/hyperlink" Target="http://pokemondb.net/pokedex/wormadam" TargetMode="External"/><Relationship Id="rId40" Type="http://schemas.openxmlformats.org/officeDocument/2006/relationships/hyperlink" Target="http://pokemondb.net/pokedex/gloom" TargetMode="External"/><Relationship Id="rId136" Type="http://schemas.openxmlformats.org/officeDocument/2006/relationships/hyperlink" Target="http://pokemondb.net/pokedex/ariados" TargetMode="External"/><Relationship Id="rId343" Type="http://schemas.openxmlformats.org/officeDocument/2006/relationships/hyperlink" Target="http://pokemondb.net/pokedex/croagunk" TargetMode="External"/><Relationship Id="rId550" Type="http://schemas.openxmlformats.org/officeDocument/2006/relationships/hyperlink" Target="http://pokemondb.net/pokedex/vaporeon" TargetMode="External"/><Relationship Id="rId203" Type="http://schemas.openxmlformats.org/officeDocument/2006/relationships/hyperlink" Target="http://pokemondb.net/pokedex/taillow" TargetMode="External"/><Relationship Id="rId648" Type="http://schemas.openxmlformats.org/officeDocument/2006/relationships/hyperlink" Target="http://pokemondb.net/pokedex/slurpuff" TargetMode="External"/><Relationship Id="rId287" Type="http://schemas.openxmlformats.org/officeDocument/2006/relationships/hyperlink" Target="http://pokemondb.net/pokedex/chimchar" TargetMode="External"/><Relationship Id="rId410" Type="http://schemas.openxmlformats.org/officeDocument/2006/relationships/hyperlink" Target="http://pokemondb.net/pokedex/zoroark" TargetMode="External"/><Relationship Id="rId494" Type="http://schemas.openxmlformats.org/officeDocument/2006/relationships/hyperlink" Target="http://pokemondb.net/pokedex/gogoat" TargetMode="External"/><Relationship Id="rId508" Type="http://schemas.openxmlformats.org/officeDocument/2006/relationships/hyperlink" Target="http://pokemondb.net/pokedex/clawitzer" TargetMode="External"/><Relationship Id="rId715" Type="http://schemas.openxmlformats.org/officeDocument/2006/relationships/hyperlink" Target="http://pokemondb.net/pokedex/spritzee" TargetMode="External"/><Relationship Id="rId147" Type="http://schemas.openxmlformats.org/officeDocument/2006/relationships/hyperlink" Target="http://pokemondb.net/pokedex/hoppip" TargetMode="External"/><Relationship Id="rId354" Type="http://schemas.openxmlformats.org/officeDocument/2006/relationships/hyperlink" Target="http://pokemondb.net/pokedex/pignite" TargetMode="External"/><Relationship Id="rId51" Type="http://schemas.openxmlformats.org/officeDocument/2006/relationships/hyperlink" Target="http://pokemondb.net/pokedex/mankey" TargetMode="External"/><Relationship Id="rId561" Type="http://schemas.openxmlformats.org/officeDocument/2006/relationships/hyperlink" Target="http://pokemondb.net/pokedex/misdreavus" TargetMode="External"/><Relationship Id="rId659" Type="http://schemas.openxmlformats.org/officeDocument/2006/relationships/hyperlink" Target="http://pokemondb.net/pokedex/tyrogue" TargetMode="External"/><Relationship Id="rId214" Type="http://schemas.openxmlformats.org/officeDocument/2006/relationships/hyperlink" Target="http://pokemondb.net/pokedex/breloom" TargetMode="External"/><Relationship Id="rId298" Type="http://schemas.openxmlformats.org/officeDocument/2006/relationships/hyperlink" Target="http://pokemondb.net/pokedex/staraptor" TargetMode="External"/><Relationship Id="rId421" Type="http://schemas.openxmlformats.org/officeDocument/2006/relationships/hyperlink" Target="http://pokemondb.net/pokedex/vanillite" TargetMode="External"/><Relationship Id="rId519" Type="http://schemas.openxmlformats.org/officeDocument/2006/relationships/hyperlink" Target="http://pokemondb.net/pokedex/noibat" TargetMode="External"/><Relationship Id="rId158" Type="http://schemas.openxmlformats.org/officeDocument/2006/relationships/hyperlink" Target="http://pokemondb.net/pokedex/granbull" TargetMode="External"/><Relationship Id="rId726" Type="http://schemas.openxmlformats.org/officeDocument/2006/relationships/hyperlink" Target="http://pokemondb.net/pokedex/goodra" TargetMode="External"/><Relationship Id="rId62" Type="http://schemas.openxmlformats.org/officeDocument/2006/relationships/hyperlink" Target="http://pokemondb.net/pokedex/tentacruel" TargetMode="External"/><Relationship Id="rId365" Type="http://schemas.openxmlformats.org/officeDocument/2006/relationships/hyperlink" Target="http://pokemondb.net/pokedex/herdier" TargetMode="External"/><Relationship Id="rId572" Type="http://schemas.openxmlformats.org/officeDocument/2006/relationships/hyperlink" Target="http://pokemondb.net/pokedex/roserade" TargetMode="External"/><Relationship Id="rId225" Type="http://schemas.openxmlformats.org/officeDocument/2006/relationships/hyperlink" Target="http://pokemondb.net/pokedex/loudred" TargetMode="External"/><Relationship Id="rId432" Type="http://schemas.openxmlformats.org/officeDocument/2006/relationships/hyperlink" Target="http://pokemondb.net/pokedex/galvantula" TargetMode="External"/><Relationship Id="rId737" Type="http://schemas.openxmlformats.org/officeDocument/2006/relationships/hyperlink" Target="http://pokemondb.net/pokedex/eeve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8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5"/>
  <cols>
    <col min="1" max="1" width="11.28515625" bestFit="1" customWidth="1"/>
    <col min="2" max="2" width="25.85546875" style="2" bestFit="1" customWidth="1"/>
    <col min="3" max="3" width="9.42578125" bestFit="1" customWidth="1"/>
    <col min="4" max="5" width="19.140625" customWidth="1"/>
    <col min="6" max="6" width="19.85546875" customWidth="1"/>
    <col min="7" max="7" width="9.7109375" bestFit="1" customWidth="1"/>
    <col min="9" max="9" width="11.5703125" bestFit="1" customWidth="1"/>
    <col min="10" max="10" width="13.5703125" bestFit="1" customWidth="1"/>
    <col min="11" max="11" width="21" bestFit="1" customWidth="1"/>
    <col min="12" max="12" width="22.5703125" customWidth="1"/>
    <col min="13" max="13" width="11.140625" bestFit="1" customWidth="1"/>
    <col min="14" max="14" width="25.85546875" bestFit="1" customWidth="1"/>
    <col min="15" max="15" width="24.28515625" bestFit="1" customWidth="1"/>
  </cols>
  <sheetData>
    <row r="1" spans="1:15" ht="36" customHeight="1">
      <c r="A1" t="s">
        <v>0</v>
      </c>
      <c r="B1" s="19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1" t="s">
        <v>11</v>
      </c>
      <c r="M1" s="20" t="s">
        <v>12</v>
      </c>
      <c r="N1" s="20" t="s">
        <v>13</v>
      </c>
      <c r="O1" s="20" t="s">
        <v>14</v>
      </c>
    </row>
    <row r="2" spans="1:15">
      <c r="A2" s="4">
        <v>1</v>
      </c>
      <c r="B2" s="2" t="s">
        <v>15</v>
      </c>
      <c r="C2" t="s">
        <v>16</v>
      </c>
      <c r="D2" s="22">
        <f>COUNTIF($C$2:$C$1168,Tabela1[[#This Row],[Type]])</f>
        <v>93</v>
      </c>
      <c r="E2" s="62" t="str">
        <f>IF(A2&lt;=151,"Kanto",IF(A2&lt;=251,"Johto",IF(A2&lt;=386,"Hoenn",IF(A2&lt;=493,"Sinnoh",IF(A2&lt;=649,"Unova",IF(A2&lt;=721,"Kalos",IF(A2&lt;=809,"Alola",IF(A2&lt;=905,"Galar","Paldea"))))))))</f>
        <v>Kanto</v>
      </c>
      <c r="F2" t="str">
        <f>IF(G2&gt;=600,"Lendário",IF(G2&gt;=500,"Forte","Normal"))</f>
        <v>Normal</v>
      </c>
      <c r="G2" s="3">
        <v>318</v>
      </c>
      <c r="H2" s="3">
        <v>45</v>
      </c>
      <c r="I2" s="3">
        <v>49</v>
      </c>
      <c r="J2" s="3">
        <v>49</v>
      </c>
      <c r="K2" s="3">
        <v>65</v>
      </c>
      <c r="L2" s="3">
        <v>65</v>
      </c>
      <c r="M2" s="3">
        <v>45</v>
      </c>
      <c r="N2" s="3">
        <f>AVERAGE($I$2:$I$1168)</f>
        <v>78.907455012853475</v>
      </c>
      <c r="O2" s="3" t="str">
        <f>CONCATENATE(A2,"-",B2)</f>
        <v>1-Bulbasaur</v>
      </c>
    </row>
    <row r="3" spans="1:15">
      <c r="A3" s="63">
        <v>1</v>
      </c>
      <c r="B3" s="2" t="str">
        <f>B2</f>
        <v>Bulbasaur</v>
      </c>
      <c r="C3" t="s">
        <v>17</v>
      </c>
      <c r="D3" s="22">
        <f>COUNTIF($C$2:$C$1168,Tabela1[[#This Row],[Type]])</f>
        <v>61</v>
      </c>
      <c r="E3" s="62" t="str">
        <f>IF(A3&lt;=151,"Kanto",IF(A3&lt;=251,"Johto",IF(A3&lt;=386,"Hoenn",IF(A3&lt;=493,"Sinnoh",IF(A3&lt;=649,"Unova",IF(A3&lt;=721,"Kalos",IF(A3&lt;=809,"Alola",IF(A3&lt;=905,"Galar","Paldea"))))))))</f>
        <v>Kanto</v>
      </c>
      <c r="F3" t="str">
        <f>IF(G3&gt;=600,"Lendário",IF(G3&gt;=500,"Forte","Normal"))</f>
        <v>Normal</v>
      </c>
      <c r="G3" s="3">
        <f>G2</f>
        <v>318</v>
      </c>
      <c r="H3" s="3">
        <f>H2</f>
        <v>45</v>
      </c>
      <c r="I3" s="3">
        <f>I2</f>
        <v>49</v>
      </c>
      <c r="J3" s="3">
        <f>J2</f>
        <v>49</v>
      </c>
      <c r="K3" s="3">
        <f>K2</f>
        <v>65</v>
      </c>
      <c r="L3" s="3">
        <f>L2</f>
        <v>65</v>
      </c>
      <c r="M3" s="3">
        <f>M2</f>
        <v>45</v>
      </c>
      <c r="N3" s="3">
        <f>AVERAGE($I$2:$I$1168)</f>
        <v>78.907455012853475</v>
      </c>
      <c r="O3" s="3" t="str">
        <f>CONCATENATE(A3,"-",B3)</f>
        <v>1-Bulbasaur</v>
      </c>
    </row>
    <row r="4" spans="1:15">
      <c r="A4" s="63">
        <v>2</v>
      </c>
      <c r="B4" s="2" t="s">
        <v>18</v>
      </c>
      <c r="C4" t="s">
        <v>16</v>
      </c>
      <c r="D4" s="22">
        <f>COUNTIF($C$2:$C$1168,Tabela1[[#This Row],[Type]])</f>
        <v>93</v>
      </c>
      <c r="E4" s="62" t="str">
        <f>IF(A4&lt;=151,"Kanto",IF(A4&lt;=251,"Johto",IF(A4&lt;=386,"Hoenn",IF(A4&lt;=493,"Sinnoh",IF(A4&lt;=649,"Unova",IF(A4&lt;=721,"Kalos",IF(A4&lt;=809,"Alola",IF(A4&lt;=905,"Galar","Paldea"))))))))</f>
        <v>Kanto</v>
      </c>
      <c r="F4" t="str">
        <f>IF(G4&gt;=600,"Lendário",IF(G4&gt;=500,"Forte","Normal"))</f>
        <v>Normal</v>
      </c>
      <c r="G4" s="3">
        <v>405</v>
      </c>
      <c r="H4" s="3">
        <v>60</v>
      </c>
      <c r="I4" s="3">
        <v>62</v>
      </c>
      <c r="J4" s="3">
        <v>63</v>
      </c>
      <c r="K4" s="3">
        <v>80</v>
      </c>
      <c r="L4" s="3">
        <v>80</v>
      </c>
      <c r="M4" s="3">
        <v>60</v>
      </c>
      <c r="N4" s="3">
        <f>AVERAGE($I$2:$I$1168)</f>
        <v>78.907455012853475</v>
      </c>
      <c r="O4" s="3" t="str">
        <f>CONCATENATE(A4,"-",B4)</f>
        <v>2-Ivysaur</v>
      </c>
    </row>
    <row r="5" spans="1:15">
      <c r="A5" s="63">
        <v>2</v>
      </c>
      <c r="B5" s="2" t="str">
        <f>B4</f>
        <v>Ivysaur</v>
      </c>
      <c r="C5" t="s">
        <v>17</v>
      </c>
      <c r="D5" s="22">
        <f>COUNTIF($C$2:$C$1168,Tabela1[[#This Row],[Type]])</f>
        <v>61</v>
      </c>
      <c r="E5" s="62" t="str">
        <f>IF(A5&lt;=151,"Kanto",IF(A5&lt;=251,"Johto",IF(A5&lt;=386,"Hoenn",IF(A5&lt;=493,"Sinnoh",IF(A5&lt;=649,"Unova",IF(A5&lt;=721,"Kalos",IF(A5&lt;=809,"Alola",IF(A5&lt;=905,"Galar","Paldea"))))))))</f>
        <v>Kanto</v>
      </c>
      <c r="F5" t="str">
        <f>IF(G5&gt;=600,"Lendário",IF(G5&gt;=500,"Forte","Normal"))</f>
        <v>Normal</v>
      </c>
      <c r="G5" s="3">
        <f>G4</f>
        <v>405</v>
      </c>
      <c r="H5" s="3">
        <f>H4</f>
        <v>60</v>
      </c>
      <c r="I5" s="3">
        <f>I4</f>
        <v>62</v>
      </c>
      <c r="J5" s="3">
        <f>J4</f>
        <v>63</v>
      </c>
      <c r="K5" s="3">
        <f>K4</f>
        <v>80</v>
      </c>
      <c r="L5" s="3">
        <f>L4</f>
        <v>80</v>
      </c>
      <c r="M5" s="3">
        <f>M4</f>
        <v>60</v>
      </c>
      <c r="N5" s="3">
        <f>AVERAGE($I$2:$I$1168)</f>
        <v>78.907455012853475</v>
      </c>
      <c r="O5" s="3" t="str">
        <f>CONCATENATE(A5,"-",B5)</f>
        <v>2-Ivysaur</v>
      </c>
    </row>
    <row r="6" spans="1:15">
      <c r="A6" s="63">
        <v>3</v>
      </c>
      <c r="B6" s="2" t="s">
        <v>19</v>
      </c>
      <c r="C6" t="s">
        <v>16</v>
      </c>
      <c r="D6" s="22">
        <f>COUNTIF($C$2:$C$1168,Tabela1[[#This Row],[Type]])</f>
        <v>93</v>
      </c>
      <c r="E6" s="62" t="str">
        <f>IF(A6&lt;=151,"Kanto",IF(A6&lt;=251,"Johto",IF(A6&lt;=386,"Hoenn",IF(A6&lt;=493,"Sinnoh",IF(A6&lt;=649,"Unova",IF(A6&lt;=721,"Kalos",IF(A6&lt;=809,"Alola",IF(A6&lt;=905,"Galar","Paldea"))))))))</f>
        <v>Kanto</v>
      </c>
      <c r="F6" t="str">
        <f>IF(G6&gt;=600,"Lendário",IF(G6&gt;=500,"Forte","Normal"))</f>
        <v>Forte</v>
      </c>
      <c r="G6" s="3">
        <v>525</v>
      </c>
      <c r="H6" s="3">
        <v>80</v>
      </c>
      <c r="I6" s="3">
        <v>82</v>
      </c>
      <c r="J6" s="3">
        <v>83</v>
      </c>
      <c r="K6" s="3">
        <v>100</v>
      </c>
      <c r="L6" s="3">
        <v>100</v>
      </c>
      <c r="M6" s="3">
        <v>80</v>
      </c>
      <c r="N6" s="3">
        <f>AVERAGE($I$2:$I$1168)</f>
        <v>78.907455012853475</v>
      </c>
      <c r="O6" s="3" t="str">
        <f>CONCATENATE(A6,"-",B6)</f>
        <v>3-Venusaur</v>
      </c>
    </row>
    <row r="7" spans="1:15">
      <c r="A7" s="63">
        <v>3</v>
      </c>
      <c r="B7" s="2" t="str">
        <f>B6</f>
        <v>Venusaur</v>
      </c>
      <c r="C7" t="s">
        <v>17</v>
      </c>
      <c r="D7" s="22">
        <f>COUNTIF($C$2:$C$1168,Tabela1[[#This Row],[Type]])</f>
        <v>61</v>
      </c>
      <c r="E7" s="62" t="str">
        <f>IF(A7&lt;=151,"Kanto",IF(A7&lt;=251,"Johto",IF(A7&lt;=386,"Hoenn",IF(A7&lt;=493,"Sinnoh",IF(A7&lt;=649,"Unova",IF(A7&lt;=721,"Kalos",IF(A7&lt;=809,"Alola",IF(A7&lt;=905,"Galar","Paldea"))))))))</f>
        <v>Kanto</v>
      </c>
      <c r="F7" t="str">
        <f>IF(G7&gt;=600,"Lendário",IF(G7&gt;=500,"Forte","Normal"))</f>
        <v>Forte</v>
      </c>
      <c r="G7" s="3">
        <f>G6</f>
        <v>525</v>
      </c>
      <c r="H7" s="3">
        <f>H6</f>
        <v>80</v>
      </c>
      <c r="I7" s="3">
        <f>I6</f>
        <v>82</v>
      </c>
      <c r="J7" s="3">
        <f>J6</f>
        <v>83</v>
      </c>
      <c r="K7" s="3">
        <f>K6</f>
        <v>100</v>
      </c>
      <c r="L7" s="3">
        <f>L6</f>
        <v>100</v>
      </c>
      <c r="M7" s="3">
        <f>M6</f>
        <v>80</v>
      </c>
      <c r="N7" s="3">
        <f>AVERAGE($I$2:$I$1168)</f>
        <v>78.907455012853475</v>
      </c>
      <c r="O7" s="3" t="str">
        <f>CONCATENATE(A7,"-",B7)</f>
        <v>3-Venusaur</v>
      </c>
    </row>
    <row r="8" spans="1:15">
      <c r="A8" s="63">
        <v>3.1</v>
      </c>
      <c r="B8" s="2" t="s">
        <v>20</v>
      </c>
      <c r="C8" t="s">
        <v>16</v>
      </c>
      <c r="D8" s="22">
        <f>COUNTIF($C$2:$C$1168,Tabela1[[#This Row],[Type]])</f>
        <v>93</v>
      </c>
      <c r="E8" s="62" t="str">
        <f>IF(A8&lt;=151,"Kanto",IF(A8&lt;=251,"Johto",IF(A8&lt;=386,"Hoenn",IF(A8&lt;=493,"Sinnoh",IF(A8&lt;=649,"Unova",IF(A8&lt;=721,"Kalos",IF(A8&lt;=809,"Alola",IF(A8&lt;=905,"Galar","Paldea"))))))))</f>
        <v>Kanto</v>
      </c>
      <c r="F8" t="str">
        <f>IF(G8&gt;=600,"Lendário",IF(G8&gt;=500,"Forte","Normal"))</f>
        <v>Lendário</v>
      </c>
      <c r="G8" s="3">
        <v>625</v>
      </c>
      <c r="H8" s="3">
        <v>80</v>
      </c>
      <c r="I8" s="3">
        <v>100</v>
      </c>
      <c r="J8" s="3">
        <v>123</v>
      </c>
      <c r="K8" s="3">
        <v>122</v>
      </c>
      <c r="L8" s="3">
        <v>120</v>
      </c>
      <c r="M8" s="3">
        <v>80</v>
      </c>
      <c r="N8" s="3">
        <f>AVERAGE($I$2:$I$1168)</f>
        <v>78.907455012853475</v>
      </c>
      <c r="O8" s="3" t="str">
        <f>CONCATENATE(A8,"-",B8)</f>
        <v>3,1-Mega Venusaur</v>
      </c>
    </row>
    <row r="9" spans="1:15">
      <c r="A9" s="63">
        <v>3.1</v>
      </c>
      <c r="B9" s="2" t="s">
        <v>20</v>
      </c>
      <c r="C9" t="s">
        <v>17</v>
      </c>
      <c r="D9" s="22">
        <f>COUNTIF($C$2:$C$1168,Tabela1[[#This Row],[Type]])</f>
        <v>61</v>
      </c>
      <c r="E9" s="62" t="str">
        <f>IF(A9&lt;=151,"Kanto",IF(A9&lt;=251,"Johto",IF(A9&lt;=386,"Hoenn",IF(A9&lt;=493,"Sinnoh",IF(A9&lt;=649,"Unova",IF(A9&lt;=721,"Kalos",IF(A9&lt;=809,"Alola",IF(A9&lt;=905,"Galar","Paldea"))))))))</f>
        <v>Kanto</v>
      </c>
      <c r="F9" t="str">
        <f>IF(G9&gt;=600,"Lendário",IF(G9&gt;=500,"Forte","Normal"))</f>
        <v>Lendário</v>
      </c>
      <c r="G9" s="3">
        <f>G8</f>
        <v>625</v>
      </c>
      <c r="H9" s="3">
        <f>H8</f>
        <v>80</v>
      </c>
      <c r="I9" s="3">
        <f>I8</f>
        <v>100</v>
      </c>
      <c r="J9" s="3">
        <f>J8</f>
        <v>123</v>
      </c>
      <c r="K9" s="3">
        <f>K8</f>
        <v>122</v>
      </c>
      <c r="L9" s="3">
        <f>L8</f>
        <v>120</v>
      </c>
      <c r="M9" s="3">
        <f>M8</f>
        <v>80</v>
      </c>
      <c r="N9" s="3">
        <f>AVERAGE($I$2:$I$1168)</f>
        <v>78.907455012853475</v>
      </c>
      <c r="O9" s="3" t="str">
        <f>CONCATENATE(A9,"-",B9)</f>
        <v>3,1-Mega Venusaur</v>
      </c>
    </row>
    <row r="10" spans="1:15">
      <c r="A10" s="63">
        <v>4</v>
      </c>
      <c r="B10" s="2" t="s">
        <v>21</v>
      </c>
      <c r="C10" t="s">
        <v>22</v>
      </c>
      <c r="D10" s="22">
        <f>COUNTIF($C$2:$C$1168,Tabela1[[#This Row],[Type]])</f>
        <v>62</v>
      </c>
      <c r="E10" s="62" t="str">
        <f>IF(A10&lt;=151,"Kanto",IF(A10&lt;=251,"Johto",IF(A10&lt;=386,"Hoenn",IF(A10&lt;=493,"Sinnoh",IF(A10&lt;=649,"Unova",IF(A10&lt;=721,"Kalos",IF(A10&lt;=809,"Alola",IF(A10&lt;=905,"Galar","Paldea"))))))))</f>
        <v>Kanto</v>
      </c>
      <c r="F10" t="str">
        <f>IF(G10&gt;=600,"Lendário",IF(G10&gt;=500,"Forte","Normal"))</f>
        <v>Normal</v>
      </c>
      <c r="G10" s="3">
        <v>309</v>
      </c>
      <c r="H10" s="3">
        <v>39</v>
      </c>
      <c r="I10" s="3">
        <v>52</v>
      </c>
      <c r="J10" s="3">
        <v>43</v>
      </c>
      <c r="K10" s="3">
        <v>60</v>
      </c>
      <c r="L10" s="3">
        <v>50</v>
      </c>
      <c r="M10" s="3">
        <v>65</v>
      </c>
      <c r="N10" s="3">
        <f>AVERAGE($I$2:$I$1168)</f>
        <v>78.907455012853475</v>
      </c>
      <c r="O10" s="3" t="str">
        <f>CONCATENATE(A10,"-",B10)</f>
        <v>4-Charmander</v>
      </c>
    </row>
    <row r="11" spans="1:15">
      <c r="A11" s="63">
        <v>5</v>
      </c>
      <c r="B11" s="2" t="s">
        <v>23</v>
      </c>
      <c r="C11" t="s">
        <v>22</v>
      </c>
      <c r="D11" s="22">
        <f>COUNTIF($C$2:$C$1168,Tabela1[[#This Row],[Type]])</f>
        <v>62</v>
      </c>
      <c r="E11" s="62" t="str">
        <f>IF(A11&lt;=151,"Kanto",IF(A11&lt;=251,"Johto",IF(A11&lt;=386,"Hoenn",IF(A11&lt;=493,"Sinnoh",IF(A11&lt;=649,"Unova",IF(A11&lt;=721,"Kalos",IF(A11&lt;=809,"Alola",IF(A11&lt;=905,"Galar","Paldea"))))))))</f>
        <v>Kanto</v>
      </c>
      <c r="F11" t="str">
        <f>IF(G11&gt;=600,"Lendário",IF(G11&gt;=500,"Forte","Normal"))</f>
        <v>Normal</v>
      </c>
      <c r="G11" s="3">
        <v>405</v>
      </c>
      <c r="H11" s="3">
        <v>58</v>
      </c>
      <c r="I11" s="3">
        <v>64</v>
      </c>
      <c r="J11" s="3">
        <v>58</v>
      </c>
      <c r="K11" s="3">
        <v>80</v>
      </c>
      <c r="L11" s="3">
        <v>65</v>
      </c>
      <c r="M11" s="3">
        <v>80</v>
      </c>
      <c r="N11" s="3">
        <f>AVERAGE($I$2:$I$1168)</f>
        <v>78.907455012853475</v>
      </c>
      <c r="O11" s="3" t="str">
        <f>CONCATENATE(A11,"-",B11)</f>
        <v>5-Charmeleon</v>
      </c>
    </row>
    <row r="12" spans="1:15">
      <c r="A12" s="63">
        <v>6</v>
      </c>
      <c r="B12" s="2" t="s">
        <v>24</v>
      </c>
      <c r="C12" t="s">
        <v>22</v>
      </c>
      <c r="D12" s="22">
        <f>COUNTIF($C$2:$C$1168,Tabela1[[#This Row],[Type]])</f>
        <v>62</v>
      </c>
      <c r="E12" s="62" t="str">
        <f>IF(A12&lt;=151,"Kanto",IF(A12&lt;=251,"Johto",IF(A12&lt;=386,"Hoenn",IF(A12&lt;=493,"Sinnoh",IF(A12&lt;=649,"Unova",IF(A12&lt;=721,"Kalos",IF(A12&lt;=809,"Alola",IF(A12&lt;=905,"Galar","Paldea"))))))))</f>
        <v>Kanto</v>
      </c>
      <c r="F12" t="str">
        <f>IF(G12&gt;=600,"Lendário",IF(G12&gt;=500,"Forte","Normal"))</f>
        <v>Forte</v>
      </c>
      <c r="G12" s="3">
        <v>534</v>
      </c>
      <c r="H12" s="3">
        <v>78</v>
      </c>
      <c r="I12" s="3">
        <v>84</v>
      </c>
      <c r="J12" s="3">
        <v>78</v>
      </c>
      <c r="K12" s="3">
        <v>109</v>
      </c>
      <c r="L12" s="3">
        <v>85</v>
      </c>
      <c r="M12" s="3">
        <v>100</v>
      </c>
      <c r="N12" s="3">
        <f>AVERAGE($I$2:$I$1168)</f>
        <v>78.907455012853475</v>
      </c>
      <c r="O12" s="3" t="str">
        <f>CONCATENATE(A12,"-",B12)</f>
        <v>6-Charizard</v>
      </c>
    </row>
    <row r="13" spans="1:15">
      <c r="A13" s="63">
        <v>6</v>
      </c>
      <c r="B13" s="2" t="str">
        <f>B12</f>
        <v>Charizard</v>
      </c>
      <c r="C13" t="s">
        <v>25</v>
      </c>
      <c r="D13" s="22">
        <f>COUNTIF($C$2:$C$1168,Tabela1[[#This Row],[Type]])</f>
        <v>100</v>
      </c>
      <c r="E13" s="62" t="str">
        <f>IF(A13&lt;=151,"Kanto",IF(A13&lt;=251,"Johto",IF(A13&lt;=386,"Hoenn",IF(A13&lt;=493,"Sinnoh",IF(A13&lt;=649,"Unova",IF(A13&lt;=721,"Kalos",IF(A13&lt;=809,"Alola",IF(A13&lt;=905,"Galar","Paldea"))))))))</f>
        <v>Kanto</v>
      </c>
      <c r="F13" t="str">
        <f>IF(G13&gt;=600,"Lendário",IF(G13&gt;=500,"Forte","Normal"))</f>
        <v>Forte</v>
      </c>
      <c r="G13" s="3">
        <f>G12</f>
        <v>534</v>
      </c>
      <c r="H13" s="3">
        <f>H12</f>
        <v>78</v>
      </c>
      <c r="I13" s="3">
        <f>I12</f>
        <v>84</v>
      </c>
      <c r="J13" s="3">
        <f>J12</f>
        <v>78</v>
      </c>
      <c r="K13" s="3">
        <f>K12</f>
        <v>109</v>
      </c>
      <c r="L13" s="3">
        <f>L12</f>
        <v>85</v>
      </c>
      <c r="M13" s="3">
        <f>M12</f>
        <v>100</v>
      </c>
      <c r="N13" s="3">
        <f>AVERAGE($I$2:$I$1168)</f>
        <v>78.907455012853475</v>
      </c>
      <c r="O13" s="3" t="str">
        <f>CONCATENATE(A13,"-",B13)</f>
        <v>6-Charizard</v>
      </c>
    </row>
    <row r="14" spans="1:15">
      <c r="A14" s="63">
        <v>6.1</v>
      </c>
      <c r="B14" s="2" t="s">
        <v>26</v>
      </c>
      <c r="C14" t="s">
        <v>22</v>
      </c>
      <c r="D14" s="22">
        <f>COUNTIF($C$2:$C$1168,Tabela1[[#This Row],[Type]])</f>
        <v>62</v>
      </c>
      <c r="E14" s="62" t="str">
        <f>IF(A14&lt;=151,"Kanto",IF(A14&lt;=251,"Johto",IF(A14&lt;=386,"Hoenn",IF(A14&lt;=493,"Sinnoh",IF(A14&lt;=649,"Unova",IF(A14&lt;=721,"Kalos",IF(A14&lt;=809,"Alola",IF(A14&lt;=905,"Galar","Paldea"))))))))</f>
        <v>Kanto</v>
      </c>
      <c r="F14" t="str">
        <f>IF(G14&gt;=600,"Lendário",IF(G14&gt;=500,"Forte","Normal"))</f>
        <v>Lendário</v>
      </c>
      <c r="G14" s="3">
        <v>634</v>
      </c>
      <c r="H14" s="3">
        <v>78</v>
      </c>
      <c r="I14" s="3">
        <v>130</v>
      </c>
      <c r="J14" s="3">
        <v>111</v>
      </c>
      <c r="K14" s="3">
        <v>130</v>
      </c>
      <c r="L14" s="3">
        <v>85</v>
      </c>
      <c r="M14" s="3">
        <v>100</v>
      </c>
      <c r="N14" s="3">
        <f>AVERAGE($I$2:$I$1168)</f>
        <v>78.907455012853475</v>
      </c>
      <c r="O14" s="3" t="str">
        <f>CONCATENATE(A14,"-",B14)</f>
        <v>6,1-Mega Charizard X</v>
      </c>
    </row>
    <row r="15" spans="1:15">
      <c r="A15" s="63">
        <v>6.1</v>
      </c>
      <c r="B15" s="2" t="s">
        <v>26</v>
      </c>
      <c r="C15" t="s">
        <v>27</v>
      </c>
      <c r="D15" s="22">
        <f>COUNTIF($C$2:$C$1168,Tabela1[[#This Row],[Type]])</f>
        <v>44</v>
      </c>
      <c r="E15" s="62" t="str">
        <f>IF(A15&lt;=151,"Kanto",IF(A15&lt;=251,"Johto",IF(A15&lt;=386,"Hoenn",IF(A15&lt;=493,"Sinnoh",IF(A15&lt;=649,"Unova",IF(A15&lt;=721,"Kalos",IF(A15&lt;=809,"Alola",IF(A15&lt;=905,"Galar","Paldea"))))))))</f>
        <v>Kanto</v>
      </c>
      <c r="F15" t="str">
        <f>IF(G15&gt;=600,"Lendário",IF(G15&gt;=500,"Forte","Normal"))</f>
        <v>Lendário</v>
      </c>
      <c r="G15" s="3">
        <f>G14</f>
        <v>634</v>
      </c>
      <c r="H15" s="3">
        <f>H14</f>
        <v>78</v>
      </c>
      <c r="I15" s="3">
        <f>I14</f>
        <v>130</v>
      </c>
      <c r="J15" s="3">
        <f>J14</f>
        <v>111</v>
      </c>
      <c r="K15" s="3">
        <f>K14</f>
        <v>130</v>
      </c>
      <c r="L15" s="3">
        <f>L14</f>
        <v>85</v>
      </c>
      <c r="M15" s="3">
        <f>M14</f>
        <v>100</v>
      </c>
      <c r="N15" s="3">
        <f>AVERAGE($I$2:$I$1168)</f>
        <v>78.907455012853475</v>
      </c>
      <c r="O15" s="3" t="str">
        <f>CONCATENATE(A15,"-",B15)</f>
        <v>6,1-Mega Charizard X</v>
      </c>
    </row>
    <row r="16" spans="1:15">
      <c r="A16" s="63">
        <v>6.2</v>
      </c>
      <c r="B16" s="2" t="s">
        <v>28</v>
      </c>
      <c r="C16" t="s">
        <v>22</v>
      </c>
      <c r="D16" s="22">
        <f>COUNTIF($C$2:$C$1168,Tabela1[[#This Row],[Type]])</f>
        <v>62</v>
      </c>
      <c r="E16" s="62" t="str">
        <f>IF(A16&lt;=151,"Kanto",IF(A16&lt;=251,"Johto",IF(A16&lt;=386,"Hoenn",IF(A16&lt;=493,"Sinnoh",IF(A16&lt;=649,"Unova",IF(A16&lt;=721,"Kalos",IF(A16&lt;=809,"Alola",IF(A16&lt;=905,"Galar","Paldea"))))))))</f>
        <v>Kanto</v>
      </c>
      <c r="F16" t="str">
        <f>IF(G16&gt;=600,"Lendário",IF(G16&gt;=500,"Forte","Normal"))</f>
        <v>Lendário</v>
      </c>
      <c r="G16" s="3">
        <v>634</v>
      </c>
      <c r="H16" s="3">
        <v>78</v>
      </c>
      <c r="I16" s="3">
        <v>104</v>
      </c>
      <c r="J16" s="3">
        <v>78</v>
      </c>
      <c r="K16" s="3">
        <v>159</v>
      </c>
      <c r="L16" s="3">
        <v>115</v>
      </c>
      <c r="M16" s="3">
        <v>100</v>
      </c>
      <c r="N16" s="3">
        <f>AVERAGE($I$2:$I$1168)</f>
        <v>78.907455012853475</v>
      </c>
      <c r="O16" s="3" t="str">
        <f>CONCATENATE(A16,"-",B16)</f>
        <v>6,2-Mega Charizard Y</v>
      </c>
    </row>
    <row r="17" spans="1:15">
      <c r="A17" s="63">
        <v>6.2</v>
      </c>
      <c r="B17" s="2" t="s">
        <v>28</v>
      </c>
      <c r="C17" t="s">
        <v>25</v>
      </c>
      <c r="D17" s="22">
        <f>COUNTIF($C$2:$C$1168,Tabela1[[#This Row],[Type]])</f>
        <v>100</v>
      </c>
      <c r="E17" s="62" t="str">
        <f>IF(A17&lt;=151,"Kanto",IF(A17&lt;=251,"Johto",IF(A17&lt;=386,"Hoenn",IF(A17&lt;=493,"Sinnoh",IF(A17&lt;=649,"Unova",IF(A17&lt;=721,"Kalos",IF(A17&lt;=809,"Alola",IF(A17&lt;=905,"Galar","Paldea"))))))))</f>
        <v>Kanto</v>
      </c>
      <c r="F17" t="str">
        <f>IF(G17&gt;=600,"Lendário",IF(G17&gt;=500,"Forte","Normal"))</f>
        <v>Lendário</v>
      </c>
      <c r="G17" s="3">
        <f>G16</f>
        <v>634</v>
      </c>
      <c r="H17" s="3">
        <f>H16</f>
        <v>78</v>
      </c>
      <c r="I17" s="3">
        <f>I16</f>
        <v>104</v>
      </c>
      <c r="J17" s="3">
        <f>J16</f>
        <v>78</v>
      </c>
      <c r="K17" s="3">
        <f>K16</f>
        <v>159</v>
      </c>
      <c r="L17" s="3">
        <f>L16</f>
        <v>115</v>
      </c>
      <c r="M17" s="3">
        <f>M16</f>
        <v>100</v>
      </c>
      <c r="N17" s="3">
        <f>AVERAGE($I$2:$I$1168)</f>
        <v>78.907455012853475</v>
      </c>
      <c r="O17" s="3" t="str">
        <f>CONCATENATE(A17,"-",B17)</f>
        <v>6,2-Mega Charizard Y</v>
      </c>
    </row>
    <row r="18" spans="1:15">
      <c r="A18" s="63">
        <v>7</v>
      </c>
      <c r="B18" s="2" t="s">
        <v>29</v>
      </c>
      <c r="C18" t="s">
        <v>30</v>
      </c>
      <c r="D18" s="22">
        <f>COUNTIF($C$2:$C$1168,Tabela1[[#This Row],[Type]])</f>
        <v>121</v>
      </c>
      <c r="E18" s="62" t="str">
        <f>IF(A18&lt;=151,"Kanto",IF(A18&lt;=251,"Johto",IF(A18&lt;=386,"Hoenn",IF(A18&lt;=493,"Sinnoh",IF(A18&lt;=649,"Unova",IF(A18&lt;=721,"Kalos",IF(A18&lt;=809,"Alola",IF(A18&lt;=905,"Galar","Paldea"))))))))</f>
        <v>Kanto</v>
      </c>
      <c r="F18" t="str">
        <f>IF(G18&gt;=600,"Lendário",IF(G18&gt;=500,"Forte","Normal"))</f>
        <v>Normal</v>
      </c>
      <c r="G18" s="3">
        <v>314</v>
      </c>
      <c r="H18" s="3">
        <v>44</v>
      </c>
      <c r="I18" s="3">
        <v>48</v>
      </c>
      <c r="J18" s="3">
        <v>65</v>
      </c>
      <c r="K18" s="3">
        <v>50</v>
      </c>
      <c r="L18" s="3">
        <v>64</v>
      </c>
      <c r="M18" s="3">
        <v>43</v>
      </c>
      <c r="N18" s="3">
        <f>AVERAGE($I$2:$I$1168)</f>
        <v>78.907455012853475</v>
      </c>
      <c r="O18" s="3" t="str">
        <f>CONCATENATE(A18,"-",B18)</f>
        <v>7-Squirtle</v>
      </c>
    </row>
    <row r="19" spans="1:15">
      <c r="A19" s="63">
        <v>8</v>
      </c>
      <c r="B19" s="2" t="s">
        <v>31</v>
      </c>
      <c r="C19" t="s">
        <v>30</v>
      </c>
      <c r="D19" s="22">
        <f>COUNTIF($C$2:$C$1168,Tabela1[[#This Row],[Type]])</f>
        <v>121</v>
      </c>
      <c r="E19" s="62" t="str">
        <f>IF(A19&lt;=151,"Kanto",IF(A19&lt;=251,"Johto",IF(A19&lt;=386,"Hoenn",IF(A19&lt;=493,"Sinnoh",IF(A19&lt;=649,"Unova",IF(A19&lt;=721,"Kalos",IF(A19&lt;=809,"Alola",IF(A19&lt;=905,"Galar","Paldea"))))))))</f>
        <v>Kanto</v>
      </c>
      <c r="F19" t="str">
        <f>IF(G19&gt;=600,"Lendário",IF(G19&gt;=500,"Forte","Normal"))</f>
        <v>Normal</v>
      </c>
      <c r="G19" s="3">
        <v>405</v>
      </c>
      <c r="H19" s="3">
        <v>59</v>
      </c>
      <c r="I19" s="3">
        <v>63</v>
      </c>
      <c r="J19" s="3">
        <v>80</v>
      </c>
      <c r="K19" s="3">
        <v>65</v>
      </c>
      <c r="L19" s="3">
        <v>80</v>
      </c>
      <c r="M19" s="3">
        <v>58</v>
      </c>
      <c r="N19" s="3">
        <f>AVERAGE($I$2:$I$1168)</f>
        <v>78.907455012853475</v>
      </c>
      <c r="O19" s="3" t="str">
        <f>CONCATENATE(A19,"-",B19)</f>
        <v>8-Wartortle</v>
      </c>
    </row>
    <row r="20" spans="1:15">
      <c r="A20" s="63">
        <v>9</v>
      </c>
      <c r="B20" s="2" t="s">
        <v>32</v>
      </c>
      <c r="C20" t="s">
        <v>30</v>
      </c>
      <c r="D20" s="22">
        <f>COUNTIF($C$2:$C$1168,Tabela1[[#This Row],[Type]])</f>
        <v>121</v>
      </c>
      <c r="E20" s="62" t="str">
        <f>IF(A20&lt;=151,"Kanto",IF(A20&lt;=251,"Johto",IF(A20&lt;=386,"Hoenn",IF(A20&lt;=493,"Sinnoh",IF(A20&lt;=649,"Unova",IF(A20&lt;=721,"Kalos",IF(A20&lt;=809,"Alola",IF(A20&lt;=905,"Galar","Paldea"))))))))</f>
        <v>Kanto</v>
      </c>
      <c r="F20" t="str">
        <f>IF(G20&gt;=600,"Lendário",IF(G20&gt;=500,"Forte","Normal"))</f>
        <v>Forte</v>
      </c>
      <c r="G20" s="3">
        <v>530</v>
      </c>
      <c r="H20" s="3">
        <v>79</v>
      </c>
      <c r="I20" s="3">
        <v>83</v>
      </c>
      <c r="J20" s="3">
        <v>100</v>
      </c>
      <c r="K20" s="3">
        <v>85</v>
      </c>
      <c r="L20" s="3">
        <v>105</v>
      </c>
      <c r="M20" s="3">
        <v>78</v>
      </c>
      <c r="N20" s="3">
        <f>AVERAGE($I$2:$I$1168)</f>
        <v>78.907455012853475</v>
      </c>
      <c r="O20" s="3" t="str">
        <f>CONCATENATE(A20,"-",B20)</f>
        <v>9-Blastoise</v>
      </c>
    </row>
    <row r="21" spans="1:15">
      <c r="A21" s="63">
        <v>9.1</v>
      </c>
      <c r="B21" s="2" t="s">
        <v>33</v>
      </c>
      <c r="C21" t="s">
        <v>30</v>
      </c>
      <c r="D21" s="22">
        <f>COUNTIF($C$2:$C$1168,Tabela1[[#This Row],[Type]])</f>
        <v>121</v>
      </c>
      <c r="E21" s="62" t="str">
        <f>IF(A21&lt;=151,"Kanto",IF(A21&lt;=251,"Johto",IF(A21&lt;=386,"Hoenn",IF(A21&lt;=493,"Sinnoh",IF(A21&lt;=649,"Unova",IF(A21&lt;=721,"Kalos",IF(A21&lt;=809,"Alola",IF(A21&lt;=905,"Galar","Paldea"))))))))</f>
        <v>Kanto</v>
      </c>
      <c r="F21" t="str">
        <f>IF(G21&gt;=600,"Lendário",IF(G21&gt;=500,"Forte","Normal"))</f>
        <v>Lendário</v>
      </c>
      <c r="G21" s="3">
        <v>630</v>
      </c>
      <c r="H21" s="3">
        <v>79</v>
      </c>
      <c r="I21" s="3">
        <v>103</v>
      </c>
      <c r="J21" s="3">
        <v>120</v>
      </c>
      <c r="K21" s="3">
        <v>135</v>
      </c>
      <c r="L21" s="3">
        <v>115</v>
      </c>
      <c r="M21" s="3">
        <v>78</v>
      </c>
      <c r="N21" s="3">
        <f>AVERAGE($I$2:$I$1168)</f>
        <v>78.907455012853475</v>
      </c>
      <c r="O21" s="3" t="str">
        <f>CONCATENATE(A21,"-",B21)</f>
        <v>9,1-Mega Blastoise</v>
      </c>
    </row>
    <row r="22" spans="1:15">
      <c r="A22" s="63">
        <v>10</v>
      </c>
      <c r="B22" s="2" t="s">
        <v>34</v>
      </c>
      <c r="C22" t="s">
        <v>35</v>
      </c>
      <c r="D22" s="22">
        <f>COUNTIF($C$2:$C$1168,Tabela1[[#This Row],[Type]])</f>
        <v>71</v>
      </c>
      <c r="E22" s="62" t="str">
        <f>IF(A22&lt;=151,"Kanto",IF(A22&lt;=251,"Johto",IF(A22&lt;=386,"Hoenn",IF(A22&lt;=493,"Sinnoh",IF(A22&lt;=649,"Unova",IF(A22&lt;=721,"Kalos",IF(A22&lt;=809,"Alola",IF(A22&lt;=905,"Galar","Paldea"))))))))</f>
        <v>Kanto</v>
      </c>
      <c r="F22" t="str">
        <f>IF(G22&gt;=600,"Lendário",IF(G22&gt;=500,"Forte","Normal"))</f>
        <v>Normal</v>
      </c>
      <c r="G22" s="3">
        <v>195</v>
      </c>
      <c r="H22" s="3">
        <v>45</v>
      </c>
      <c r="I22" s="3">
        <v>30</v>
      </c>
      <c r="J22" s="3">
        <v>35</v>
      </c>
      <c r="K22" s="3">
        <v>20</v>
      </c>
      <c r="L22" s="3">
        <v>20</v>
      </c>
      <c r="M22" s="3">
        <v>45</v>
      </c>
      <c r="N22" s="3">
        <f>AVERAGE($I$2:$I$1168)</f>
        <v>78.907455012853475</v>
      </c>
      <c r="O22" s="3" t="str">
        <f>CONCATENATE(A22,"-",B22)</f>
        <v>10-Caterpie</v>
      </c>
    </row>
    <row r="23" spans="1:15">
      <c r="A23" s="63">
        <v>11</v>
      </c>
      <c r="B23" s="2" t="s">
        <v>36</v>
      </c>
      <c r="C23" t="s">
        <v>35</v>
      </c>
      <c r="D23" s="22">
        <f>COUNTIF($C$2:$C$1168,Tabela1[[#This Row],[Type]])</f>
        <v>71</v>
      </c>
      <c r="E23" s="62" t="str">
        <f>IF(A23&lt;=151,"Kanto",IF(A23&lt;=251,"Johto",IF(A23&lt;=386,"Hoenn",IF(A23&lt;=493,"Sinnoh",IF(A23&lt;=649,"Unova",IF(A23&lt;=721,"Kalos",IF(A23&lt;=809,"Alola",IF(A23&lt;=905,"Galar","Paldea"))))))))</f>
        <v>Kanto</v>
      </c>
      <c r="F23" t="str">
        <f>IF(G23&gt;=600,"Lendário",IF(G23&gt;=500,"Forte","Normal"))</f>
        <v>Normal</v>
      </c>
      <c r="G23" s="3">
        <v>205</v>
      </c>
      <c r="H23" s="3">
        <v>50</v>
      </c>
      <c r="I23" s="3">
        <v>20</v>
      </c>
      <c r="J23" s="3">
        <v>55</v>
      </c>
      <c r="K23" s="3">
        <v>25</v>
      </c>
      <c r="L23" s="3">
        <v>25</v>
      </c>
      <c r="M23" s="3">
        <v>30</v>
      </c>
      <c r="N23" s="3">
        <f>AVERAGE($I$2:$I$1168)</f>
        <v>78.907455012853475</v>
      </c>
      <c r="O23" s="3" t="str">
        <f>CONCATENATE(A23,"-",B23)</f>
        <v>11-Metapod</v>
      </c>
    </row>
    <row r="24" spans="1:15">
      <c r="A24" s="63">
        <v>12</v>
      </c>
      <c r="B24" s="2" t="s">
        <v>37</v>
      </c>
      <c r="C24" t="s">
        <v>35</v>
      </c>
      <c r="D24" s="22">
        <f>COUNTIF($C$2:$C$1168,Tabela1[[#This Row],[Type]])</f>
        <v>71</v>
      </c>
      <c r="E24" s="62" t="str">
        <f>IF(A24&lt;=151,"Kanto",IF(A24&lt;=251,"Johto",IF(A24&lt;=386,"Hoenn",IF(A24&lt;=493,"Sinnoh",IF(A24&lt;=649,"Unova",IF(A24&lt;=721,"Kalos",IF(A24&lt;=809,"Alola",IF(A24&lt;=905,"Galar","Paldea"))))))))</f>
        <v>Kanto</v>
      </c>
      <c r="F24" t="str">
        <f>IF(G24&gt;=600,"Lendário",IF(G24&gt;=500,"Forte","Normal"))</f>
        <v>Normal</v>
      </c>
      <c r="G24" s="3">
        <v>385</v>
      </c>
      <c r="H24" s="3">
        <v>60</v>
      </c>
      <c r="I24" s="3">
        <v>45</v>
      </c>
      <c r="J24" s="3">
        <v>50</v>
      </c>
      <c r="K24" s="3">
        <v>80</v>
      </c>
      <c r="L24" s="3">
        <v>80</v>
      </c>
      <c r="M24" s="3">
        <v>70</v>
      </c>
      <c r="N24" s="3">
        <f>AVERAGE($I$2:$I$1168)</f>
        <v>78.907455012853475</v>
      </c>
      <c r="O24" s="3" t="str">
        <f>CONCATENATE(A24,"-",B24)</f>
        <v>12-Butterfree</v>
      </c>
    </row>
    <row r="25" spans="1:15">
      <c r="A25" s="63">
        <v>12</v>
      </c>
      <c r="B25" s="2" t="str">
        <f>B24</f>
        <v>Butterfree</v>
      </c>
      <c r="C25" t="s">
        <v>25</v>
      </c>
      <c r="D25" s="22">
        <f>COUNTIF($C$2:$C$1168,Tabela1[[#This Row],[Type]])</f>
        <v>100</v>
      </c>
      <c r="E25" s="62" t="str">
        <f>IF(A25&lt;=151,"Kanto",IF(A25&lt;=251,"Johto",IF(A25&lt;=386,"Hoenn",IF(A25&lt;=493,"Sinnoh",IF(A25&lt;=649,"Unova",IF(A25&lt;=721,"Kalos",IF(A25&lt;=809,"Alola",IF(A25&lt;=905,"Galar","Paldea"))))))))</f>
        <v>Kanto</v>
      </c>
      <c r="F25" t="str">
        <f>IF(G25&gt;=600,"Lendário",IF(G25&gt;=500,"Forte","Normal"))</f>
        <v>Normal</v>
      </c>
      <c r="G25" s="3">
        <f>G24</f>
        <v>385</v>
      </c>
      <c r="H25" s="3">
        <f>H24</f>
        <v>60</v>
      </c>
      <c r="I25" s="3">
        <f>I24</f>
        <v>45</v>
      </c>
      <c r="J25" s="3">
        <f>J24</f>
        <v>50</v>
      </c>
      <c r="K25" s="3">
        <f>K24</f>
        <v>80</v>
      </c>
      <c r="L25" s="3">
        <f>L24</f>
        <v>80</v>
      </c>
      <c r="M25" s="3">
        <f>M24</f>
        <v>70</v>
      </c>
      <c r="N25" s="3">
        <f>AVERAGE($I$2:$I$1168)</f>
        <v>78.907455012853475</v>
      </c>
      <c r="O25" s="3" t="str">
        <f>CONCATENATE(A25,"-",B25)</f>
        <v>12-Butterfree</v>
      </c>
    </row>
    <row r="26" spans="1:15">
      <c r="A26" s="63">
        <v>13</v>
      </c>
      <c r="B26" s="2" t="s">
        <v>38</v>
      </c>
      <c r="C26" t="s">
        <v>35</v>
      </c>
      <c r="D26" s="22">
        <f>COUNTIF($C$2:$C$1168,Tabela1[[#This Row],[Type]])</f>
        <v>71</v>
      </c>
      <c r="E26" s="62" t="str">
        <f>IF(A26&lt;=151,"Kanto",IF(A26&lt;=251,"Johto",IF(A26&lt;=386,"Hoenn",IF(A26&lt;=493,"Sinnoh",IF(A26&lt;=649,"Unova",IF(A26&lt;=721,"Kalos",IF(A26&lt;=809,"Alola",IF(A26&lt;=905,"Galar","Paldea"))))))))</f>
        <v>Kanto</v>
      </c>
      <c r="F26" t="str">
        <f>IF(G26&gt;=600,"Lendário",IF(G26&gt;=500,"Forte","Normal"))</f>
        <v>Normal</v>
      </c>
      <c r="G26" s="3">
        <v>195</v>
      </c>
      <c r="H26" s="3">
        <v>40</v>
      </c>
      <c r="I26" s="3">
        <v>35</v>
      </c>
      <c r="J26" s="3">
        <v>30</v>
      </c>
      <c r="K26" s="3">
        <v>20</v>
      </c>
      <c r="L26" s="3">
        <v>20</v>
      </c>
      <c r="M26" s="3">
        <v>50</v>
      </c>
      <c r="N26" s="3">
        <f>AVERAGE($I$2:$I$1168)</f>
        <v>78.907455012853475</v>
      </c>
      <c r="O26" s="3" t="str">
        <f>CONCATENATE(A26,"-",B26)</f>
        <v>13-Weedle</v>
      </c>
    </row>
    <row r="27" spans="1:15">
      <c r="A27" s="63">
        <v>13</v>
      </c>
      <c r="B27" s="2" t="str">
        <f>B26</f>
        <v>Weedle</v>
      </c>
      <c r="C27" t="s">
        <v>17</v>
      </c>
      <c r="D27" s="22">
        <f>COUNTIF($C$2:$C$1168,Tabela1[[#This Row],[Type]])</f>
        <v>61</v>
      </c>
      <c r="E27" s="62" t="str">
        <f>IF(A27&lt;=151,"Kanto",IF(A27&lt;=251,"Johto",IF(A27&lt;=386,"Hoenn",IF(A27&lt;=493,"Sinnoh",IF(A27&lt;=649,"Unova",IF(A27&lt;=721,"Kalos",IF(A27&lt;=809,"Alola",IF(A27&lt;=905,"Galar","Paldea"))))))))</f>
        <v>Kanto</v>
      </c>
      <c r="F27" t="str">
        <f>IF(G27&gt;=600,"Lendário",IF(G27&gt;=500,"Forte","Normal"))</f>
        <v>Normal</v>
      </c>
      <c r="G27" s="3">
        <f>G26</f>
        <v>195</v>
      </c>
      <c r="H27" s="3">
        <f>H26</f>
        <v>40</v>
      </c>
      <c r="I27" s="3">
        <f>I26</f>
        <v>35</v>
      </c>
      <c r="J27" s="3">
        <f>J26</f>
        <v>30</v>
      </c>
      <c r="K27" s="3">
        <f>K26</f>
        <v>20</v>
      </c>
      <c r="L27" s="3">
        <f>L26</f>
        <v>20</v>
      </c>
      <c r="M27" s="3">
        <f>M26</f>
        <v>50</v>
      </c>
      <c r="N27" s="3">
        <f>AVERAGE($I$2:$I$1168)</f>
        <v>78.907455012853475</v>
      </c>
      <c r="O27" s="3" t="str">
        <f>CONCATENATE(A27,"-",B27)</f>
        <v>13-Weedle</v>
      </c>
    </row>
    <row r="28" spans="1:15">
      <c r="A28" s="63">
        <v>14</v>
      </c>
      <c r="B28" s="2" t="s">
        <v>39</v>
      </c>
      <c r="C28" t="s">
        <v>35</v>
      </c>
      <c r="D28" s="22">
        <f>COUNTIF($C$2:$C$1168,Tabela1[[#This Row],[Type]])</f>
        <v>71</v>
      </c>
      <c r="E28" s="62" t="str">
        <f>IF(A28&lt;=151,"Kanto",IF(A28&lt;=251,"Johto",IF(A28&lt;=386,"Hoenn",IF(A28&lt;=493,"Sinnoh",IF(A28&lt;=649,"Unova",IF(A28&lt;=721,"Kalos",IF(A28&lt;=809,"Alola",IF(A28&lt;=905,"Galar","Paldea"))))))))</f>
        <v>Kanto</v>
      </c>
      <c r="F28" t="str">
        <f>IF(G28&gt;=600,"Lendário",IF(G28&gt;=500,"Forte","Normal"))</f>
        <v>Normal</v>
      </c>
      <c r="G28" s="3">
        <v>205</v>
      </c>
      <c r="H28" s="3">
        <v>45</v>
      </c>
      <c r="I28" s="3">
        <v>25</v>
      </c>
      <c r="J28" s="3">
        <v>50</v>
      </c>
      <c r="K28" s="3">
        <v>25</v>
      </c>
      <c r="L28" s="3">
        <v>25</v>
      </c>
      <c r="M28" s="3">
        <v>35</v>
      </c>
      <c r="N28" s="3">
        <f>AVERAGE($I$2:$I$1168)</f>
        <v>78.907455012853475</v>
      </c>
      <c r="O28" s="3" t="str">
        <f>CONCATENATE(A28,"-",B28)</f>
        <v>14-Kakuna</v>
      </c>
    </row>
    <row r="29" spans="1:15">
      <c r="A29" s="63">
        <v>14</v>
      </c>
      <c r="B29" s="2" t="str">
        <f>B28</f>
        <v>Kakuna</v>
      </c>
      <c r="C29" t="s">
        <v>17</v>
      </c>
      <c r="D29" s="22">
        <f>COUNTIF($C$2:$C$1168,Tabela1[[#This Row],[Type]])</f>
        <v>61</v>
      </c>
      <c r="E29" s="62" t="str">
        <f>IF(A29&lt;=151,"Kanto",IF(A29&lt;=251,"Johto",IF(A29&lt;=386,"Hoenn",IF(A29&lt;=493,"Sinnoh",IF(A29&lt;=649,"Unova",IF(A29&lt;=721,"Kalos",IF(A29&lt;=809,"Alola",IF(A29&lt;=905,"Galar","Paldea"))))))))</f>
        <v>Kanto</v>
      </c>
      <c r="F29" t="str">
        <f>IF(G29&gt;=600,"Lendário",IF(G29&gt;=500,"Forte","Normal"))</f>
        <v>Normal</v>
      </c>
      <c r="G29" s="3">
        <f>G28</f>
        <v>205</v>
      </c>
      <c r="H29" s="3">
        <f>H28</f>
        <v>45</v>
      </c>
      <c r="I29" s="3">
        <f>I28</f>
        <v>25</v>
      </c>
      <c r="J29" s="3">
        <f>J28</f>
        <v>50</v>
      </c>
      <c r="K29" s="3">
        <f>K28</f>
        <v>25</v>
      </c>
      <c r="L29" s="3">
        <f>L28</f>
        <v>25</v>
      </c>
      <c r="M29" s="3">
        <f>M28</f>
        <v>35</v>
      </c>
      <c r="N29" s="3">
        <f>AVERAGE($I$2:$I$1168)</f>
        <v>78.907455012853475</v>
      </c>
      <c r="O29" s="3" t="str">
        <f>CONCATENATE(A29,"-",B29)</f>
        <v>14-Kakuna</v>
      </c>
    </row>
    <row r="30" spans="1:15">
      <c r="A30" s="63">
        <v>15</v>
      </c>
      <c r="B30" s="2" t="s">
        <v>40</v>
      </c>
      <c r="C30" t="s">
        <v>35</v>
      </c>
      <c r="D30" s="22">
        <f>COUNTIF($C$2:$C$1168,Tabela1[[#This Row],[Type]])</f>
        <v>71</v>
      </c>
      <c r="E30" s="62" t="str">
        <f>IF(A30&lt;=151,"Kanto",IF(A30&lt;=251,"Johto",IF(A30&lt;=386,"Hoenn",IF(A30&lt;=493,"Sinnoh",IF(A30&lt;=649,"Unova",IF(A30&lt;=721,"Kalos",IF(A30&lt;=809,"Alola",IF(A30&lt;=905,"Galar","Paldea"))))))))</f>
        <v>Kanto</v>
      </c>
      <c r="F30" t="str">
        <f>IF(G30&gt;=600,"Lendário",IF(G30&gt;=500,"Forte","Normal"))</f>
        <v>Normal</v>
      </c>
      <c r="G30" s="3">
        <v>385</v>
      </c>
      <c r="H30" s="3">
        <v>65</v>
      </c>
      <c r="I30" s="3">
        <v>80</v>
      </c>
      <c r="J30" s="3">
        <v>40</v>
      </c>
      <c r="K30" s="3">
        <v>45</v>
      </c>
      <c r="L30" s="3">
        <v>80</v>
      </c>
      <c r="M30" s="3">
        <v>75</v>
      </c>
      <c r="N30" s="3">
        <f>AVERAGE($I$2:$I$1168)</f>
        <v>78.907455012853475</v>
      </c>
      <c r="O30" s="3" t="str">
        <f>CONCATENATE(A30,"-",B30)</f>
        <v>15-Beedrill</v>
      </c>
    </row>
    <row r="31" spans="1:15">
      <c r="A31" s="63">
        <v>15</v>
      </c>
      <c r="B31" s="2" t="str">
        <f>B30</f>
        <v>Beedrill</v>
      </c>
      <c r="C31" t="s">
        <v>17</v>
      </c>
      <c r="D31" s="22">
        <f>COUNTIF($C$2:$C$1168,Tabela1[[#This Row],[Type]])</f>
        <v>61</v>
      </c>
      <c r="E31" s="62" t="str">
        <f>IF(A31&lt;=151,"Kanto",IF(A31&lt;=251,"Johto",IF(A31&lt;=386,"Hoenn",IF(A31&lt;=493,"Sinnoh",IF(A31&lt;=649,"Unova",IF(A31&lt;=721,"Kalos",IF(A31&lt;=809,"Alola",IF(A31&lt;=905,"Galar","Paldea"))))))))</f>
        <v>Kanto</v>
      </c>
      <c r="F31" t="str">
        <f>IF(G31&gt;=600,"Lendário",IF(G31&gt;=500,"Forte","Normal"))</f>
        <v>Normal</v>
      </c>
      <c r="G31" s="3">
        <f>G30</f>
        <v>385</v>
      </c>
      <c r="H31" s="3">
        <f>H30</f>
        <v>65</v>
      </c>
      <c r="I31" s="3">
        <f>I30</f>
        <v>80</v>
      </c>
      <c r="J31" s="3">
        <f>J30</f>
        <v>40</v>
      </c>
      <c r="K31" s="3">
        <f>K30</f>
        <v>45</v>
      </c>
      <c r="L31" s="3">
        <f>L30</f>
        <v>80</v>
      </c>
      <c r="M31" s="3">
        <f>M30</f>
        <v>75</v>
      </c>
      <c r="N31" s="3">
        <f>AVERAGE($I$2:$I$1168)</f>
        <v>78.907455012853475</v>
      </c>
      <c r="O31" s="3" t="str">
        <f>CONCATENATE(A31,"-",B31)</f>
        <v>15-Beedrill</v>
      </c>
    </row>
    <row r="32" spans="1:15">
      <c r="A32" s="63">
        <v>16</v>
      </c>
      <c r="B32" s="2" t="s">
        <v>41</v>
      </c>
      <c r="C32" t="s">
        <v>42</v>
      </c>
      <c r="D32" s="22">
        <f>COUNTIF($C$2:$C$1168,Tabela1[[#This Row],[Type]])</f>
        <v>99</v>
      </c>
      <c r="E32" s="62" t="str">
        <f>IF(A32&lt;=151,"Kanto",IF(A32&lt;=251,"Johto",IF(A32&lt;=386,"Hoenn",IF(A32&lt;=493,"Sinnoh",IF(A32&lt;=649,"Unova",IF(A32&lt;=721,"Kalos",IF(A32&lt;=809,"Alola",IF(A32&lt;=905,"Galar","Paldea"))))))))</f>
        <v>Kanto</v>
      </c>
      <c r="F32" t="str">
        <f>IF(G32&gt;=600,"Lendário",IF(G32&gt;=500,"Forte","Normal"))</f>
        <v>Normal</v>
      </c>
      <c r="G32" s="3">
        <v>251</v>
      </c>
      <c r="H32" s="3">
        <v>40</v>
      </c>
      <c r="I32" s="3">
        <v>45</v>
      </c>
      <c r="J32" s="3">
        <v>40</v>
      </c>
      <c r="K32" s="3">
        <v>35</v>
      </c>
      <c r="L32" s="3">
        <v>35</v>
      </c>
      <c r="M32" s="3">
        <v>56</v>
      </c>
      <c r="N32" s="3">
        <f>AVERAGE($I$2:$I$1168)</f>
        <v>78.907455012853475</v>
      </c>
      <c r="O32" s="3" t="str">
        <f>CONCATENATE(A32,"-",B32)</f>
        <v>16-Pidgey</v>
      </c>
    </row>
    <row r="33" spans="1:15">
      <c r="A33" s="63">
        <v>17</v>
      </c>
      <c r="B33" s="2" t="s">
        <v>43</v>
      </c>
      <c r="C33" t="s">
        <v>42</v>
      </c>
      <c r="D33" s="22">
        <f>COUNTIF($C$2:$C$1168,Tabela1[[#This Row],[Type]])</f>
        <v>99</v>
      </c>
      <c r="E33" s="62" t="str">
        <f>IF(A33&lt;=151,"Kanto",IF(A33&lt;=251,"Johto",IF(A33&lt;=386,"Hoenn",IF(A33&lt;=493,"Sinnoh",IF(A33&lt;=649,"Unova",IF(A33&lt;=721,"Kalos",IF(A33&lt;=809,"Alola",IF(A33&lt;=905,"Galar","Paldea"))))))))</f>
        <v>Kanto</v>
      </c>
      <c r="F33" t="str">
        <f>IF(G33&gt;=600,"Lendário",IF(G33&gt;=500,"Forte","Normal"))</f>
        <v>Normal</v>
      </c>
      <c r="G33" s="3">
        <v>349</v>
      </c>
      <c r="H33" s="3">
        <v>63</v>
      </c>
      <c r="I33" s="3">
        <v>60</v>
      </c>
      <c r="J33" s="3">
        <v>55</v>
      </c>
      <c r="K33" s="3">
        <v>50</v>
      </c>
      <c r="L33" s="3">
        <v>50</v>
      </c>
      <c r="M33" s="3">
        <v>71</v>
      </c>
      <c r="N33" s="3">
        <f>AVERAGE($I$2:$I$1168)</f>
        <v>78.907455012853475</v>
      </c>
      <c r="O33" s="3" t="str">
        <f>CONCATENATE(A33,"-",B33)</f>
        <v>17-Pidgeotto</v>
      </c>
    </row>
    <row r="34" spans="1:15">
      <c r="A34" s="63">
        <v>18</v>
      </c>
      <c r="B34" s="2" t="s">
        <v>44</v>
      </c>
      <c r="C34" t="s">
        <v>42</v>
      </c>
      <c r="D34" s="22">
        <f>COUNTIF($C$2:$C$1168,Tabela1[[#This Row],[Type]])</f>
        <v>99</v>
      </c>
      <c r="E34" s="62" t="str">
        <f>IF(A34&lt;=151,"Kanto",IF(A34&lt;=251,"Johto",IF(A34&lt;=386,"Hoenn",IF(A34&lt;=493,"Sinnoh",IF(A34&lt;=649,"Unova",IF(A34&lt;=721,"Kalos",IF(A34&lt;=809,"Alola",IF(A34&lt;=905,"Galar","Paldea"))))))))</f>
        <v>Kanto</v>
      </c>
      <c r="F34" t="str">
        <f>IF(G34&gt;=600,"Lendário",IF(G34&gt;=500,"Forte","Normal"))</f>
        <v>Normal</v>
      </c>
      <c r="G34" s="3">
        <v>469</v>
      </c>
      <c r="H34" s="3">
        <v>83</v>
      </c>
      <c r="I34" s="3">
        <v>80</v>
      </c>
      <c r="J34" s="3">
        <v>75</v>
      </c>
      <c r="K34" s="3">
        <v>70</v>
      </c>
      <c r="L34" s="3">
        <v>70</v>
      </c>
      <c r="M34" s="3">
        <v>91</v>
      </c>
      <c r="N34" s="3">
        <f>AVERAGE($I$2:$I$1168)</f>
        <v>78.907455012853475</v>
      </c>
      <c r="O34" s="3" t="str">
        <f>CONCATENATE(A34,"-",B34)</f>
        <v>18-Pidgeot</v>
      </c>
    </row>
    <row r="35" spans="1:15">
      <c r="A35" s="63">
        <v>19</v>
      </c>
      <c r="B35" s="2" t="s">
        <v>45</v>
      </c>
      <c r="C35" t="s">
        <v>42</v>
      </c>
      <c r="D35" s="22">
        <f>COUNTIF($C$2:$C$1168,Tabela1[[#This Row],[Type]])</f>
        <v>99</v>
      </c>
      <c r="E35" s="62" t="str">
        <f>IF(A35&lt;=151,"Kanto",IF(A35&lt;=251,"Johto",IF(A35&lt;=386,"Hoenn",IF(A35&lt;=493,"Sinnoh",IF(A35&lt;=649,"Unova",IF(A35&lt;=721,"Kalos",IF(A35&lt;=809,"Alola",IF(A35&lt;=905,"Galar","Paldea"))))))))</f>
        <v>Kanto</v>
      </c>
      <c r="F35" t="str">
        <f>IF(G35&gt;=600,"Lendário",IF(G35&gt;=500,"Forte","Normal"))</f>
        <v>Normal</v>
      </c>
      <c r="G35" s="3">
        <v>253</v>
      </c>
      <c r="H35" s="3">
        <v>30</v>
      </c>
      <c r="I35" s="3">
        <v>56</v>
      </c>
      <c r="J35" s="3">
        <v>35</v>
      </c>
      <c r="K35" s="3">
        <v>25</v>
      </c>
      <c r="L35" s="3">
        <v>35</v>
      </c>
      <c r="M35" s="3">
        <v>72</v>
      </c>
      <c r="N35" s="3">
        <f>AVERAGE($I$2:$I$1168)</f>
        <v>78.907455012853475</v>
      </c>
      <c r="O35" s="3" t="str">
        <f>CONCATENATE(A35,"-",B35)</f>
        <v>19-Rattata</v>
      </c>
    </row>
    <row r="36" spans="1:15">
      <c r="A36" s="63">
        <v>19</v>
      </c>
      <c r="B36" s="2" t="str">
        <f>B35</f>
        <v>Rattata</v>
      </c>
      <c r="C36" t="s">
        <v>25</v>
      </c>
      <c r="D36" s="22">
        <f>COUNTIF($C$2:$C$1168,Tabela1[[#This Row],[Type]])</f>
        <v>100</v>
      </c>
      <c r="E36" s="62" t="str">
        <f>IF(A36&lt;=151,"Kanto",IF(A36&lt;=251,"Johto",IF(A36&lt;=386,"Hoenn",IF(A36&lt;=493,"Sinnoh",IF(A36&lt;=649,"Unova",IF(A36&lt;=721,"Kalos",IF(A36&lt;=809,"Alola",IF(A36&lt;=905,"Galar","Paldea"))))))))</f>
        <v>Kanto</v>
      </c>
      <c r="F36" t="str">
        <f>IF(G36&gt;=600,"Lendário",IF(G36&gt;=500,"Forte","Normal"))</f>
        <v>Normal</v>
      </c>
      <c r="G36" s="3">
        <f>G35</f>
        <v>253</v>
      </c>
      <c r="H36" s="3">
        <f>H35</f>
        <v>30</v>
      </c>
      <c r="I36" s="3">
        <f>I35</f>
        <v>56</v>
      </c>
      <c r="J36" s="3">
        <f>J35</f>
        <v>35</v>
      </c>
      <c r="K36" s="3">
        <f>K35</f>
        <v>25</v>
      </c>
      <c r="L36" s="3">
        <f>L35</f>
        <v>35</v>
      </c>
      <c r="M36" s="3">
        <f>M35</f>
        <v>72</v>
      </c>
      <c r="N36" s="3">
        <f>AVERAGE($I$2:$I$1168)</f>
        <v>78.907455012853475</v>
      </c>
      <c r="O36" s="3" t="str">
        <f>CONCATENATE(A36,"-",B36)</f>
        <v>19-Rattata</v>
      </c>
    </row>
    <row r="37" spans="1:15">
      <c r="A37" s="63">
        <v>20</v>
      </c>
      <c r="B37" s="2" t="s">
        <v>46</v>
      </c>
      <c r="C37" t="s">
        <v>42</v>
      </c>
      <c r="D37" s="22">
        <f>COUNTIF($C$2:$C$1168,Tabela1[[#This Row],[Type]])</f>
        <v>99</v>
      </c>
      <c r="E37" s="62" t="str">
        <f>IF(A37&lt;=151,"Kanto",IF(A37&lt;=251,"Johto",IF(A37&lt;=386,"Hoenn",IF(A37&lt;=493,"Sinnoh",IF(A37&lt;=649,"Unova",IF(A37&lt;=721,"Kalos",IF(A37&lt;=809,"Alola",IF(A37&lt;=905,"Galar","Paldea"))))))))</f>
        <v>Kanto</v>
      </c>
      <c r="F37" t="str">
        <f>IF(G37&gt;=600,"Lendário",IF(G37&gt;=500,"Forte","Normal"))</f>
        <v>Normal</v>
      </c>
      <c r="G37" s="3">
        <v>413</v>
      </c>
      <c r="H37" s="3">
        <v>55</v>
      </c>
      <c r="I37" s="3">
        <v>81</v>
      </c>
      <c r="J37" s="3">
        <v>60</v>
      </c>
      <c r="K37" s="3">
        <v>50</v>
      </c>
      <c r="L37" s="3">
        <v>70</v>
      </c>
      <c r="M37" s="3">
        <v>97</v>
      </c>
      <c r="N37" s="3">
        <f>AVERAGE($I$2:$I$1168)</f>
        <v>78.907455012853475</v>
      </c>
      <c r="O37" s="3" t="str">
        <f>CONCATENATE(A37,"-",B37)</f>
        <v>20-Raticate</v>
      </c>
    </row>
    <row r="38" spans="1:15">
      <c r="A38" s="63">
        <v>21</v>
      </c>
      <c r="B38" s="2" t="s">
        <v>47</v>
      </c>
      <c r="C38" t="s">
        <v>42</v>
      </c>
      <c r="D38" s="22">
        <f>COUNTIF($C$2:$C$1168,Tabela1[[#This Row],[Type]])</f>
        <v>99</v>
      </c>
      <c r="E38" s="62" t="str">
        <f>IF(A38&lt;=151,"Kanto",IF(A38&lt;=251,"Johto",IF(A38&lt;=386,"Hoenn",IF(A38&lt;=493,"Sinnoh",IF(A38&lt;=649,"Unova",IF(A38&lt;=721,"Kalos",IF(A38&lt;=809,"Alola",IF(A38&lt;=905,"Galar","Paldea"))))))))</f>
        <v>Kanto</v>
      </c>
      <c r="F38" t="str">
        <f>IF(G38&gt;=600,"Lendário",IF(G38&gt;=500,"Forte","Normal"))</f>
        <v>Normal</v>
      </c>
      <c r="G38" s="3">
        <v>262</v>
      </c>
      <c r="H38" s="3">
        <v>40</v>
      </c>
      <c r="I38" s="3">
        <v>60</v>
      </c>
      <c r="J38" s="3">
        <v>30</v>
      </c>
      <c r="K38" s="3">
        <v>31</v>
      </c>
      <c r="L38" s="3">
        <v>31</v>
      </c>
      <c r="M38" s="3">
        <v>70</v>
      </c>
      <c r="N38" s="3">
        <f>AVERAGE($I$2:$I$1168)</f>
        <v>78.907455012853475</v>
      </c>
      <c r="O38" s="3" t="str">
        <f>CONCATENATE(A38,"-",B38)</f>
        <v>21-Spearow</v>
      </c>
    </row>
    <row r="39" spans="1:15">
      <c r="A39" s="63">
        <v>22</v>
      </c>
      <c r="B39" s="2" t="s">
        <v>48</v>
      </c>
      <c r="C39" t="s">
        <v>42</v>
      </c>
      <c r="D39" s="22">
        <f>COUNTIF($C$2:$C$1168,Tabela1[[#This Row],[Type]])</f>
        <v>99</v>
      </c>
      <c r="E39" s="62" t="str">
        <f>IF(A39&lt;=151,"Kanto",IF(A39&lt;=251,"Johto",IF(A39&lt;=386,"Hoenn",IF(A39&lt;=493,"Sinnoh",IF(A39&lt;=649,"Unova",IF(A39&lt;=721,"Kalos",IF(A39&lt;=809,"Alola",IF(A39&lt;=905,"Galar","Paldea"))))))))</f>
        <v>Kanto</v>
      </c>
      <c r="F39" t="str">
        <f>IF(G39&gt;=600,"Lendário",IF(G39&gt;=500,"Forte","Normal"))</f>
        <v>Normal</v>
      </c>
      <c r="G39" s="3">
        <v>442</v>
      </c>
      <c r="H39" s="3">
        <v>65</v>
      </c>
      <c r="I39" s="3">
        <v>90</v>
      </c>
      <c r="J39" s="3">
        <v>65</v>
      </c>
      <c r="K39" s="3">
        <v>61</v>
      </c>
      <c r="L39" s="3">
        <v>61</v>
      </c>
      <c r="M39" s="3">
        <v>100</v>
      </c>
      <c r="N39" s="3">
        <f>AVERAGE($I$2:$I$1168)</f>
        <v>78.907455012853475</v>
      </c>
      <c r="O39" s="3" t="str">
        <f>CONCATENATE(A39,"-",B39)</f>
        <v>22-Fearow</v>
      </c>
    </row>
    <row r="40" spans="1:15">
      <c r="A40" s="63">
        <v>23</v>
      </c>
      <c r="B40" s="2" t="s">
        <v>49</v>
      </c>
      <c r="C40" t="s">
        <v>17</v>
      </c>
      <c r="D40" s="22">
        <f>COUNTIF($C$2:$C$1168,Tabela1[[#This Row],[Type]])</f>
        <v>61</v>
      </c>
      <c r="E40" s="62" t="str">
        <f>IF(A40&lt;=151,"Kanto",IF(A40&lt;=251,"Johto",IF(A40&lt;=386,"Hoenn",IF(A40&lt;=493,"Sinnoh",IF(A40&lt;=649,"Unova",IF(A40&lt;=721,"Kalos",IF(A40&lt;=809,"Alola",IF(A40&lt;=905,"Galar","Paldea"))))))))</f>
        <v>Kanto</v>
      </c>
      <c r="F40" t="str">
        <f>IF(G40&gt;=600,"Lendário",IF(G40&gt;=500,"Forte","Normal"))</f>
        <v>Normal</v>
      </c>
      <c r="G40" s="3">
        <v>288</v>
      </c>
      <c r="H40" s="3">
        <v>35</v>
      </c>
      <c r="I40" s="3">
        <v>60</v>
      </c>
      <c r="J40" s="3">
        <v>44</v>
      </c>
      <c r="K40" s="3">
        <v>40</v>
      </c>
      <c r="L40" s="3">
        <v>54</v>
      </c>
      <c r="M40" s="3">
        <v>55</v>
      </c>
      <c r="N40" s="3">
        <f>AVERAGE($I$2:$I$1168)</f>
        <v>78.907455012853475</v>
      </c>
      <c r="O40" s="3" t="str">
        <f>CONCATENATE(A40,"-",B40)</f>
        <v>23-Ekans</v>
      </c>
    </row>
    <row r="41" spans="1:15">
      <c r="A41" s="63">
        <v>24</v>
      </c>
      <c r="B41" s="2" t="s">
        <v>50</v>
      </c>
      <c r="C41" t="s">
        <v>17</v>
      </c>
      <c r="D41" s="22">
        <f>COUNTIF($C$2:$C$1168,Tabela1[[#This Row],[Type]])</f>
        <v>61</v>
      </c>
      <c r="E41" s="62" t="str">
        <f>IF(A41&lt;=151,"Kanto",IF(A41&lt;=251,"Johto",IF(A41&lt;=386,"Hoenn",IF(A41&lt;=493,"Sinnoh",IF(A41&lt;=649,"Unova",IF(A41&lt;=721,"Kalos",IF(A41&lt;=809,"Alola",IF(A41&lt;=905,"Galar","Paldea"))))))))</f>
        <v>Kanto</v>
      </c>
      <c r="F41" t="str">
        <f>IF(G41&gt;=600,"Lendário",IF(G41&gt;=500,"Forte","Normal"))</f>
        <v>Normal</v>
      </c>
      <c r="G41" s="3">
        <v>438</v>
      </c>
      <c r="H41" s="3">
        <v>60</v>
      </c>
      <c r="I41" s="3">
        <v>85</v>
      </c>
      <c r="J41" s="3">
        <v>69</v>
      </c>
      <c r="K41" s="3">
        <v>65</v>
      </c>
      <c r="L41" s="3">
        <v>79</v>
      </c>
      <c r="M41" s="3">
        <v>80</v>
      </c>
      <c r="N41" s="3">
        <f>AVERAGE($I$2:$I$1168)</f>
        <v>78.907455012853475</v>
      </c>
      <c r="O41" s="3" t="str">
        <f>CONCATENATE(A41,"-",B41)</f>
        <v>24-Arbok</v>
      </c>
    </row>
    <row r="42" spans="1:15">
      <c r="A42" s="63">
        <v>25</v>
      </c>
      <c r="B42" s="2" t="s">
        <v>51</v>
      </c>
      <c r="C42" t="s">
        <v>52</v>
      </c>
      <c r="D42" s="22">
        <f>COUNTIF($C$2:$C$1168,Tabela1[[#This Row],[Type]])</f>
        <v>51</v>
      </c>
      <c r="E42" s="62" t="str">
        <f>IF(A42&lt;=151,"Kanto",IF(A42&lt;=251,"Johto",IF(A42&lt;=386,"Hoenn",IF(A42&lt;=493,"Sinnoh",IF(A42&lt;=649,"Unova",IF(A42&lt;=721,"Kalos",IF(A42&lt;=809,"Alola",IF(A42&lt;=905,"Galar","Paldea"))))))))</f>
        <v>Kanto</v>
      </c>
      <c r="F42" t="str">
        <f>IF(G42&gt;=600,"Lendário",IF(G42&gt;=500,"Forte","Normal"))</f>
        <v>Normal</v>
      </c>
      <c r="G42" s="3">
        <v>300</v>
      </c>
      <c r="H42" s="3">
        <v>35</v>
      </c>
      <c r="I42" s="3">
        <v>55</v>
      </c>
      <c r="J42" s="3">
        <v>30</v>
      </c>
      <c r="K42" s="3">
        <v>50</v>
      </c>
      <c r="L42" s="3">
        <v>40</v>
      </c>
      <c r="M42" s="3">
        <v>90</v>
      </c>
      <c r="N42" s="3">
        <f>AVERAGE($I$2:$I$1168)</f>
        <v>78.907455012853475</v>
      </c>
      <c r="O42" s="3" t="str">
        <f>CONCATENATE(A42,"-",B42)</f>
        <v>25-Pikachu</v>
      </c>
    </row>
    <row r="43" spans="1:15">
      <c r="A43" s="63">
        <v>26</v>
      </c>
      <c r="B43" s="2" t="s">
        <v>53</v>
      </c>
      <c r="C43" t="s">
        <v>52</v>
      </c>
      <c r="D43" s="22">
        <f>COUNTIF($C$2:$C$1168,Tabela1[[#This Row],[Type]])</f>
        <v>51</v>
      </c>
      <c r="E43" s="62" t="str">
        <f>IF(A43&lt;=151,"Kanto",IF(A43&lt;=251,"Johto",IF(A43&lt;=386,"Hoenn",IF(A43&lt;=493,"Sinnoh",IF(A43&lt;=649,"Unova",IF(A43&lt;=721,"Kalos",IF(A43&lt;=809,"Alola",IF(A43&lt;=905,"Galar","Paldea"))))))))</f>
        <v>Kanto</v>
      </c>
      <c r="F43" t="str">
        <f>IF(G43&gt;=600,"Lendário",IF(G43&gt;=500,"Forte","Normal"))</f>
        <v>Normal</v>
      </c>
      <c r="G43" s="3">
        <v>475</v>
      </c>
      <c r="H43" s="3">
        <v>60</v>
      </c>
      <c r="I43" s="3">
        <v>90</v>
      </c>
      <c r="J43" s="3">
        <v>55</v>
      </c>
      <c r="K43" s="3">
        <v>90</v>
      </c>
      <c r="L43" s="3">
        <v>80</v>
      </c>
      <c r="M43" s="3">
        <v>100</v>
      </c>
      <c r="N43" s="3">
        <f>AVERAGE($I$2:$I$1168)</f>
        <v>78.907455012853475</v>
      </c>
      <c r="O43" s="3" t="str">
        <f>CONCATENATE(A43,"-",B43)</f>
        <v>26-Raichu</v>
      </c>
    </row>
    <row r="44" spans="1:15">
      <c r="A44" s="63">
        <v>27</v>
      </c>
      <c r="B44" s="2" t="s">
        <v>54</v>
      </c>
      <c r="C44" t="s">
        <v>55</v>
      </c>
      <c r="D44" s="22">
        <f>COUNTIF($C$2:$C$1168,Tabela1[[#This Row],[Type]])</f>
        <v>62</v>
      </c>
      <c r="E44" s="62" t="str">
        <f>IF(A44&lt;=151,"Kanto",IF(A44&lt;=251,"Johto",IF(A44&lt;=386,"Hoenn",IF(A44&lt;=493,"Sinnoh",IF(A44&lt;=649,"Unova",IF(A44&lt;=721,"Kalos",IF(A44&lt;=809,"Alola",IF(A44&lt;=905,"Galar","Paldea"))))))))</f>
        <v>Kanto</v>
      </c>
      <c r="F44" t="str">
        <f>IF(G44&gt;=600,"Lendário",IF(G44&gt;=500,"Forte","Normal"))</f>
        <v>Normal</v>
      </c>
      <c r="G44" s="3">
        <v>300</v>
      </c>
      <c r="H44" s="3">
        <v>50</v>
      </c>
      <c r="I44" s="3">
        <v>75</v>
      </c>
      <c r="J44" s="3">
        <v>85</v>
      </c>
      <c r="K44" s="3">
        <v>20</v>
      </c>
      <c r="L44" s="3">
        <v>30</v>
      </c>
      <c r="M44" s="3">
        <v>40</v>
      </c>
      <c r="N44" s="3">
        <f>AVERAGE($I$2:$I$1168)</f>
        <v>78.907455012853475</v>
      </c>
      <c r="O44" s="3" t="str">
        <f>CONCATENATE(A44,"-",B44)</f>
        <v>27-Sandshrew</v>
      </c>
    </row>
    <row r="45" spans="1:15">
      <c r="A45" s="63">
        <v>28</v>
      </c>
      <c r="B45" s="2" t="s">
        <v>56</v>
      </c>
      <c r="C45" t="s">
        <v>55</v>
      </c>
      <c r="D45" s="22">
        <f>COUNTIF($C$2:$C$1168,Tabela1[[#This Row],[Type]])</f>
        <v>62</v>
      </c>
      <c r="E45" s="62" t="str">
        <f>IF(A45&lt;=151,"Kanto",IF(A45&lt;=251,"Johto",IF(A45&lt;=386,"Hoenn",IF(A45&lt;=493,"Sinnoh",IF(A45&lt;=649,"Unova",IF(A45&lt;=721,"Kalos",IF(A45&lt;=809,"Alola",IF(A45&lt;=905,"Galar","Paldea"))))))))</f>
        <v>Kanto</v>
      </c>
      <c r="F45" t="str">
        <f>IF(G45&gt;=600,"Lendário",IF(G45&gt;=500,"Forte","Normal"))</f>
        <v>Normal</v>
      </c>
      <c r="G45" s="3">
        <v>450</v>
      </c>
      <c r="H45" s="3">
        <v>75</v>
      </c>
      <c r="I45" s="3">
        <v>100</v>
      </c>
      <c r="J45" s="3">
        <v>110</v>
      </c>
      <c r="K45" s="3">
        <v>45</v>
      </c>
      <c r="L45" s="3">
        <v>55</v>
      </c>
      <c r="M45" s="3">
        <v>65</v>
      </c>
      <c r="N45" s="3">
        <f>AVERAGE($I$2:$I$1168)</f>
        <v>78.907455012853475</v>
      </c>
      <c r="O45" s="3" t="str">
        <f>CONCATENATE(A45,"-",B45)</f>
        <v>28-Sandslash</v>
      </c>
    </row>
    <row r="46" spans="1:15">
      <c r="A46" s="63">
        <v>29</v>
      </c>
      <c r="B46" s="2" t="s">
        <v>57</v>
      </c>
      <c r="C46" t="s">
        <v>17</v>
      </c>
      <c r="D46" s="22">
        <f>COUNTIF($C$2:$C$1168,Tabela1[[#This Row],[Type]])</f>
        <v>61</v>
      </c>
      <c r="E46" s="62" t="str">
        <f>IF(A46&lt;=151,"Kanto",IF(A46&lt;=251,"Johto",IF(A46&lt;=386,"Hoenn",IF(A46&lt;=493,"Sinnoh",IF(A46&lt;=649,"Unova",IF(A46&lt;=721,"Kalos",IF(A46&lt;=809,"Alola",IF(A46&lt;=905,"Galar","Paldea"))))))))</f>
        <v>Kanto</v>
      </c>
      <c r="F46" t="str">
        <f>IF(G46&gt;=600,"Lendário",IF(G46&gt;=500,"Forte","Normal"))</f>
        <v>Normal</v>
      </c>
      <c r="G46" s="3">
        <v>275</v>
      </c>
      <c r="H46" s="3">
        <v>55</v>
      </c>
      <c r="I46" s="3">
        <v>47</v>
      </c>
      <c r="J46" s="3">
        <v>52</v>
      </c>
      <c r="K46" s="3">
        <v>40</v>
      </c>
      <c r="L46" s="3">
        <v>40</v>
      </c>
      <c r="M46" s="3">
        <v>41</v>
      </c>
      <c r="N46" s="3">
        <f>AVERAGE($I$2:$I$1168)</f>
        <v>78.907455012853475</v>
      </c>
      <c r="O46" s="3" t="str">
        <f>CONCATENATE(A46,"-",B46)</f>
        <v>29-Nidoran♀</v>
      </c>
    </row>
    <row r="47" spans="1:15">
      <c r="A47" s="63">
        <v>30</v>
      </c>
      <c r="B47" s="2" t="s">
        <v>58</v>
      </c>
      <c r="C47" t="s">
        <v>17</v>
      </c>
      <c r="D47" s="22">
        <f>COUNTIF($C$2:$C$1168,Tabela1[[#This Row],[Type]])</f>
        <v>61</v>
      </c>
      <c r="E47" s="62" t="str">
        <f>IF(A47&lt;=151,"Kanto",IF(A47&lt;=251,"Johto",IF(A47&lt;=386,"Hoenn",IF(A47&lt;=493,"Sinnoh",IF(A47&lt;=649,"Unova",IF(A47&lt;=721,"Kalos",IF(A47&lt;=809,"Alola",IF(A47&lt;=905,"Galar","Paldea"))))))))</f>
        <v>Kanto</v>
      </c>
      <c r="F47" t="str">
        <f>IF(G47&gt;=600,"Lendário",IF(G47&gt;=500,"Forte","Normal"))</f>
        <v>Normal</v>
      </c>
      <c r="G47" s="3">
        <v>365</v>
      </c>
      <c r="H47" s="3">
        <v>70</v>
      </c>
      <c r="I47" s="3">
        <v>62</v>
      </c>
      <c r="J47" s="3">
        <v>67</v>
      </c>
      <c r="K47" s="3">
        <v>55</v>
      </c>
      <c r="L47" s="3">
        <v>55</v>
      </c>
      <c r="M47" s="3">
        <v>56</v>
      </c>
      <c r="N47" s="3">
        <f>AVERAGE($I$2:$I$1168)</f>
        <v>78.907455012853475</v>
      </c>
      <c r="O47" s="3" t="str">
        <f>CONCATENATE(A47,"-",B47)</f>
        <v>30-Nidorina</v>
      </c>
    </row>
    <row r="48" spans="1:15">
      <c r="A48" s="63">
        <v>31</v>
      </c>
      <c r="B48" s="2" t="s">
        <v>59</v>
      </c>
      <c r="C48" t="s">
        <v>17</v>
      </c>
      <c r="D48" s="22">
        <f>COUNTIF($C$2:$C$1168,Tabela1[[#This Row],[Type]])</f>
        <v>61</v>
      </c>
      <c r="E48" s="62" t="str">
        <f>IF(A48&lt;=151,"Kanto",IF(A48&lt;=251,"Johto",IF(A48&lt;=386,"Hoenn",IF(A48&lt;=493,"Sinnoh",IF(A48&lt;=649,"Unova",IF(A48&lt;=721,"Kalos",IF(A48&lt;=809,"Alola",IF(A48&lt;=905,"Galar","Paldea"))))))))</f>
        <v>Kanto</v>
      </c>
      <c r="F48" t="str">
        <f>IF(G48&gt;=600,"Lendário",IF(G48&gt;=500,"Forte","Normal"))</f>
        <v>Normal</v>
      </c>
      <c r="G48" s="3">
        <v>495</v>
      </c>
      <c r="H48" s="3">
        <v>90</v>
      </c>
      <c r="I48" s="3">
        <v>82</v>
      </c>
      <c r="J48" s="3">
        <v>87</v>
      </c>
      <c r="K48" s="3">
        <v>75</v>
      </c>
      <c r="L48" s="3">
        <v>85</v>
      </c>
      <c r="M48" s="3">
        <v>76</v>
      </c>
      <c r="N48" s="3">
        <f>AVERAGE($I$2:$I$1168)</f>
        <v>78.907455012853475</v>
      </c>
      <c r="O48" s="3" t="str">
        <f>CONCATENATE(A48,"-",B48)</f>
        <v>31-Nidoqueen</v>
      </c>
    </row>
    <row r="49" spans="1:15">
      <c r="A49" s="63">
        <v>31</v>
      </c>
      <c r="B49" s="2" t="str">
        <f>B48</f>
        <v>Nidoqueen</v>
      </c>
      <c r="C49" t="s">
        <v>55</v>
      </c>
      <c r="D49" s="22">
        <f>COUNTIF($C$2:$C$1168,Tabela1[[#This Row],[Type]])</f>
        <v>62</v>
      </c>
      <c r="E49" s="62" t="str">
        <f>IF(A49&lt;=151,"Kanto",IF(A49&lt;=251,"Johto",IF(A49&lt;=386,"Hoenn",IF(A49&lt;=493,"Sinnoh",IF(A49&lt;=649,"Unova",IF(A49&lt;=721,"Kalos",IF(A49&lt;=809,"Alola",IF(A49&lt;=905,"Galar","Paldea"))))))))</f>
        <v>Kanto</v>
      </c>
      <c r="F49" t="str">
        <f>IF(G49&gt;=600,"Lendário",IF(G49&gt;=500,"Forte","Normal"))</f>
        <v>Normal</v>
      </c>
      <c r="G49" s="3">
        <f>G48</f>
        <v>495</v>
      </c>
      <c r="H49" s="3">
        <f>H48</f>
        <v>90</v>
      </c>
      <c r="I49" s="3">
        <f>I48</f>
        <v>82</v>
      </c>
      <c r="J49" s="3">
        <f>J48</f>
        <v>87</v>
      </c>
      <c r="K49" s="3">
        <f>K48</f>
        <v>75</v>
      </c>
      <c r="L49" s="3">
        <f>L48</f>
        <v>85</v>
      </c>
      <c r="M49" s="3">
        <f>M48</f>
        <v>76</v>
      </c>
      <c r="N49" s="3">
        <f>AVERAGE($I$2:$I$1168)</f>
        <v>78.907455012853475</v>
      </c>
      <c r="O49" s="3" t="str">
        <f>CONCATENATE(A49,"-",B49)</f>
        <v>31-Nidoqueen</v>
      </c>
    </row>
    <row r="50" spans="1:15">
      <c r="A50" s="63">
        <v>32</v>
      </c>
      <c r="B50" s="2" t="s">
        <v>60</v>
      </c>
      <c r="C50" t="s">
        <v>17</v>
      </c>
      <c r="D50" s="22">
        <f>COUNTIF($C$2:$C$1168,Tabela1[[#This Row],[Type]])</f>
        <v>61</v>
      </c>
      <c r="E50" s="62" t="str">
        <f>IF(A50&lt;=151,"Kanto",IF(A50&lt;=251,"Johto",IF(A50&lt;=386,"Hoenn",IF(A50&lt;=493,"Sinnoh",IF(A50&lt;=649,"Unova",IF(A50&lt;=721,"Kalos",IF(A50&lt;=809,"Alola",IF(A50&lt;=905,"Galar","Paldea"))))))))</f>
        <v>Kanto</v>
      </c>
      <c r="F50" t="str">
        <f>IF(G50&gt;=600,"Lendário",IF(G50&gt;=500,"Forte","Normal"))</f>
        <v>Normal</v>
      </c>
      <c r="G50" s="3">
        <v>273</v>
      </c>
      <c r="H50" s="3">
        <v>46</v>
      </c>
      <c r="I50" s="3">
        <v>57</v>
      </c>
      <c r="J50" s="3">
        <v>40</v>
      </c>
      <c r="K50" s="3">
        <v>40</v>
      </c>
      <c r="L50" s="3">
        <v>40</v>
      </c>
      <c r="M50" s="3">
        <v>50</v>
      </c>
      <c r="N50" s="3">
        <f>AVERAGE($I$2:$I$1168)</f>
        <v>78.907455012853475</v>
      </c>
      <c r="O50" s="3" t="str">
        <f>CONCATENATE(A50,"-",B50)</f>
        <v>32-Nidoran♂</v>
      </c>
    </row>
    <row r="51" spans="1:15">
      <c r="A51" s="63">
        <v>33</v>
      </c>
      <c r="B51" s="2" t="s">
        <v>61</v>
      </c>
      <c r="C51" t="s">
        <v>17</v>
      </c>
      <c r="D51" s="22">
        <f>COUNTIF($C$2:$C$1168,Tabela1[[#This Row],[Type]])</f>
        <v>61</v>
      </c>
      <c r="E51" s="62" t="str">
        <f>IF(A51&lt;=151,"Kanto",IF(A51&lt;=251,"Johto",IF(A51&lt;=386,"Hoenn",IF(A51&lt;=493,"Sinnoh",IF(A51&lt;=649,"Unova",IF(A51&lt;=721,"Kalos",IF(A51&lt;=809,"Alola",IF(A51&lt;=905,"Galar","Paldea"))))))))</f>
        <v>Kanto</v>
      </c>
      <c r="F51" t="str">
        <f>IF(G51&gt;=600,"Lendário",IF(G51&gt;=500,"Forte","Normal"))</f>
        <v>Normal</v>
      </c>
      <c r="G51" s="3">
        <v>365</v>
      </c>
      <c r="H51" s="3">
        <v>61</v>
      </c>
      <c r="I51" s="3">
        <v>72</v>
      </c>
      <c r="J51" s="3">
        <v>57</v>
      </c>
      <c r="K51" s="3">
        <v>55</v>
      </c>
      <c r="L51" s="3">
        <v>55</v>
      </c>
      <c r="M51" s="3">
        <v>65</v>
      </c>
      <c r="N51" s="3">
        <f>AVERAGE($I$2:$I$1168)</f>
        <v>78.907455012853475</v>
      </c>
      <c r="O51" s="3" t="str">
        <f>CONCATENATE(A51,"-",B51)</f>
        <v>33-Nidorino</v>
      </c>
    </row>
    <row r="52" spans="1:15">
      <c r="A52" s="63">
        <v>34</v>
      </c>
      <c r="B52" s="2" t="s">
        <v>62</v>
      </c>
      <c r="C52" t="s">
        <v>17</v>
      </c>
      <c r="D52" s="22">
        <f>COUNTIF($C$2:$C$1168,Tabela1[[#This Row],[Type]])</f>
        <v>61</v>
      </c>
      <c r="E52" s="62" t="str">
        <f>IF(A52&lt;=151,"Kanto",IF(A52&lt;=251,"Johto",IF(A52&lt;=386,"Hoenn",IF(A52&lt;=493,"Sinnoh",IF(A52&lt;=649,"Unova",IF(A52&lt;=721,"Kalos",IF(A52&lt;=809,"Alola",IF(A52&lt;=905,"Galar","Paldea"))))))))</f>
        <v>Kanto</v>
      </c>
      <c r="F52" t="str">
        <f>IF(G52&gt;=600,"Lendário",IF(G52&gt;=500,"Forte","Normal"))</f>
        <v>Normal</v>
      </c>
      <c r="G52" s="3">
        <v>495</v>
      </c>
      <c r="H52" s="3">
        <v>81</v>
      </c>
      <c r="I52" s="3">
        <v>92</v>
      </c>
      <c r="J52" s="3">
        <v>77</v>
      </c>
      <c r="K52" s="3">
        <v>85</v>
      </c>
      <c r="L52" s="3">
        <v>75</v>
      </c>
      <c r="M52" s="3">
        <v>85</v>
      </c>
      <c r="N52" s="3">
        <f>AVERAGE($I$2:$I$1168)</f>
        <v>78.907455012853475</v>
      </c>
      <c r="O52" s="3" t="str">
        <f>CONCATENATE(A52,"-",B52)</f>
        <v>34-Nidoking</v>
      </c>
    </row>
    <row r="53" spans="1:15">
      <c r="A53" s="63">
        <v>34</v>
      </c>
      <c r="B53" s="2" t="str">
        <f>B52</f>
        <v>Nidoking</v>
      </c>
      <c r="C53" t="s">
        <v>55</v>
      </c>
      <c r="D53" s="22">
        <f>COUNTIF($C$2:$C$1168,Tabela1[[#This Row],[Type]])</f>
        <v>62</v>
      </c>
      <c r="E53" s="62" t="str">
        <f>IF(A53&lt;=151,"Kanto",IF(A53&lt;=251,"Johto",IF(A53&lt;=386,"Hoenn",IF(A53&lt;=493,"Sinnoh",IF(A53&lt;=649,"Unova",IF(A53&lt;=721,"Kalos",IF(A53&lt;=809,"Alola",IF(A53&lt;=905,"Galar","Paldea"))))))))</f>
        <v>Kanto</v>
      </c>
      <c r="F53" t="str">
        <f>IF(G53&gt;=600,"Lendário",IF(G53&gt;=500,"Forte","Normal"))</f>
        <v>Normal</v>
      </c>
      <c r="G53" s="3">
        <f>G52</f>
        <v>495</v>
      </c>
      <c r="H53" s="3">
        <f>H52</f>
        <v>81</v>
      </c>
      <c r="I53" s="3">
        <f>I52</f>
        <v>92</v>
      </c>
      <c r="J53" s="3">
        <f>J52</f>
        <v>77</v>
      </c>
      <c r="K53" s="3">
        <f>K52</f>
        <v>85</v>
      </c>
      <c r="L53" s="3">
        <f>L52</f>
        <v>75</v>
      </c>
      <c r="M53" s="3">
        <f>M52</f>
        <v>85</v>
      </c>
      <c r="N53" s="3">
        <f>AVERAGE($I$2:$I$1168)</f>
        <v>78.907455012853475</v>
      </c>
      <c r="O53" s="3" t="str">
        <f>CONCATENATE(A53,"-",B53)</f>
        <v>34-Nidoking</v>
      </c>
    </row>
    <row r="54" spans="1:15">
      <c r="A54" s="63">
        <v>35</v>
      </c>
      <c r="B54" s="2" t="s">
        <v>63</v>
      </c>
      <c r="C54" t="s">
        <v>64</v>
      </c>
      <c r="D54" s="22">
        <f>COUNTIF($C$2:$C$1168,Tabela1[[#This Row],[Type]])</f>
        <v>34</v>
      </c>
      <c r="E54" s="62" t="str">
        <f>IF(A54&lt;=151,"Kanto",IF(A54&lt;=251,"Johto",IF(A54&lt;=386,"Hoenn",IF(A54&lt;=493,"Sinnoh",IF(A54&lt;=649,"Unova",IF(A54&lt;=721,"Kalos",IF(A54&lt;=809,"Alola",IF(A54&lt;=905,"Galar","Paldea"))))))))</f>
        <v>Kanto</v>
      </c>
      <c r="F54" t="str">
        <f>IF(G54&gt;=600,"Lendário",IF(G54&gt;=500,"Forte","Normal"))</f>
        <v>Normal</v>
      </c>
      <c r="G54" s="3">
        <v>323</v>
      </c>
      <c r="H54" s="3">
        <v>70</v>
      </c>
      <c r="I54" s="3">
        <v>45</v>
      </c>
      <c r="J54" s="3">
        <v>48</v>
      </c>
      <c r="K54" s="3">
        <v>60</v>
      </c>
      <c r="L54" s="3">
        <v>65</v>
      </c>
      <c r="M54" s="3">
        <v>35</v>
      </c>
      <c r="N54" s="3">
        <f>AVERAGE($I$2:$I$1168)</f>
        <v>78.907455012853475</v>
      </c>
      <c r="O54" s="3" t="str">
        <f>CONCATENATE(A54,"-",B54)</f>
        <v>35-Clefairy</v>
      </c>
    </row>
    <row r="55" spans="1:15">
      <c r="A55" s="63">
        <v>36</v>
      </c>
      <c r="B55" s="2" t="s">
        <v>65</v>
      </c>
      <c r="C55" t="s">
        <v>64</v>
      </c>
      <c r="D55" s="22">
        <f>COUNTIF($C$2:$C$1168,Tabela1[[#This Row],[Type]])</f>
        <v>34</v>
      </c>
      <c r="E55" s="62" t="str">
        <f>IF(A55&lt;=151,"Kanto",IF(A55&lt;=251,"Johto",IF(A55&lt;=386,"Hoenn",IF(A55&lt;=493,"Sinnoh",IF(A55&lt;=649,"Unova",IF(A55&lt;=721,"Kalos",IF(A55&lt;=809,"Alola",IF(A55&lt;=905,"Galar","Paldea"))))))))</f>
        <v>Kanto</v>
      </c>
      <c r="F55" t="str">
        <f>IF(G55&gt;=600,"Lendário",IF(G55&gt;=500,"Forte","Normal"))</f>
        <v>Normal</v>
      </c>
      <c r="G55" s="3">
        <v>473</v>
      </c>
      <c r="H55" s="3">
        <v>95</v>
      </c>
      <c r="I55" s="3">
        <v>70</v>
      </c>
      <c r="J55" s="3">
        <v>73</v>
      </c>
      <c r="K55" s="3">
        <v>85</v>
      </c>
      <c r="L55" s="3">
        <v>90</v>
      </c>
      <c r="M55" s="3">
        <v>60</v>
      </c>
      <c r="N55" s="3">
        <f>AVERAGE($I$2:$I$1168)</f>
        <v>78.907455012853475</v>
      </c>
      <c r="O55" s="3" t="str">
        <f>CONCATENATE(A55,"-",B55)</f>
        <v>36-Clefable</v>
      </c>
    </row>
    <row r="56" spans="1:15">
      <c r="A56" s="63">
        <v>36</v>
      </c>
      <c r="B56" s="2" t="str">
        <f>B55</f>
        <v>Clefable</v>
      </c>
      <c r="C56" t="s">
        <v>64</v>
      </c>
      <c r="D56" s="22">
        <f>COUNTIF($C$2:$C$1168,Tabela1[[#This Row],[Type]])</f>
        <v>34</v>
      </c>
      <c r="E56" s="62" t="str">
        <f>IF(A56&lt;=151,"Kanto",IF(A56&lt;=251,"Johto",IF(A56&lt;=386,"Hoenn",IF(A56&lt;=493,"Sinnoh",IF(A56&lt;=649,"Unova",IF(A56&lt;=721,"Kalos",IF(A56&lt;=809,"Alola",IF(A56&lt;=905,"Galar","Paldea"))))))))</f>
        <v>Kanto</v>
      </c>
      <c r="F56" t="str">
        <f>IF(G56&gt;=600,"Lendário",IF(G56&gt;=500,"Forte","Normal"))</f>
        <v>Normal</v>
      </c>
      <c r="G56" s="3">
        <f>G55</f>
        <v>473</v>
      </c>
      <c r="H56" s="3">
        <f>H55</f>
        <v>95</v>
      </c>
      <c r="I56" s="3">
        <f>I55</f>
        <v>70</v>
      </c>
      <c r="J56" s="3">
        <f>J55</f>
        <v>73</v>
      </c>
      <c r="K56" s="3">
        <f>K55</f>
        <v>85</v>
      </c>
      <c r="L56" s="3">
        <f>L55</f>
        <v>90</v>
      </c>
      <c r="M56" s="3">
        <f>M55</f>
        <v>60</v>
      </c>
      <c r="N56" s="3">
        <f>AVERAGE($I$2:$I$1168)</f>
        <v>78.907455012853475</v>
      </c>
      <c r="O56" s="3" t="str">
        <f>CONCATENATE(A56,"-",B56)</f>
        <v>36-Clefable</v>
      </c>
    </row>
    <row r="57" spans="1:15">
      <c r="A57" s="63">
        <v>36</v>
      </c>
      <c r="B57" s="2" t="str">
        <f>B56</f>
        <v>Clefable</v>
      </c>
      <c r="C57" t="s">
        <v>64</v>
      </c>
      <c r="D57" s="22">
        <f>COUNTIF($C$2:$C$1168,Tabela1[[#This Row],[Type]])</f>
        <v>34</v>
      </c>
      <c r="E57" s="62" t="str">
        <f>IF(A57&lt;=151,"Kanto",IF(A57&lt;=251,"Johto",IF(A57&lt;=386,"Hoenn",IF(A57&lt;=493,"Sinnoh",IF(A57&lt;=649,"Unova",IF(A57&lt;=721,"Kalos",IF(A57&lt;=809,"Alola",IF(A57&lt;=905,"Galar","Paldea"))))))))</f>
        <v>Kanto</v>
      </c>
      <c r="F57" t="str">
        <f>IF(G57&gt;=600,"Lendário",IF(G57&gt;=500,"Forte","Normal"))</f>
        <v>Normal</v>
      </c>
      <c r="G57" s="3">
        <f>G56</f>
        <v>473</v>
      </c>
      <c r="H57" s="3">
        <f>H56</f>
        <v>95</v>
      </c>
      <c r="I57" s="3">
        <f>I56</f>
        <v>70</v>
      </c>
      <c r="J57" s="3">
        <f>J56</f>
        <v>73</v>
      </c>
      <c r="K57" s="3">
        <f>K56</f>
        <v>85</v>
      </c>
      <c r="L57" s="3">
        <f>L56</f>
        <v>90</v>
      </c>
      <c r="M57" s="3">
        <f>M56</f>
        <v>60</v>
      </c>
      <c r="N57" s="3">
        <f>AVERAGE($I$2:$I$1168)</f>
        <v>78.907455012853475</v>
      </c>
      <c r="O57" s="3" t="str">
        <f>CONCATENATE(A57,"-",B57)</f>
        <v>36-Clefable</v>
      </c>
    </row>
    <row r="58" spans="1:15">
      <c r="A58" s="63">
        <v>37</v>
      </c>
      <c r="B58" s="2" t="s">
        <v>66</v>
      </c>
      <c r="C58" t="s">
        <v>22</v>
      </c>
      <c r="D58" s="22">
        <f>COUNTIF($C$2:$C$1168,Tabela1[[#This Row],[Type]])</f>
        <v>62</v>
      </c>
      <c r="E58" s="62" t="str">
        <f>IF(A58&lt;=151,"Kanto",IF(A58&lt;=251,"Johto",IF(A58&lt;=386,"Hoenn",IF(A58&lt;=493,"Sinnoh",IF(A58&lt;=649,"Unova",IF(A58&lt;=721,"Kalos",IF(A58&lt;=809,"Alola",IF(A58&lt;=905,"Galar","Paldea"))))))))</f>
        <v>Kanto</v>
      </c>
      <c r="F58" t="str">
        <f>IF(G58&gt;=600,"Lendário",IF(G58&gt;=500,"Forte","Normal"))</f>
        <v>Normal</v>
      </c>
      <c r="G58" s="3">
        <v>299</v>
      </c>
      <c r="H58" s="3">
        <v>38</v>
      </c>
      <c r="I58" s="3">
        <v>41</v>
      </c>
      <c r="J58" s="3">
        <v>40</v>
      </c>
      <c r="K58" s="3">
        <v>50</v>
      </c>
      <c r="L58" s="3">
        <v>65</v>
      </c>
      <c r="M58" s="3">
        <v>65</v>
      </c>
      <c r="N58" s="3">
        <f>AVERAGE($I$2:$I$1168)</f>
        <v>78.907455012853475</v>
      </c>
      <c r="O58" s="3" t="str">
        <f>CONCATENATE(A58,"-",B58)</f>
        <v>37-Vulpix</v>
      </c>
    </row>
    <row r="59" spans="1:15">
      <c r="A59" s="63">
        <v>38</v>
      </c>
      <c r="B59" s="2" t="s">
        <v>67</v>
      </c>
      <c r="C59" t="s">
        <v>22</v>
      </c>
      <c r="D59" s="22">
        <f>COUNTIF($C$2:$C$1168,Tabela1[[#This Row],[Type]])</f>
        <v>62</v>
      </c>
      <c r="E59" s="62" t="str">
        <f>IF(A59&lt;=151,"Kanto",IF(A59&lt;=251,"Johto",IF(A59&lt;=386,"Hoenn",IF(A59&lt;=493,"Sinnoh",IF(A59&lt;=649,"Unova",IF(A59&lt;=721,"Kalos",IF(A59&lt;=809,"Alola",IF(A59&lt;=905,"Galar","Paldea"))))))))</f>
        <v>Kanto</v>
      </c>
      <c r="F59" t="str">
        <f>IF(G59&gt;=600,"Lendário",IF(G59&gt;=500,"Forte","Normal"))</f>
        <v>Forte</v>
      </c>
      <c r="G59" s="3">
        <v>505</v>
      </c>
      <c r="H59" s="3">
        <v>73</v>
      </c>
      <c r="I59" s="3">
        <v>76</v>
      </c>
      <c r="J59" s="3">
        <v>75</v>
      </c>
      <c r="K59" s="3">
        <v>81</v>
      </c>
      <c r="L59" s="3">
        <v>100</v>
      </c>
      <c r="M59" s="3">
        <v>100</v>
      </c>
      <c r="N59" s="3">
        <f>AVERAGE($I$2:$I$1168)</f>
        <v>78.907455012853475</v>
      </c>
      <c r="O59" s="3" t="str">
        <f>CONCATENATE(A59,"-",B59)</f>
        <v>38-Ninetales</v>
      </c>
    </row>
    <row r="60" spans="1:15">
      <c r="A60" s="63">
        <v>39</v>
      </c>
      <c r="B60" s="2" t="s">
        <v>68</v>
      </c>
      <c r="C60" t="s">
        <v>42</v>
      </c>
      <c r="D60" s="22">
        <f>COUNTIF($C$2:$C$1168,Tabela1[[#This Row],[Type]])</f>
        <v>99</v>
      </c>
      <c r="E60" s="62" t="str">
        <f>IF(A60&lt;=151,"Kanto",IF(A60&lt;=251,"Johto",IF(A60&lt;=386,"Hoenn",IF(A60&lt;=493,"Sinnoh",IF(A60&lt;=649,"Unova",IF(A60&lt;=721,"Kalos",IF(A60&lt;=809,"Alola",IF(A60&lt;=905,"Galar","Paldea"))))))))</f>
        <v>Kanto</v>
      </c>
      <c r="F60" t="str">
        <f>IF(G60&gt;=600,"Lendário",IF(G60&gt;=500,"Forte","Normal"))</f>
        <v>Normal</v>
      </c>
      <c r="G60" s="3">
        <v>270</v>
      </c>
      <c r="H60" s="3">
        <v>115</v>
      </c>
      <c r="I60" s="3">
        <v>45</v>
      </c>
      <c r="J60" s="3">
        <v>20</v>
      </c>
      <c r="K60" s="3">
        <v>45</v>
      </c>
      <c r="L60" s="3">
        <v>25</v>
      </c>
      <c r="M60" s="3">
        <v>20</v>
      </c>
      <c r="N60" s="3">
        <f>AVERAGE($I$2:$I$1168)</f>
        <v>78.907455012853475</v>
      </c>
      <c r="O60" s="3" t="str">
        <f>CONCATENATE(A60,"-",B60)</f>
        <v>39-Jigglypuff</v>
      </c>
    </row>
    <row r="61" spans="1:15">
      <c r="A61" s="63">
        <v>40</v>
      </c>
      <c r="B61" s="2" t="s">
        <v>69</v>
      </c>
      <c r="C61" t="s">
        <v>42</v>
      </c>
      <c r="D61" s="22">
        <f>COUNTIF($C$2:$C$1168,Tabela1[[#This Row],[Type]])</f>
        <v>99</v>
      </c>
      <c r="E61" s="62" t="str">
        <f>IF(A61&lt;=151,"Kanto",IF(A61&lt;=251,"Johto",IF(A61&lt;=386,"Hoenn",IF(A61&lt;=493,"Sinnoh",IF(A61&lt;=649,"Unova",IF(A61&lt;=721,"Kalos",IF(A61&lt;=809,"Alola",IF(A61&lt;=905,"Galar","Paldea"))))))))</f>
        <v>Kanto</v>
      </c>
      <c r="F61" t="str">
        <f>IF(G61&gt;=600,"Lendário",IF(G61&gt;=500,"Forte","Normal"))</f>
        <v>Normal</v>
      </c>
      <c r="G61" s="3">
        <v>425</v>
      </c>
      <c r="H61" s="3">
        <v>140</v>
      </c>
      <c r="I61" s="3">
        <v>70</v>
      </c>
      <c r="J61" s="3">
        <v>45</v>
      </c>
      <c r="K61" s="3">
        <v>75</v>
      </c>
      <c r="L61" s="3">
        <v>50</v>
      </c>
      <c r="M61" s="3">
        <v>45</v>
      </c>
      <c r="N61" s="3">
        <f>AVERAGE($I$2:$I$1168)</f>
        <v>78.907455012853475</v>
      </c>
      <c r="O61" s="3" t="str">
        <f>CONCATENATE(A61,"-",B61)</f>
        <v>40-Wigglytuff</v>
      </c>
    </row>
    <row r="62" spans="1:15">
      <c r="A62" s="63">
        <v>41</v>
      </c>
      <c r="B62" s="2" t="s">
        <v>70</v>
      </c>
      <c r="C62" t="s">
        <v>17</v>
      </c>
      <c r="D62" s="22">
        <f>COUNTIF($C$2:$C$1168,Tabela1[[#This Row],[Type]])</f>
        <v>61</v>
      </c>
      <c r="E62" s="62" t="str">
        <f>IF(A62&lt;=151,"Kanto",IF(A62&lt;=251,"Johto",IF(A62&lt;=386,"Hoenn",IF(A62&lt;=493,"Sinnoh",IF(A62&lt;=649,"Unova",IF(A62&lt;=721,"Kalos",IF(A62&lt;=809,"Alola",IF(A62&lt;=905,"Galar","Paldea"))))))))</f>
        <v>Kanto</v>
      </c>
      <c r="F62" t="str">
        <f>IF(G62&gt;=600,"Lendário",IF(G62&gt;=500,"Forte","Normal"))</f>
        <v>Normal</v>
      </c>
      <c r="G62" s="3">
        <v>245</v>
      </c>
      <c r="H62" s="3">
        <v>40</v>
      </c>
      <c r="I62" s="3">
        <v>45</v>
      </c>
      <c r="J62" s="3">
        <v>35</v>
      </c>
      <c r="K62" s="3">
        <v>30</v>
      </c>
      <c r="L62" s="3">
        <v>40</v>
      </c>
      <c r="M62" s="3">
        <v>55</v>
      </c>
      <c r="N62" s="3">
        <f>AVERAGE($I$2:$I$1168)</f>
        <v>78.907455012853475</v>
      </c>
      <c r="O62" s="3" t="str">
        <f>CONCATENATE(A62,"-",B62)</f>
        <v>41-Zubat</v>
      </c>
    </row>
    <row r="63" spans="1:15">
      <c r="A63" s="63">
        <v>41</v>
      </c>
      <c r="B63" s="2" t="str">
        <f>B62</f>
        <v>Zubat</v>
      </c>
      <c r="C63" t="s">
        <v>25</v>
      </c>
      <c r="D63" s="22">
        <f>COUNTIF($C$2:$C$1168,Tabela1[[#This Row],[Type]])</f>
        <v>100</v>
      </c>
      <c r="E63" s="62" t="str">
        <f>IF(A63&lt;=151,"Kanto",IF(A63&lt;=251,"Johto",IF(A63&lt;=386,"Hoenn",IF(A63&lt;=493,"Sinnoh",IF(A63&lt;=649,"Unova",IF(A63&lt;=721,"Kalos",IF(A63&lt;=809,"Alola",IF(A63&lt;=905,"Galar","Paldea"))))))))</f>
        <v>Kanto</v>
      </c>
      <c r="F63" t="str">
        <f>IF(G63&gt;=600,"Lendário",IF(G63&gt;=500,"Forte","Normal"))</f>
        <v>Normal</v>
      </c>
      <c r="G63" s="3">
        <f>G62</f>
        <v>245</v>
      </c>
      <c r="H63" s="3">
        <f>H62</f>
        <v>40</v>
      </c>
      <c r="I63" s="3">
        <f>I62</f>
        <v>45</v>
      </c>
      <c r="J63" s="3">
        <f>J62</f>
        <v>35</v>
      </c>
      <c r="K63" s="3">
        <f>K62</f>
        <v>30</v>
      </c>
      <c r="L63" s="3">
        <f>L62</f>
        <v>40</v>
      </c>
      <c r="M63" s="3">
        <f>M62</f>
        <v>55</v>
      </c>
      <c r="N63" s="3">
        <f>AVERAGE($I$2:$I$1168)</f>
        <v>78.907455012853475</v>
      </c>
      <c r="O63" s="3" t="str">
        <f>CONCATENATE(A63,"-",B63)</f>
        <v>41-Zubat</v>
      </c>
    </row>
    <row r="64" spans="1:15">
      <c r="A64" s="63">
        <v>42</v>
      </c>
      <c r="B64" s="2" t="s">
        <v>71</v>
      </c>
      <c r="C64" t="s">
        <v>17</v>
      </c>
      <c r="D64" s="22">
        <f>COUNTIF($C$2:$C$1168,Tabela1[[#This Row],[Type]])</f>
        <v>61</v>
      </c>
      <c r="E64" s="62" t="str">
        <f>IF(A64&lt;=151,"Kanto",IF(A64&lt;=251,"Johto",IF(A64&lt;=386,"Hoenn",IF(A64&lt;=493,"Sinnoh",IF(A64&lt;=649,"Unova",IF(A64&lt;=721,"Kalos",IF(A64&lt;=809,"Alola",IF(A64&lt;=905,"Galar","Paldea"))))))))</f>
        <v>Kanto</v>
      </c>
      <c r="F64" t="str">
        <f>IF(G64&gt;=600,"Lendário",IF(G64&gt;=500,"Forte","Normal"))</f>
        <v>Normal</v>
      </c>
      <c r="G64" s="3">
        <v>455</v>
      </c>
      <c r="H64" s="3">
        <v>75</v>
      </c>
      <c r="I64" s="3">
        <v>80</v>
      </c>
      <c r="J64" s="3">
        <v>70</v>
      </c>
      <c r="K64" s="3">
        <v>65</v>
      </c>
      <c r="L64" s="3">
        <v>75</v>
      </c>
      <c r="M64" s="3">
        <v>90</v>
      </c>
      <c r="N64" s="3">
        <f>AVERAGE($I$2:$I$1168)</f>
        <v>78.907455012853475</v>
      </c>
      <c r="O64" s="3" t="str">
        <f>CONCATENATE(A64,"-",B64)</f>
        <v>42-Golbat</v>
      </c>
    </row>
    <row r="65" spans="1:15">
      <c r="A65" s="63">
        <v>42</v>
      </c>
      <c r="B65" s="2" t="str">
        <f>B64</f>
        <v>Golbat</v>
      </c>
      <c r="C65" t="s">
        <v>25</v>
      </c>
      <c r="D65" s="22">
        <f>COUNTIF($C$2:$C$1168,Tabela1[[#This Row],[Type]])</f>
        <v>100</v>
      </c>
      <c r="E65" s="62" t="str">
        <f>IF(A65&lt;=151,"Kanto",IF(A65&lt;=251,"Johto",IF(A65&lt;=386,"Hoenn",IF(A65&lt;=493,"Sinnoh",IF(A65&lt;=649,"Unova",IF(A65&lt;=721,"Kalos",IF(A65&lt;=809,"Alola",IF(A65&lt;=905,"Galar","Paldea"))))))))</f>
        <v>Kanto</v>
      </c>
      <c r="F65" t="str">
        <f>IF(G65&gt;=600,"Lendário",IF(G65&gt;=500,"Forte","Normal"))</f>
        <v>Normal</v>
      </c>
      <c r="G65" s="3">
        <f>G64</f>
        <v>455</v>
      </c>
      <c r="H65" s="3">
        <f>H64</f>
        <v>75</v>
      </c>
      <c r="I65" s="3">
        <f>I64</f>
        <v>80</v>
      </c>
      <c r="J65" s="3">
        <f>J64</f>
        <v>70</v>
      </c>
      <c r="K65" s="3">
        <f>K64</f>
        <v>65</v>
      </c>
      <c r="L65" s="3">
        <f>L64</f>
        <v>75</v>
      </c>
      <c r="M65" s="3">
        <f>M64</f>
        <v>90</v>
      </c>
      <c r="N65" s="3">
        <f>AVERAGE($I$2:$I$1168)</f>
        <v>78.907455012853475</v>
      </c>
      <c r="O65" s="3" t="str">
        <f>CONCATENATE(A65,"-",B65)</f>
        <v>42-Golbat</v>
      </c>
    </row>
    <row r="66" spans="1:15">
      <c r="A66" s="63">
        <v>43</v>
      </c>
      <c r="B66" s="2" t="s">
        <v>72</v>
      </c>
      <c r="C66" t="s">
        <v>16</v>
      </c>
      <c r="D66" s="22">
        <f>COUNTIF($C$2:$C$1168,Tabela1[[#This Row],[Type]])</f>
        <v>93</v>
      </c>
      <c r="E66" s="62" t="str">
        <f>IF(A66&lt;=151,"Kanto",IF(A66&lt;=251,"Johto",IF(A66&lt;=386,"Hoenn",IF(A66&lt;=493,"Sinnoh",IF(A66&lt;=649,"Unova",IF(A66&lt;=721,"Kalos",IF(A66&lt;=809,"Alola",IF(A66&lt;=905,"Galar","Paldea"))))))))</f>
        <v>Kanto</v>
      </c>
      <c r="F66" t="str">
        <f>IF(G66&gt;=600,"Lendário",IF(G66&gt;=500,"Forte","Normal"))</f>
        <v>Normal</v>
      </c>
      <c r="G66" s="3">
        <v>320</v>
      </c>
      <c r="H66" s="3">
        <v>45</v>
      </c>
      <c r="I66" s="3">
        <v>50</v>
      </c>
      <c r="J66" s="3">
        <v>55</v>
      </c>
      <c r="K66" s="3">
        <v>75</v>
      </c>
      <c r="L66" s="3">
        <v>65</v>
      </c>
      <c r="M66" s="3">
        <v>30</v>
      </c>
      <c r="N66" s="3">
        <f>AVERAGE($I$2:$I$1168)</f>
        <v>78.907455012853475</v>
      </c>
      <c r="O66" s="3" t="str">
        <f>CONCATENATE(A66,"-",B66)</f>
        <v>43-Oddish</v>
      </c>
    </row>
    <row r="67" spans="1:15">
      <c r="A67" s="63">
        <v>43</v>
      </c>
      <c r="B67" s="2" t="str">
        <f>B66</f>
        <v>Oddish</v>
      </c>
      <c r="C67" t="s">
        <v>17</v>
      </c>
      <c r="D67" s="22">
        <f>COUNTIF($C$2:$C$1168,Tabela1[[#This Row],[Type]])</f>
        <v>61</v>
      </c>
      <c r="E67" s="62" t="str">
        <f>IF(A67&lt;=151,"Kanto",IF(A67&lt;=251,"Johto",IF(A67&lt;=386,"Hoenn",IF(A67&lt;=493,"Sinnoh",IF(A67&lt;=649,"Unova",IF(A67&lt;=721,"Kalos",IF(A67&lt;=809,"Alola",IF(A67&lt;=905,"Galar","Paldea"))))))))</f>
        <v>Kanto</v>
      </c>
      <c r="F67" t="str">
        <f>IF(G67&gt;=600,"Lendário",IF(G67&gt;=500,"Forte","Normal"))</f>
        <v>Normal</v>
      </c>
      <c r="G67" s="3">
        <f>G66</f>
        <v>320</v>
      </c>
      <c r="H67" s="3">
        <f>H66</f>
        <v>45</v>
      </c>
      <c r="I67" s="3">
        <f>I66</f>
        <v>50</v>
      </c>
      <c r="J67" s="3">
        <f>J66</f>
        <v>55</v>
      </c>
      <c r="K67" s="3">
        <f>K66</f>
        <v>75</v>
      </c>
      <c r="L67" s="3">
        <f>L66</f>
        <v>65</v>
      </c>
      <c r="M67" s="3">
        <f>M66</f>
        <v>30</v>
      </c>
      <c r="N67" s="3">
        <f>AVERAGE($I$2:$I$1168)</f>
        <v>78.907455012853475</v>
      </c>
      <c r="O67" s="3" t="str">
        <f>CONCATENATE(A67,"-",B67)</f>
        <v>43-Oddish</v>
      </c>
    </row>
    <row r="68" spans="1:15">
      <c r="A68" s="63">
        <v>44</v>
      </c>
      <c r="B68" s="2" t="s">
        <v>73</v>
      </c>
      <c r="C68" t="s">
        <v>16</v>
      </c>
      <c r="D68" s="22">
        <f>COUNTIF($C$2:$C$1168,Tabela1[[#This Row],[Type]])</f>
        <v>93</v>
      </c>
      <c r="E68" s="62" t="str">
        <f>IF(A68&lt;=151,"Kanto",IF(A68&lt;=251,"Johto",IF(A68&lt;=386,"Hoenn",IF(A68&lt;=493,"Sinnoh",IF(A68&lt;=649,"Unova",IF(A68&lt;=721,"Kalos",IF(A68&lt;=809,"Alola",IF(A68&lt;=905,"Galar","Paldea"))))))))</f>
        <v>Kanto</v>
      </c>
      <c r="F68" t="str">
        <f>IF(G68&gt;=600,"Lendário",IF(G68&gt;=500,"Forte","Normal"))</f>
        <v>Normal</v>
      </c>
      <c r="G68" s="3">
        <v>395</v>
      </c>
      <c r="H68" s="3">
        <v>60</v>
      </c>
      <c r="I68" s="3">
        <v>65</v>
      </c>
      <c r="J68" s="3">
        <v>70</v>
      </c>
      <c r="K68" s="3">
        <v>85</v>
      </c>
      <c r="L68" s="3">
        <v>75</v>
      </c>
      <c r="M68" s="3">
        <v>40</v>
      </c>
      <c r="N68" s="3">
        <f>AVERAGE($I$2:$I$1168)</f>
        <v>78.907455012853475</v>
      </c>
      <c r="O68" s="3" t="str">
        <f>CONCATENATE(A68,"-",B68)</f>
        <v>44-Gloom</v>
      </c>
    </row>
    <row r="69" spans="1:15">
      <c r="A69" s="63">
        <v>44</v>
      </c>
      <c r="B69" s="2" t="str">
        <f>B68</f>
        <v>Gloom</v>
      </c>
      <c r="C69" t="s">
        <v>17</v>
      </c>
      <c r="D69" s="22">
        <f>COUNTIF($C$2:$C$1168,Tabela1[[#This Row],[Type]])</f>
        <v>61</v>
      </c>
      <c r="E69" s="62" t="str">
        <f>IF(A69&lt;=151,"Kanto",IF(A69&lt;=251,"Johto",IF(A69&lt;=386,"Hoenn",IF(A69&lt;=493,"Sinnoh",IF(A69&lt;=649,"Unova",IF(A69&lt;=721,"Kalos",IF(A69&lt;=809,"Alola",IF(A69&lt;=905,"Galar","Paldea"))))))))</f>
        <v>Kanto</v>
      </c>
      <c r="F69" t="str">
        <f>IF(G69&gt;=600,"Lendário",IF(G69&gt;=500,"Forte","Normal"))</f>
        <v>Normal</v>
      </c>
      <c r="G69" s="3">
        <f>G68</f>
        <v>395</v>
      </c>
      <c r="H69" s="3">
        <f>H68</f>
        <v>60</v>
      </c>
      <c r="I69" s="3">
        <f>I68</f>
        <v>65</v>
      </c>
      <c r="J69" s="3">
        <f>J68</f>
        <v>70</v>
      </c>
      <c r="K69" s="3">
        <f>K68</f>
        <v>85</v>
      </c>
      <c r="L69" s="3">
        <f>L68</f>
        <v>75</v>
      </c>
      <c r="M69" s="3">
        <f>M68</f>
        <v>40</v>
      </c>
      <c r="N69" s="3">
        <f>AVERAGE($I$2:$I$1168)</f>
        <v>78.907455012853475</v>
      </c>
      <c r="O69" s="3" t="str">
        <f>CONCATENATE(A69,"-",B69)</f>
        <v>44-Gloom</v>
      </c>
    </row>
    <row r="70" spans="1:15">
      <c r="A70" s="63">
        <v>45</v>
      </c>
      <c r="B70" s="2" t="s">
        <v>74</v>
      </c>
      <c r="C70" t="s">
        <v>16</v>
      </c>
      <c r="D70" s="22">
        <f>COUNTIF($C$2:$C$1168,Tabela1[[#This Row],[Type]])</f>
        <v>93</v>
      </c>
      <c r="E70" s="62" t="str">
        <f>IF(A70&lt;=151,"Kanto",IF(A70&lt;=251,"Johto",IF(A70&lt;=386,"Hoenn",IF(A70&lt;=493,"Sinnoh",IF(A70&lt;=649,"Unova",IF(A70&lt;=721,"Kalos",IF(A70&lt;=809,"Alola",IF(A70&lt;=905,"Galar","Paldea"))))))))</f>
        <v>Kanto</v>
      </c>
      <c r="F70" t="str">
        <f>IF(G70&gt;=600,"Lendário",IF(G70&gt;=500,"Forte","Normal"))</f>
        <v>Normal</v>
      </c>
      <c r="G70" s="3">
        <v>480</v>
      </c>
      <c r="H70" s="3">
        <v>75</v>
      </c>
      <c r="I70" s="3">
        <v>80</v>
      </c>
      <c r="J70" s="3">
        <v>85</v>
      </c>
      <c r="K70" s="3">
        <v>100</v>
      </c>
      <c r="L70" s="3">
        <v>90</v>
      </c>
      <c r="M70" s="3">
        <v>50</v>
      </c>
      <c r="N70" s="3">
        <f>AVERAGE($I$2:$I$1168)</f>
        <v>78.907455012853475</v>
      </c>
      <c r="O70" s="3" t="str">
        <f>CONCATENATE(A70,"-",B70)</f>
        <v>45-Vileplume</v>
      </c>
    </row>
    <row r="71" spans="1:15">
      <c r="A71" s="63">
        <v>45</v>
      </c>
      <c r="B71" s="2" t="str">
        <f>B70</f>
        <v>Vileplume</v>
      </c>
      <c r="C71" t="s">
        <v>17</v>
      </c>
      <c r="D71" s="22">
        <f>COUNTIF($C$2:$C$1168,Tabela1[[#This Row],[Type]])</f>
        <v>61</v>
      </c>
      <c r="E71" s="62" t="str">
        <f>IF(A71&lt;=151,"Kanto",IF(A71&lt;=251,"Johto",IF(A71&lt;=386,"Hoenn",IF(A71&lt;=493,"Sinnoh",IF(A71&lt;=649,"Unova",IF(A71&lt;=721,"Kalos",IF(A71&lt;=809,"Alola",IF(A71&lt;=905,"Galar","Paldea"))))))))</f>
        <v>Kanto</v>
      </c>
      <c r="F71" t="str">
        <f>IF(G71&gt;=600,"Lendário",IF(G71&gt;=500,"Forte","Normal"))</f>
        <v>Normal</v>
      </c>
      <c r="G71" s="3">
        <f>G70</f>
        <v>480</v>
      </c>
      <c r="H71" s="3">
        <f>H70</f>
        <v>75</v>
      </c>
      <c r="I71" s="3">
        <f>I70</f>
        <v>80</v>
      </c>
      <c r="J71" s="3">
        <f>J70</f>
        <v>85</v>
      </c>
      <c r="K71" s="3">
        <f>K70</f>
        <v>100</v>
      </c>
      <c r="L71" s="3">
        <f>L70</f>
        <v>90</v>
      </c>
      <c r="M71" s="3">
        <f>M70</f>
        <v>50</v>
      </c>
      <c r="N71" s="3">
        <f>AVERAGE($I$2:$I$1168)</f>
        <v>78.907455012853475</v>
      </c>
      <c r="O71" s="3" t="str">
        <f>CONCATENATE(A71,"-",B71)</f>
        <v>45-Vileplume</v>
      </c>
    </row>
    <row r="72" spans="1:15">
      <c r="A72" s="63">
        <v>46</v>
      </c>
      <c r="B72" s="2" t="s">
        <v>75</v>
      </c>
      <c r="C72" t="s">
        <v>35</v>
      </c>
      <c r="D72" s="22">
        <f>COUNTIF($C$2:$C$1168,Tabela1[[#This Row],[Type]])</f>
        <v>71</v>
      </c>
      <c r="E72" s="62" t="str">
        <f>IF(A72&lt;=151,"Kanto",IF(A72&lt;=251,"Johto",IF(A72&lt;=386,"Hoenn",IF(A72&lt;=493,"Sinnoh",IF(A72&lt;=649,"Unova",IF(A72&lt;=721,"Kalos",IF(A72&lt;=809,"Alola",IF(A72&lt;=905,"Galar","Paldea"))))))))</f>
        <v>Kanto</v>
      </c>
      <c r="F72" t="str">
        <f>IF(G72&gt;=600,"Lendário",IF(G72&gt;=500,"Forte","Normal"))</f>
        <v>Normal</v>
      </c>
      <c r="G72" s="3">
        <v>285</v>
      </c>
      <c r="H72" s="3">
        <v>35</v>
      </c>
      <c r="I72" s="3">
        <v>70</v>
      </c>
      <c r="J72" s="3">
        <v>55</v>
      </c>
      <c r="K72" s="3">
        <v>45</v>
      </c>
      <c r="L72" s="3">
        <v>55</v>
      </c>
      <c r="M72" s="3">
        <v>25</v>
      </c>
      <c r="N72" s="3">
        <f>AVERAGE($I$2:$I$1168)</f>
        <v>78.907455012853475</v>
      </c>
      <c r="O72" s="3" t="str">
        <f>CONCATENATE(A72,"-",B72)</f>
        <v>46-Paras</v>
      </c>
    </row>
    <row r="73" spans="1:15">
      <c r="A73" s="63">
        <v>46</v>
      </c>
      <c r="B73" s="2" t="str">
        <f>B72</f>
        <v>Paras</v>
      </c>
      <c r="C73" t="s">
        <v>16</v>
      </c>
      <c r="D73" s="22">
        <f>COUNTIF($C$2:$C$1168,Tabela1[[#This Row],[Type]])</f>
        <v>93</v>
      </c>
      <c r="E73" s="62" t="str">
        <f>IF(A73&lt;=151,"Kanto",IF(A73&lt;=251,"Johto",IF(A73&lt;=386,"Hoenn",IF(A73&lt;=493,"Sinnoh",IF(A73&lt;=649,"Unova",IF(A73&lt;=721,"Kalos",IF(A73&lt;=809,"Alola",IF(A73&lt;=905,"Galar","Paldea"))))))))</f>
        <v>Kanto</v>
      </c>
      <c r="F73" t="str">
        <f>IF(G73&gt;=600,"Lendário",IF(G73&gt;=500,"Forte","Normal"))</f>
        <v>Normal</v>
      </c>
      <c r="G73" s="3">
        <f>G72</f>
        <v>285</v>
      </c>
      <c r="H73" s="3">
        <f>H72</f>
        <v>35</v>
      </c>
      <c r="I73" s="3">
        <f>I72</f>
        <v>70</v>
      </c>
      <c r="J73" s="3">
        <f>J72</f>
        <v>55</v>
      </c>
      <c r="K73" s="3">
        <f>K72</f>
        <v>45</v>
      </c>
      <c r="L73" s="3">
        <f>L72</f>
        <v>55</v>
      </c>
      <c r="M73" s="3">
        <f>M72</f>
        <v>25</v>
      </c>
      <c r="N73" s="3">
        <f>AVERAGE($I$2:$I$1168)</f>
        <v>78.907455012853475</v>
      </c>
      <c r="O73" s="3" t="str">
        <f>CONCATENATE(A73,"-",B73)</f>
        <v>46-Paras</v>
      </c>
    </row>
    <row r="74" spans="1:15">
      <c r="A74" s="63">
        <v>47</v>
      </c>
      <c r="B74" s="2" t="s">
        <v>76</v>
      </c>
      <c r="C74" t="s">
        <v>35</v>
      </c>
      <c r="D74" s="22">
        <f>COUNTIF($C$2:$C$1168,Tabela1[[#This Row],[Type]])</f>
        <v>71</v>
      </c>
      <c r="E74" s="62" t="str">
        <f>IF(A74&lt;=151,"Kanto",IF(A74&lt;=251,"Johto",IF(A74&lt;=386,"Hoenn",IF(A74&lt;=493,"Sinnoh",IF(A74&lt;=649,"Unova",IF(A74&lt;=721,"Kalos",IF(A74&lt;=809,"Alola",IF(A74&lt;=905,"Galar","Paldea"))))))))</f>
        <v>Kanto</v>
      </c>
      <c r="F74" t="str">
        <f>IF(G74&gt;=600,"Lendário",IF(G74&gt;=500,"Forte","Normal"))</f>
        <v>Normal</v>
      </c>
      <c r="G74" s="3">
        <v>405</v>
      </c>
      <c r="H74" s="3">
        <v>60</v>
      </c>
      <c r="I74" s="3">
        <v>95</v>
      </c>
      <c r="J74" s="3">
        <v>80</v>
      </c>
      <c r="K74" s="3">
        <v>60</v>
      </c>
      <c r="L74" s="3">
        <v>80</v>
      </c>
      <c r="M74" s="3">
        <v>30</v>
      </c>
      <c r="N74" s="3">
        <f>AVERAGE($I$2:$I$1168)</f>
        <v>78.907455012853475</v>
      </c>
      <c r="O74" s="3" t="str">
        <f>CONCATENATE(A74,"-",B74)</f>
        <v>47-Parasect</v>
      </c>
    </row>
    <row r="75" spans="1:15">
      <c r="A75" s="63">
        <v>47</v>
      </c>
      <c r="B75" s="2" t="str">
        <f>B74</f>
        <v>Parasect</v>
      </c>
      <c r="C75" t="s">
        <v>16</v>
      </c>
      <c r="D75" s="22">
        <f>COUNTIF($C$2:$C$1168,Tabela1[[#This Row],[Type]])</f>
        <v>93</v>
      </c>
      <c r="E75" s="62" t="str">
        <f>IF(A75&lt;=151,"Kanto",IF(A75&lt;=251,"Johto",IF(A75&lt;=386,"Hoenn",IF(A75&lt;=493,"Sinnoh",IF(A75&lt;=649,"Unova",IF(A75&lt;=721,"Kalos",IF(A75&lt;=809,"Alola",IF(A75&lt;=905,"Galar","Paldea"))))))))</f>
        <v>Kanto</v>
      </c>
      <c r="F75" t="str">
        <f>IF(G75&gt;=600,"Lendário",IF(G75&gt;=500,"Forte","Normal"))</f>
        <v>Normal</v>
      </c>
      <c r="G75" s="3">
        <f>G74</f>
        <v>405</v>
      </c>
      <c r="H75" s="3">
        <f>H74</f>
        <v>60</v>
      </c>
      <c r="I75" s="3">
        <f>I74</f>
        <v>95</v>
      </c>
      <c r="J75" s="3">
        <f>J74</f>
        <v>80</v>
      </c>
      <c r="K75" s="3">
        <f>K74</f>
        <v>60</v>
      </c>
      <c r="L75" s="3">
        <f>L74</f>
        <v>80</v>
      </c>
      <c r="M75" s="3">
        <f>M74</f>
        <v>30</v>
      </c>
      <c r="N75" s="3">
        <f>AVERAGE($I$2:$I$1168)</f>
        <v>78.907455012853475</v>
      </c>
      <c r="O75" s="3" t="str">
        <f>CONCATENATE(A75,"-",B75)</f>
        <v>47-Parasect</v>
      </c>
    </row>
    <row r="76" spans="1:15">
      <c r="A76" s="63">
        <v>48</v>
      </c>
      <c r="B76" s="2" t="s">
        <v>77</v>
      </c>
      <c r="C76" t="s">
        <v>35</v>
      </c>
      <c r="D76" s="22">
        <f>COUNTIF($C$2:$C$1168,Tabela1[[#This Row],[Type]])</f>
        <v>71</v>
      </c>
      <c r="E76" s="62" t="str">
        <f>IF(A76&lt;=151,"Kanto",IF(A76&lt;=251,"Johto",IF(A76&lt;=386,"Hoenn",IF(A76&lt;=493,"Sinnoh",IF(A76&lt;=649,"Unova",IF(A76&lt;=721,"Kalos",IF(A76&lt;=809,"Alola",IF(A76&lt;=905,"Galar","Paldea"))))))))</f>
        <v>Kanto</v>
      </c>
      <c r="F76" t="str">
        <f>IF(G76&gt;=600,"Lendário",IF(G76&gt;=500,"Forte","Normal"))</f>
        <v>Normal</v>
      </c>
      <c r="G76" s="3">
        <v>305</v>
      </c>
      <c r="H76" s="3">
        <v>60</v>
      </c>
      <c r="I76" s="3">
        <v>55</v>
      </c>
      <c r="J76" s="3">
        <v>50</v>
      </c>
      <c r="K76" s="3">
        <v>40</v>
      </c>
      <c r="L76" s="3">
        <v>55</v>
      </c>
      <c r="M76" s="3">
        <v>45</v>
      </c>
      <c r="N76" s="3">
        <f>AVERAGE($I$2:$I$1168)</f>
        <v>78.907455012853475</v>
      </c>
      <c r="O76" s="3" t="str">
        <f>CONCATENATE(A76,"-",B76)</f>
        <v>48-Venonat</v>
      </c>
    </row>
    <row r="77" spans="1:15">
      <c r="A77" s="63">
        <v>48</v>
      </c>
      <c r="B77" s="2" t="str">
        <f>B76</f>
        <v>Venonat</v>
      </c>
      <c r="C77" t="s">
        <v>17</v>
      </c>
      <c r="D77" s="22">
        <f>COUNTIF($C$2:$C$1168,Tabela1[[#This Row],[Type]])</f>
        <v>61</v>
      </c>
      <c r="E77" s="62" t="str">
        <f>IF(A77&lt;=151,"Kanto",IF(A77&lt;=251,"Johto",IF(A77&lt;=386,"Hoenn",IF(A77&lt;=493,"Sinnoh",IF(A77&lt;=649,"Unova",IF(A77&lt;=721,"Kalos",IF(A77&lt;=809,"Alola",IF(A77&lt;=905,"Galar","Paldea"))))))))</f>
        <v>Kanto</v>
      </c>
      <c r="F77" t="str">
        <f>IF(G77&gt;=600,"Lendário",IF(G77&gt;=500,"Forte","Normal"))</f>
        <v>Normal</v>
      </c>
      <c r="G77" s="3">
        <f>G76</f>
        <v>305</v>
      </c>
      <c r="H77" s="3">
        <f>H76</f>
        <v>60</v>
      </c>
      <c r="I77" s="3">
        <f>I76</f>
        <v>55</v>
      </c>
      <c r="J77" s="3">
        <f>J76</f>
        <v>50</v>
      </c>
      <c r="K77" s="3">
        <f>K76</f>
        <v>40</v>
      </c>
      <c r="L77" s="3">
        <f>L76</f>
        <v>55</v>
      </c>
      <c r="M77" s="3">
        <f>M76</f>
        <v>45</v>
      </c>
      <c r="N77" s="3">
        <f>AVERAGE($I$2:$I$1168)</f>
        <v>78.907455012853475</v>
      </c>
      <c r="O77" s="3" t="str">
        <f>CONCATENATE(A77,"-",B77)</f>
        <v>48-Venonat</v>
      </c>
    </row>
    <row r="78" spans="1:15">
      <c r="A78" s="63">
        <v>49</v>
      </c>
      <c r="B78" s="2" t="s">
        <v>78</v>
      </c>
      <c r="C78" t="s">
        <v>35</v>
      </c>
      <c r="D78" s="22">
        <f>COUNTIF($C$2:$C$1168,Tabela1[[#This Row],[Type]])</f>
        <v>71</v>
      </c>
      <c r="E78" s="62" t="str">
        <f>IF(A78&lt;=151,"Kanto",IF(A78&lt;=251,"Johto",IF(A78&lt;=386,"Hoenn",IF(A78&lt;=493,"Sinnoh",IF(A78&lt;=649,"Unova",IF(A78&lt;=721,"Kalos",IF(A78&lt;=809,"Alola",IF(A78&lt;=905,"Galar","Paldea"))))))))</f>
        <v>Kanto</v>
      </c>
      <c r="F78" t="str">
        <f>IF(G78&gt;=600,"Lendário",IF(G78&gt;=500,"Forte","Normal"))</f>
        <v>Normal</v>
      </c>
      <c r="G78" s="3">
        <v>450</v>
      </c>
      <c r="H78" s="3">
        <v>70</v>
      </c>
      <c r="I78" s="3">
        <v>65</v>
      </c>
      <c r="J78" s="3">
        <v>60</v>
      </c>
      <c r="K78" s="3">
        <v>90</v>
      </c>
      <c r="L78" s="3">
        <v>75</v>
      </c>
      <c r="M78" s="3">
        <v>90</v>
      </c>
      <c r="N78" s="3">
        <f>AVERAGE($I$2:$I$1168)</f>
        <v>78.907455012853475</v>
      </c>
      <c r="O78" s="3" t="str">
        <f>CONCATENATE(A78,"-",B78)</f>
        <v>49-Venomoth</v>
      </c>
    </row>
    <row r="79" spans="1:15">
      <c r="A79" s="63">
        <v>49</v>
      </c>
      <c r="B79" s="2" t="str">
        <f>B78</f>
        <v>Venomoth</v>
      </c>
      <c r="C79" t="s">
        <v>17</v>
      </c>
      <c r="D79" s="22">
        <f>COUNTIF($C$2:$C$1168,Tabela1[[#This Row],[Type]])</f>
        <v>61</v>
      </c>
      <c r="E79" s="62" t="str">
        <f>IF(A79&lt;=151,"Kanto",IF(A79&lt;=251,"Johto",IF(A79&lt;=386,"Hoenn",IF(A79&lt;=493,"Sinnoh",IF(A79&lt;=649,"Unova",IF(A79&lt;=721,"Kalos",IF(A79&lt;=809,"Alola",IF(A79&lt;=905,"Galar","Paldea"))))))))</f>
        <v>Kanto</v>
      </c>
      <c r="F79" t="str">
        <f>IF(G79&gt;=600,"Lendário",IF(G79&gt;=500,"Forte","Normal"))</f>
        <v>Normal</v>
      </c>
      <c r="G79" s="3">
        <f>G78</f>
        <v>450</v>
      </c>
      <c r="H79" s="3">
        <f>H78</f>
        <v>70</v>
      </c>
      <c r="I79" s="3">
        <f>I78</f>
        <v>65</v>
      </c>
      <c r="J79" s="3">
        <f>J78</f>
        <v>60</v>
      </c>
      <c r="K79" s="3">
        <f>K78</f>
        <v>90</v>
      </c>
      <c r="L79" s="3">
        <f>L78</f>
        <v>75</v>
      </c>
      <c r="M79" s="3">
        <f>M78</f>
        <v>90</v>
      </c>
      <c r="N79" s="3">
        <f>AVERAGE($I$2:$I$1168)</f>
        <v>78.907455012853475</v>
      </c>
      <c r="O79" s="3" t="str">
        <f>CONCATENATE(A79,"-",B79)</f>
        <v>49-Venomoth</v>
      </c>
    </row>
    <row r="80" spans="1:15">
      <c r="A80" s="63">
        <v>50</v>
      </c>
      <c r="B80" s="2" t="s">
        <v>79</v>
      </c>
      <c r="C80" t="s">
        <v>55</v>
      </c>
      <c r="D80" s="22">
        <f>COUNTIF($C$2:$C$1168,Tabela1[[#This Row],[Type]])</f>
        <v>62</v>
      </c>
      <c r="E80" s="62" t="str">
        <f>IF(A80&lt;=151,"Kanto",IF(A80&lt;=251,"Johto",IF(A80&lt;=386,"Hoenn",IF(A80&lt;=493,"Sinnoh",IF(A80&lt;=649,"Unova",IF(A80&lt;=721,"Kalos",IF(A80&lt;=809,"Alola",IF(A80&lt;=905,"Galar","Paldea"))))))))</f>
        <v>Kanto</v>
      </c>
      <c r="F80" t="str">
        <f>IF(G80&gt;=600,"Lendário",IF(G80&gt;=500,"Forte","Normal"))</f>
        <v>Normal</v>
      </c>
      <c r="G80" s="3">
        <v>265</v>
      </c>
      <c r="H80" s="3">
        <v>10</v>
      </c>
      <c r="I80" s="3">
        <v>55</v>
      </c>
      <c r="J80" s="3">
        <v>25</v>
      </c>
      <c r="K80" s="3">
        <v>35</v>
      </c>
      <c r="L80" s="3">
        <v>45</v>
      </c>
      <c r="M80" s="3">
        <v>95</v>
      </c>
      <c r="N80" s="3">
        <f>AVERAGE($I$2:$I$1168)</f>
        <v>78.907455012853475</v>
      </c>
      <c r="O80" s="3" t="str">
        <f>CONCATENATE(A80,"-",B80)</f>
        <v>50-Diglett</v>
      </c>
    </row>
    <row r="81" spans="1:15">
      <c r="A81" s="63">
        <v>51</v>
      </c>
      <c r="B81" s="2" t="s">
        <v>80</v>
      </c>
      <c r="C81" t="s">
        <v>55</v>
      </c>
      <c r="D81" s="22">
        <f>COUNTIF($C$2:$C$1168,Tabela1[[#This Row],[Type]])</f>
        <v>62</v>
      </c>
      <c r="E81" s="62" t="str">
        <f>IF(A81&lt;=151,"Kanto",IF(A81&lt;=251,"Johto",IF(A81&lt;=386,"Hoenn",IF(A81&lt;=493,"Sinnoh",IF(A81&lt;=649,"Unova",IF(A81&lt;=721,"Kalos",IF(A81&lt;=809,"Alola",IF(A81&lt;=905,"Galar","Paldea"))))))))</f>
        <v>Kanto</v>
      </c>
      <c r="F81" t="str">
        <f>IF(G81&gt;=600,"Lendário",IF(G81&gt;=500,"Forte","Normal"))</f>
        <v>Normal</v>
      </c>
      <c r="G81" s="3">
        <v>405</v>
      </c>
      <c r="H81" s="3">
        <v>35</v>
      </c>
      <c r="I81" s="3">
        <v>80</v>
      </c>
      <c r="J81" s="3">
        <v>50</v>
      </c>
      <c r="K81" s="3">
        <v>50</v>
      </c>
      <c r="L81" s="3">
        <v>70</v>
      </c>
      <c r="M81" s="3">
        <v>120</v>
      </c>
      <c r="N81" s="3">
        <f>AVERAGE($I$2:$I$1168)</f>
        <v>78.907455012853475</v>
      </c>
      <c r="O81" s="3" t="str">
        <f>CONCATENATE(A81,"-",B81)</f>
        <v>51-Dugtrio</v>
      </c>
    </row>
    <row r="82" spans="1:15">
      <c r="A82" s="63">
        <v>52</v>
      </c>
      <c r="B82" s="2" t="s">
        <v>81</v>
      </c>
      <c r="C82" t="s">
        <v>42</v>
      </c>
      <c r="D82" s="22">
        <f>COUNTIF($C$2:$C$1168,Tabela1[[#This Row],[Type]])</f>
        <v>99</v>
      </c>
      <c r="E82" s="62" t="str">
        <f>IF(A82&lt;=151,"Kanto",IF(A82&lt;=251,"Johto",IF(A82&lt;=386,"Hoenn",IF(A82&lt;=493,"Sinnoh",IF(A82&lt;=649,"Unova",IF(A82&lt;=721,"Kalos",IF(A82&lt;=809,"Alola",IF(A82&lt;=905,"Galar","Paldea"))))))))</f>
        <v>Kanto</v>
      </c>
      <c r="F82" t="str">
        <f>IF(G82&gt;=600,"Lendário",IF(G82&gt;=500,"Forte","Normal"))</f>
        <v>Normal</v>
      </c>
      <c r="G82" s="3">
        <v>290</v>
      </c>
      <c r="H82" s="3">
        <v>40</v>
      </c>
      <c r="I82" s="3">
        <v>45</v>
      </c>
      <c r="J82" s="3">
        <v>35</v>
      </c>
      <c r="K82" s="3">
        <v>40</v>
      </c>
      <c r="L82" s="3">
        <v>40</v>
      </c>
      <c r="M82" s="3">
        <v>90</v>
      </c>
      <c r="N82" s="3">
        <f>AVERAGE($I$2:$I$1168)</f>
        <v>78.907455012853475</v>
      </c>
      <c r="O82" s="3" t="str">
        <f>CONCATENATE(A82,"-",B82)</f>
        <v>52-Meowth</v>
      </c>
    </row>
    <row r="83" spans="1:15">
      <c r="A83" s="63">
        <v>53</v>
      </c>
      <c r="B83" s="2" t="s">
        <v>82</v>
      </c>
      <c r="C83" t="s">
        <v>42</v>
      </c>
      <c r="D83" s="22">
        <f>COUNTIF($C$2:$C$1168,Tabela1[[#This Row],[Type]])</f>
        <v>99</v>
      </c>
      <c r="E83" s="62" t="str">
        <f>IF(A83&lt;=151,"Kanto",IF(A83&lt;=251,"Johto",IF(A83&lt;=386,"Hoenn",IF(A83&lt;=493,"Sinnoh",IF(A83&lt;=649,"Unova",IF(A83&lt;=721,"Kalos",IF(A83&lt;=809,"Alola",IF(A83&lt;=905,"Galar","Paldea"))))))))</f>
        <v>Kanto</v>
      </c>
      <c r="F83" t="str">
        <f>IF(G83&gt;=600,"Lendário",IF(G83&gt;=500,"Forte","Normal"))</f>
        <v>Normal</v>
      </c>
      <c r="G83" s="3">
        <v>440</v>
      </c>
      <c r="H83" s="3">
        <v>65</v>
      </c>
      <c r="I83" s="3">
        <v>70</v>
      </c>
      <c r="J83" s="3">
        <v>60</v>
      </c>
      <c r="K83" s="3">
        <v>65</v>
      </c>
      <c r="L83" s="3">
        <v>65</v>
      </c>
      <c r="M83" s="3">
        <v>115</v>
      </c>
      <c r="N83" s="3">
        <f>AVERAGE($I$2:$I$1168)</f>
        <v>78.907455012853475</v>
      </c>
      <c r="O83" s="3" t="str">
        <f>CONCATENATE(A83,"-",B83)</f>
        <v>53-Persian</v>
      </c>
    </row>
    <row r="84" spans="1:15">
      <c r="A84" s="63">
        <v>53</v>
      </c>
      <c r="B84" s="2" t="str">
        <f>B83</f>
        <v>Persian</v>
      </c>
      <c r="C84" t="s">
        <v>30</v>
      </c>
      <c r="D84" s="22">
        <f>COUNTIF($C$2:$C$1168,Tabela1[[#This Row],[Type]])</f>
        <v>121</v>
      </c>
      <c r="E84" s="62" t="str">
        <f>IF(A84&lt;=151,"Kanto",IF(A84&lt;=251,"Johto",IF(A84&lt;=386,"Hoenn",IF(A84&lt;=493,"Sinnoh",IF(A84&lt;=649,"Unova",IF(A84&lt;=721,"Kalos",IF(A84&lt;=809,"Alola",IF(A84&lt;=905,"Galar","Paldea"))))))))</f>
        <v>Kanto</v>
      </c>
      <c r="F84" t="str">
        <f>IF(G84&gt;=600,"Lendário",IF(G84&gt;=500,"Forte","Normal"))</f>
        <v>Normal</v>
      </c>
      <c r="G84" s="3">
        <f>G83</f>
        <v>440</v>
      </c>
      <c r="H84" s="3">
        <f>H83</f>
        <v>65</v>
      </c>
      <c r="I84" s="3">
        <f>I83</f>
        <v>70</v>
      </c>
      <c r="J84" s="3">
        <f>J83</f>
        <v>60</v>
      </c>
      <c r="K84" s="3">
        <f>K83</f>
        <v>65</v>
      </c>
      <c r="L84" s="3">
        <f>L83</f>
        <v>65</v>
      </c>
      <c r="M84" s="3">
        <f>M83</f>
        <v>115</v>
      </c>
      <c r="N84" s="3">
        <f>AVERAGE($I$2:$I$1168)</f>
        <v>78.907455012853475</v>
      </c>
      <c r="O84" s="3" t="str">
        <f>CONCATENATE(A84,"-",B84)</f>
        <v>53-Persian</v>
      </c>
    </row>
    <row r="85" spans="1:15">
      <c r="A85" s="63">
        <v>54</v>
      </c>
      <c r="B85" s="2" t="s">
        <v>83</v>
      </c>
      <c r="C85" t="s">
        <v>30</v>
      </c>
      <c r="D85" s="22">
        <f>COUNTIF($C$2:$C$1168,Tabela1[[#This Row],[Type]])</f>
        <v>121</v>
      </c>
      <c r="E85" s="62" t="str">
        <f>IF(A85&lt;=151,"Kanto",IF(A85&lt;=251,"Johto",IF(A85&lt;=386,"Hoenn",IF(A85&lt;=493,"Sinnoh",IF(A85&lt;=649,"Unova",IF(A85&lt;=721,"Kalos",IF(A85&lt;=809,"Alola",IF(A85&lt;=905,"Galar","Paldea"))))))))</f>
        <v>Kanto</v>
      </c>
      <c r="F85" t="str">
        <f>IF(G85&gt;=600,"Lendário",IF(G85&gt;=500,"Forte","Normal"))</f>
        <v>Normal</v>
      </c>
      <c r="G85" s="3">
        <v>320</v>
      </c>
      <c r="H85" s="3">
        <v>50</v>
      </c>
      <c r="I85" s="3">
        <v>52</v>
      </c>
      <c r="J85" s="3">
        <v>48</v>
      </c>
      <c r="K85" s="3">
        <v>65</v>
      </c>
      <c r="L85" s="3">
        <v>50</v>
      </c>
      <c r="M85" s="3">
        <v>55</v>
      </c>
      <c r="N85" s="3">
        <f>AVERAGE($I$2:$I$1168)</f>
        <v>78.907455012853475</v>
      </c>
      <c r="O85" s="3" t="str">
        <f>CONCATENATE(A85,"-",B85)</f>
        <v>54-Psyduck</v>
      </c>
    </row>
    <row r="86" spans="1:15">
      <c r="A86" s="63">
        <v>55</v>
      </c>
      <c r="B86" s="2" t="s">
        <v>84</v>
      </c>
      <c r="C86" t="s">
        <v>30</v>
      </c>
      <c r="D86" s="22">
        <f>COUNTIF($C$2:$C$1168,Tabela1[[#This Row],[Type]])</f>
        <v>121</v>
      </c>
      <c r="E86" s="62" t="str">
        <f>IF(A86&lt;=151,"Kanto",IF(A86&lt;=251,"Johto",IF(A86&lt;=386,"Hoenn",IF(A86&lt;=493,"Sinnoh",IF(A86&lt;=649,"Unova",IF(A86&lt;=721,"Kalos",IF(A86&lt;=809,"Alola",IF(A86&lt;=905,"Galar","Paldea"))))))))</f>
        <v>Kanto</v>
      </c>
      <c r="F86" t="str">
        <f>IF(G86&gt;=600,"Lendário",IF(G86&gt;=500,"Forte","Normal"))</f>
        <v>Forte</v>
      </c>
      <c r="G86" s="3">
        <v>500</v>
      </c>
      <c r="H86" s="3">
        <v>80</v>
      </c>
      <c r="I86" s="3">
        <v>82</v>
      </c>
      <c r="J86" s="3">
        <v>78</v>
      </c>
      <c r="K86" s="3">
        <v>95</v>
      </c>
      <c r="L86" s="3">
        <v>80</v>
      </c>
      <c r="M86" s="3">
        <v>85</v>
      </c>
      <c r="N86" s="3">
        <f>AVERAGE($I$2:$I$1168)</f>
        <v>78.907455012853475</v>
      </c>
      <c r="O86" s="3" t="str">
        <f>CONCATENATE(A86,"-",B86)</f>
        <v>55-Golduck</v>
      </c>
    </row>
    <row r="87" spans="1:15">
      <c r="A87" s="63">
        <v>56</v>
      </c>
      <c r="B87" s="2" t="s">
        <v>85</v>
      </c>
      <c r="C87" t="s">
        <v>86</v>
      </c>
      <c r="D87" s="22">
        <f>COUNTIF($C$2:$C$1168,Tabela1[[#This Row],[Type]])</f>
        <v>51</v>
      </c>
      <c r="E87" s="62" t="str">
        <f>IF(A87&lt;=151,"Kanto",IF(A87&lt;=251,"Johto",IF(A87&lt;=386,"Hoenn",IF(A87&lt;=493,"Sinnoh",IF(A87&lt;=649,"Unova",IF(A87&lt;=721,"Kalos",IF(A87&lt;=809,"Alola",IF(A87&lt;=905,"Galar","Paldea"))))))))</f>
        <v>Kanto</v>
      </c>
      <c r="F87" t="str">
        <f>IF(G87&gt;=600,"Lendário",IF(G87&gt;=500,"Forte","Normal"))</f>
        <v>Normal</v>
      </c>
      <c r="G87" s="3">
        <v>305</v>
      </c>
      <c r="H87" s="3">
        <v>40</v>
      </c>
      <c r="I87" s="3">
        <v>80</v>
      </c>
      <c r="J87" s="3">
        <v>35</v>
      </c>
      <c r="K87" s="3">
        <v>35</v>
      </c>
      <c r="L87" s="3">
        <v>45</v>
      </c>
      <c r="M87" s="3">
        <v>70</v>
      </c>
      <c r="N87" s="3">
        <f>AVERAGE($I$2:$I$1168)</f>
        <v>78.907455012853475</v>
      </c>
      <c r="O87" s="3" t="str">
        <f>CONCATENATE(A87,"-",B87)</f>
        <v>56-Mankey</v>
      </c>
    </row>
    <row r="88" spans="1:15">
      <c r="A88" s="63">
        <v>57</v>
      </c>
      <c r="B88" s="2" t="s">
        <v>87</v>
      </c>
      <c r="C88" t="s">
        <v>86</v>
      </c>
      <c r="D88" s="22">
        <f>COUNTIF($C$2:$C$1168,Tabela1[[#This Row],[Type]])</f>
        <v>51</v>
      </c>
      <c r="E88" s="62" t="str">
        <f>IF(A88&lt;=151,"Kanto",IF(A88&lt;=251,"Johto",IF(A88&lt;=386,"Hoenn",IF(A88&lt;=493,"Sinnoh",IF(A88&lt;=649,"Unova",IF(A88&lt;=721,"Kalos",IF(A88&lt;=809,"Alola",IF(A88&lt;=905,"Galar","Paldea"))))))))</f>
        <v>Kanto</v>
      </c>
      <c r="F88" t="str">
        <f>IF(G88&gt;=600,"Lendário",IF(G88&gt;=500,"Forte","Normal"))</f>
        <v>Normal</v>
      </c>
      <c r="G88" s="3">
        <v>455</v>
      </c>
      <c r="H88" s="3">
        <v>65</v>
      </c>
      <c r="I88" s="3">
        <v>105</v>
      </c>
      <c r="J88" s="3">
        <v>60</v>
      </c>
      <c r="K88" s="3">
        <v>60</v>
      </c>
      <c r="L88" s="3">
        <v>70</v>
      </c>
      <c r="M88" s="3">
        <v>95</v>
      </c>
      <c r="N88" s="3">
        <f>AVERAGE($I$2:$I$1168)</f>
        <v>78.907455012853475</v>
      </c>
      <c r="O88" s="3" t="str">
        <f>CONCATENATE(A88,"-",B88)</f>
        <v>57-Primeape</v>
      </c>
    </row>
    <row r="89" spans="1:15">
      <c r="A89" s="63">
        <v>58</v>
      </c>
      <c r="B89" s="2" t="s">
        <v>88</v>
      </c>
      <c r="C89" t="s">
        <v>22</v>
      </c>
      <c r="D89" s="22">
        <f>COUNTIF($C$2:$C$1168,Tabela1[[#This Row],[Type]])</f>
        <v>62</v>
      </c>
      <c r="E89" s="62" t="str">
        <f>IF(A89&lt;=151,"Kanto",IF(A89&lt;=251,"Johto",IF(A89&lt;=386,"Hoenn",IF(A89&lt;=493,"Sinnoh",IF(A89&lt;=649,"Unova",IF(A89&lt;=721,"Kalos",IF(A89&lt;=809,"Alola",IF(A89&lt;=905,"Galar","Paldea"))))))))</f>
        <v>Kanto</v>
      </c>
      <c r="F89" t="str">
        <f>IF(G89&gt;=600,"Lendário",IF(G89&gt;=500,"Forte","Normal"))</f>
        <v>Normal</v>
      </c>
      <c r="G89" s="3">
        <v>350</v>
      </c>
      <c r="H89" s="3">
        <v>55</v>
      </c>
      <c r="I89" s="3">
        <v>70</v>
      </c>
      <c r="J89" s="3">
        <v>45</v>
      </c>
      <c r="K89" s="3">
        <v>70</v>
      </c>
      <c r="L89" s="3">
        <v>50</v>
      </c>
      <c r="M89" s="3">
        <v>60</v>
      </c>
      <c r="N89" s="3">
        <f>AVERAGE($I$2:$I$1168)</f>
        <v>78.907455012853475</v>
      </c>
      <c r="O89" s="3" t="str">
        <f>CONCATENATE(A89,"-",B89)</f>
        <v>58-Growlithe</v>
      </c>
    </row>
    <row r="90" spans="1:15">
      <c r="A90" s="63">
        <v>59</v>
      </c>
      <c r="B90" s="2" t="s">
        <v>89</v>
      </c>
      <c r="C90" t="s">
        <v>22</v>
      </c>
      <c r="D90" s="22">
        <f>COUNTIF($C$2:$C$1168,Tabela1[[#This Row],[Type]])</f>
        <v>62</v>
      </c>
      <c r="E90" s="62" t="str">
        <f>IF(A90&lt;=151,"Kanto",IF(A90&lt;=251,"Johto",IF(A90&lt;=386,"Hoenn",IF(A90&lt;=493,"Sinnoh",IF(A90&lt;=649,"Unova",IF(A90&lt;=721,"Kalos",IF(A90&lt;=809,"Alola",IF(A90&lt;=905,"Galar","Paldea"))))))))</f>
        <v>Kanto</v>
      </c>
      <c r="F90" t="str">
        <f>IF(G90&gt;=600,"Lendário",IF(G90&gt;=500,"Forte","Normal"))</f>
        <v>Forte</v>
      </c>
      <c r="G90" s="3">
        <v>555</v>
      </c>
      <c r="H90" s="3">
        <v>90</v>
      </c>
      <c r="I90" s="3">
        <v>110</v>
      </c>
      <c r="J90" s="3">
        <v>80</v>
      </c>
      <c r="K90" s="3">
        <v>100</v>
      </c>
      <c r="L90" s="3">
        <v>80</v>
      </c>
      <c r="M90" s="3">
        <v>95</v>
      </c>
      <c r="N90" s="3">
        <f>AVERAGE($I$2:$I$1168)</f>
        <v>78.907455012853475</v>
      </c>
      <c r="O90" s="3" t="str">
        <f>CONCATENATE(A90,"-",B90)</f>
        <v>59-Arcanine</v>
      </c>
    </row>
    <row r="91" spans="1:15">
      <c r="A91" s="63">
        <v>60</v>
      </c>
      <c r="B91" s="2" t="s">
        <v>90</v>
      </c>
      <c r="C91" t="s">
        <v>30</v>
      </c>
      <c r="D91" s="22">
        <f>COUNTIF($C$2:$C$1168,Tabela1[[#This Row],[Type]])</f>
        <v>121</v>
      </c>
      <c r="E91" s="62" t="str">
        <f>IF(A91&lt;=151,"Kanto",IF(A91&lt;=251,"Johto",IF(A91&lt;=386,"Hoenn",IF(A91&lt;=493,"Sinnoh",IF(A91&lt;=649,"Unova",IF(A91&lt;=721,"Kalos",IF(A91&lt;=809,"Alola",IF(A91&lt;=905,"Galar","Paldea"))))))))</f>
        <v>Kanto</v>
      </c>
      <c r="F91" t="str">
        <f>IF(G91&gt;=600,"Lendário",IF(G91&gt;=500,"Forte","Normal"))</f>
        <v>Normal</v>
      </c>
      <c r="G91" s="3">
        <v>300</v>
      </c>
      <c r="H91" s="3">
        <v>40</v>
      </c>
      <c r="I91" s="3">
        <v>50</v>
      </c>
      <c r="J91" s="3">
        <v>40</v>
      </c>
      <c r="K91" s="3">
        <v>40</v>
      </c>
      <c r="L91" s="3">
        <v>40</v>
      </c>
      <c r="M91" s="3">
        <v>90</v>
      </c>
      <c r="N91" s="3">
        <f>AVERAGE($I$2:$I$1168)</f>
        <v>78.907455012853475</v>
      </c>
      <c r="O91" s="3" t="str">
        <f>CONCATENATE(A91,"-",B91)</f>
        <v>60-Poliwag</v>
      </c>
    </row>
    <row r="92" spans="1:15">
      <c r="A92" s="63">
        <v>61</v>
      </c>
      <c r="B92" s="2" t="s">
        <v>91</v>
      </c>
      <c r="C92" t="s">
        <v>30</v>
      </c>
      <c r="D92" s="22">
        <f>COUNTIF($C$2:$C$1168,Tabela1[[#This Row],[Type]])</f>
        <v>121</v>
      </c>
      <c r="E92" s="62" t="str">
        <f>IF(A92&lt;=151,"Kanto",IF(A92&lt;=251,"Johto",IF(A92&lt;=386,"Hoenn",IF(A92&lt;=493,"Sinnoh",IF(A92&lt;=649,"Unova",IF(A92&lt;=721,"Kalos",IF(A92&lt;=809,"Alola",IF(A92&lt;=905,"Galar","Paldea"))))))))</f>
        <v>Kanto</v>
      </c>
      <c r="F92" t="str">
        <f>IF(G92&gt;=600,"Lendário",IF(G92&gt;=500,"Forte","Normal"))</f>
        <v>Normal</v>
      </c>
      <c r="G92" s="3">
        <v>385</v>
      </c>
      <c r="H92" s="3">
        <v>65</v>
      </c>
      <c r="I92" s="3">
        <v>65</v>
      </c>
      <c r="J92" s="3">
        <v>65</v>
      </c>
      <c r="K92" s="3">
        <v>50</v>
      </c>
      <c r="L92" s="3">
        <v>50</v>
      </c>
      <c r="M92" s="3">
        <v>90</v>
      </c>
      <c r="N92" s="3">
        <f>AVERAGE($I$2:$I$1168)</f>
        <v>78.907455012853475</v>
      </c>
      <c r="O92" s="3" t="str">
        <f>CONCATENATE(A92,"-",B92)</f>
        <v>61-Poliwhirl</v>
      </c>
    </row>
    <row r="93" spans="1:15">
      <c r="A93" s="63">
        <v>62</v>
      </c>
      <c r="B93" s="2" t="s">
        <v>92</v>
      </c>
      <c r="C93" t="s">
        <v>30</v>
      </c>
      <c r="D93" s="22">
        <f>COUNTIF($C$2:$C$1168,Tabela1[[#This Row],[Type]])</f>
        <v>121</v>
      </c>
      <c r="E93" s="62" t="str">
        <f>IF(A93&lt;=151,"Kanto",IF(A93&lt;=251,"Johto",IF(A93&lt;=386,"Hoenn",IF(A93&lt;=493,"Sinnoh",IF(A93&lt;=649,"Unova",IF(A93&lt;=721,"Kalos",IF(A93&lt;=809,"Alola",IF(A93&lt;=905,"Galar","Paldea"))))))))</f>
        <v>Kanto</v>
      </c>
      <c r="F93" t="str">
        <f>IF(G93&gt;=600,"Lendário",IF(G93&gt;=500,"Forte","Normal"))</f>
        <v>Forte</v>
      </c>
      <c r="G93" s="3">
        <v>500</v>
      </c>
      <c r="H93" s="3">
        <v>90</v>
      </c>
      <c r="I93" s="3">
        <v>85</v>
      </c>
      <c r="J93" s="3">
        <v>95</v>
      </c>
      <c r="K93" s="3">
        <v>70</v>
      </c>
      <c r="L93" s="3">
        <v>90</v>
      </c>
      <c r="M93" s="3">
        <v>70</v>
      </c>
      <c r="N93" s="3">
        <f>AVERAGE($I$2:$I$1168)</f>
        <v>78.907455012853475</v>
      </c>
      <c r="O93" s="3" t="str">
        <f>CONCATENATE(A93,"-",B93)</f>
        <v>62-Poliwrath</v>
      </c>
    </row>
    <row r="94" spans="1:15">
      <c r="A94" s="63">
        <v>62</v>
      </c>
      <c r="B94" s="2" t="str">
        <f>B93</f>
        <v>Poliwrath</v>
      </c>
      <c r="C94" t="s">
        <v>86</v>
      </c>
      <c r="D94" s="22">
        <f>COUNTIF($C$2:$C$1168,Tabela1[[#This Row],[Type]])</f>
        <v>51</v>
      </c>
      <c r="E94" s="62" t="str">
        <f>IF(A94&lt;=151,"Kanto",IF(A94&lt;=251,"Johto",IF(A94&lt;=386,"Hoenn",IF(A94&lt;=493,"Sinnoh",IF(A94&lt;=649,"Unova",IF(A94&lt;=721,"Kalos",IF(A94&lt;=809,"Alola",IF(A94&lt;=905,"Galar","Paldea"))))))))</f>
        <v>Kanto</v>
      </c>
      <c r="F94" t="str">
        <f>IF(G94&gt;=600,"Lendário",IF(G94&gt;=500,"Forte","Normal"))</f>
        <v>Forte</v>
      </c>
      <c r="G94" s="3">
        <f>G93</f>
        <v>500</v>
      </c>
      <c r="H94" s="3">
        <f>H93</f>
        <v>90</v>
      </c>
      <c r="I94" s="3">
        <f>I93</f>
        <v>85</v>
      </c>
      <c r="J94" s="3">
        <f>J93</f>
        <v>95</v>
      </c>
      <c r="K94" s="3">
        <f>K93</f>
        <v>70</v>
      </c>
      <c r="L94" s="3">
        <f>L93</f>
        <v>90</v>
      </c>
      <c r="M94" s="3">
        <f>M93</f>
        <v>70</v>
      </c>
      <c r="N94" s="3">
        <f>AVERAGE($I$2:$I$1168)</f>
        <v>78.907455012853475</v>
      </c>
      <c r="O94" s="3" t="str">
        <f>CONCATENATE(A94,"-",B94)</f>
        <v>62-Poliwrath</v>
      </c>
    </row>
    <row r="95" spans="1:15">
      <c r="A95" s="63">
        <v>63</v>
      </c>
      <c r="B95" s="2" t="s">
        <v>93</v>
      </c>
      <c r="C95" t="s">
        <v>94</v>
      </c>
      <c r="D95" s="22">
        <f>COUNTIF($C$2:$C$1168,Tabela1[[#This Row],[Type]])</f>
        <v>83</v>
      </c>
      <c r="E95" s="62" t="str">
        <f>IF(A95&lt;=151,"Kanto",IF(A95&lt;=251,"Johto",IF(A95&lt;=386,"Hoenn",IF(A95&lt;=493,"Sinnoh",IF(A95&lt;=649,"Unova",IF(A95&lt;=721,"Kalos",IF(A95&lt;=809,"Alola",IF(A95&lt;=905,"Galar","Paldea"))))))))</f>
        <v>Kanto</v>
      </c>
      <c r="F95" t="str">
        <f>IF(G95&gt;=600,"Lendário",IF(G95&gt;=500,"Forte","Normal"))</f>
        <v>Normal</v>
      </c>
      <c r="G95" s="3">
        <v>310</v>
      </c>
      <c r="H95" s="3">
        <v>25</v>
      </c>
      <c r="I95" s="3">
        <v>20</v>
      </c>
      <c r="J95" s="3">
        <v>15</v>
      </c>
      <c r="K95" s="3">
        <v>105</v>
      </c>
      <c r="L95" s="3">
        <v>55</v>
      </c>
      <c r="M95" s="3">
        <v>90</v>
      </c>
      <c r="N95" s="3">
        <f>AVERAGE($I$2:$I$1168)</f>
        <v>78.907455012853475</v>
      </c>
      <c r="O95" s="3" t="str">
        <f>CONCATENATE(A95,"-",B95)</f>
        <v>63-Abra</v>
      </c>
    </row>
    <row r="96" spans="1:15">
      <c r="A96" s="63">
        <v>64</v>
      </c>
      <c r="B96" s="2" t="s">
        <v>95</v>
      </c>
      <c r="C96" t="s">
        <v>94</v>
      </c>
      <c r="D96" s="22">
        <f>COUNTIF($C$2:$C$1168,Tabela1[[#This Row],[Type]])</f>
        <v>83</v>
      </c>
      <c r="E96" s="62" t="str">
        <f>IF(A96&lt;=151,"Kanto",IF(A96&lt;=251,"Johto",IF(A96&lt;=386,"Hoenn",IF(A96&lt;=493,"Sinnoh",IF(A96&lt;=649,"Unova",IF(A96&lt;=721,"Kalos",IF(A96&lt;=809,"Alola",IF(A96&lt;=905,"Galar","Paldea"))))))))</f>
        <v>Kanto</v>
      </c>
      <c r="F96" t="str">
        <f>IF(G96&gt;=600,"Lendário",IF(G96&gt;=500,"Forte","Normal"))</f>
        <v>Normal</v>
      </c>
      <c r="G96" s="3">
        <v>400</v>
      </c>
      <c r="H96" s="3">
        <v>40</v>
      </c>
      <c r="I96" s="3">
        <v>35</v>
      </c>
      <c r="J96" s="3">
        <v>30</v>
      </c>
      <c r="K96" s="3">
        <v>120</v>
      </c>
      <c r="L96" s="3">
        <v>70</v>
      </c>
      <c r="M96" s="3">
        <v>105</v>
      </c>
      <c r="N96" s="3">
        <f>AVERAGE($I$2:$I$1168)</f>
        <v>78.907455012853475</v>
      </c>
      <c r="O96" s="3" t="str">
        <f>CONCATENATE(A96,"-",B96)</f>
        <v>64-Kadabra</v>
      </c>
    </row>
    <row r="97" spans="1:15">
      <c r="A97" s="63">
        <v>65</v>
      </c>
      <c r="B97" s="2" t="s">
        <v>96</v>
      </c>
      <c r="C97" t="s">
        <v>94</v>
      </c>
      <c r="D97" s="22">
        <f>COUNTIF($C$2:$C$1168,Tabela1[[#This Row],[Type]])</f>
        <v>83</v>
      </c>
      <c r="E97" s="62" t="str">
        <f>IF(A97&lt;=151,"Kanto",IF(A97&lt;=251,"Johto",IF(A97&lt;=386,"Hoenn",IF(A97&lt;=493,"Sinnoh",IF(A97&lt;=649,"Unova",IF(A97&lt;=721,"Kalos",IF(A97&lt;=809,"Alola",IF(A97&lt;=905,"Galar","Paldea"))))))))</f>
        <v>Kanto</v>
      </c>
      <c r="F97" t="str">
        <f>IF(G97&gt;=600,"Lendário",IF(G97&gt;=500,"Forte","Normal"))</f>
        <v>Normal</v>
      </c>
      <c r="G97" s="3">
        <v>490</v>
      </c>
      <c r="H97" s="3">
        <v>55</v>
      </c>
      <c r="I97" s="3">
        <v>50</v>
      </c>
      <c r="J97" s="3">
        <v>45</v>
      </c>
      <c r="K97" s="3">
        <v>135</v>
      </c>
      <c r="L97" s="3">
        <v>85</v>
      </c>
      <c r="M97" s="3">
        <v>120</v>
      </c>
      <c r="N97" s="3">
        <f>AVERAGE($I$2:$I$1168)</f>
        <v>78.907455012853475</v>
      </c>
      <c r="O97" s="3" t="str">
        <f>CONCATENATE(A97,"-",B97)</f>
        <v>65-Alakazam</v>
      </c>
    </row>
    <row r="98" spans="1:15">
      <c r="A98" s="63">
        <v>65.099999999999994</v>
      </c>
      <c r="B98" s="2" t="s">
        <v>97</v>
      </c>
      <c r="C98" t="s">
        <v>94</v>
      </c>
      <c r="D98" s="22">
        <f>COUNTIF($C$2:$C$1168,Tabela1[[#This Row],[Type]])</f>
        <v>83</v>
      </c>
      <c r="E98" s="62" t="str">
        <f>IF(A98&lt;=151,"Kanto",IF(A98&lt;=251,"Johto",IF(A98&lt;=386,"Hoenn",IF(A98&lt;=493,"Sinnoh",IF(A98&lt;=649,"Unova",IF(A98&lt;=721,"Kalos",IF(A98&lt;=809,"Alola",IF(A98&lt;=905,"Galar","Paldea"))))))))</f>
        <v>Kanto</v>
      </c>
      <c r="F98" t="str">
        <f>IF(G98&gt;=600,"Lendário",IF(G98&gt;=500,"Forte","Normal"))</f>
        <v>Forte</v>
      </c>
      <c r="G98" s="3">
        <v>590</v>
      </c>
      <c r="H98" s="3">
        <v>55</v>
      </c>
      <c r="I98" s="3">
        <v>50</v>
      </c>
      <c r="J98" s="3">
        <v>65</v>
      </c>
      <c r="K98" s="3">
        <v>175</v>
      </c>
      <c r="L98" s="3">
        <v>95</v>
      </c>
      <c r="M98" s="3">
        <v>150</v>
      </c>
      <c r="N98" s="3">
        <f>AVERAGE($I$2:$I$1168)</f>
        <v>78.907455012853475</v>
      </c>
      <c r="O98" s="3" t="str">
        <f>CONCATENATE(A98,"-",B98)</f>
        <v>65,1-Mega Alakazam</v>
      </c>
    </row>
    <row r="99" spans="1:15">
      <c r="A99" s="63">
        <v>66</v>
      </c>
      <c r="B99" s="2" t="s">
        <v>98</v>
      </c>
      <c r="C99" t="s">
        <v>86</v>
      </c>
      <c r="D99" s="22">
        <f>COUNTIF($C$2:$C$1168,Tabela1[[#This Row],[Type]])</f>
        <v>51</v>
      </c>
      <c r="E99" s="62" t="str">
        <f>IF(A99&lt;=151,"Kanto",IF(A99&lt;=251,"Johto",IF(A99&lt;=386,"Hoenn",IF(A99&lt;=493,"Sinnoh",IF(A99&lt;=649,"Unova",IF(A99&lt;=721,"Kalos",IF(A99&lt;=809,"Alola",IF(A99&lt;=905,"Galar","Paldea"))))))))</f>
        <v>Kanto</v>
      </c>
      <c r="F99" t="str">
        <f>IF(G99&gt;=600,"Lendário",IF(G99&gt;=500,"Forte","Normal"))</f>
        <v>Normal</v>
      </c>
      <c r="G99" s="3">
        <v>305</v>
      </c>
      <c r="H99" s="3">
        <v>70</v>
      </c>
      <c r="I99" s="3">
        <v>80</v>
      </c>
      <c r="J99" s="3">
        <v>50</v>
      </c>
      <c r="K99" s="3">
        <v>35</v>
      </c>
      <c r="L99" s="3">
        <v>35</v>
      </c>
      <c r="M99" s="3">
        <v>35</v>
      </c>
      <c r="N99" s="3">
        <f>AVERAGE($I$2:$I$1168)</f>
        <v>78.907455012853475</v>
      </c>
      <c r="O99" s="3" t="str">
        <f>CONCATENATE(A99,"-",B99)</f>
        <v>66-Machop</v>
      </c>
    </row>
    <row r="100" spans="1:15">
      <c r="A100" s="63">
        <v>67</v>
      </c>
      <c r="B100" s="2" t="s">
        <v>99</v>
      </c>
      <c r="C100" t="s">
        <v>86</v>
      </c>
      <c r="D100" s="22">
        <f>COUNTIF($C$2:$C$1168,Tabela1[[#This Row],[Type]])</f>
        <v>51</v>
      </c>
      <c r="E100" s="62" t="str">
        <f>IF(A100&lt;=151,"Kanto",IF(A100&lt;=251,"Johto",IF(A100&lt;=386,"Hoenn",IF(A100&lt;=493,"Sinnoh",IF(A100&lt;=649,"Unova",IF(A100&lt;=721,"Kalos",IF(A100&lt;=809,"Alola",IF(A100&lt;=905,"Galar","Paldea"))))))))</f>
        <v>Kanto</v>
      </c>
      <c r="F100" t="str">
        <f>IF(G100&gt;=600,"Lendário",IF(G100&gt;=500,"Forte","Normal"))</f>
        <v>Normal</v>
      </c>
      <c r="G100" s="3">
        <v>405</v>
      </c>
      <c r="H100" s="3">
        <v>80</v>
      </c>
      <c r="I100" s="3">
        <v>100</v>
      </c>
      <c r="J100" s="3">
        <v>70</v>
      </c>
      <c r="K100" s="3">
        <v>50</v>
      </c>
      <c r="L100" s="3">
        <v>60</v>
      </c>
      <c r="M100" s="3">
        <v>45</v>
      </c>
      <c r="N100" s="3">
        <f>AVERAGE($I$2:$I$1168)</f>
        <v>78.907455012853475</v>
      </c>
      <c r="O100" s="3" t="str">
        <f>CONCATENATE(A100,"-",B100)</f>
        <v>67-Machoke</v>
      </c>
    </row>
    <row r="101" spans="1:15">
      <c r="A101" s="63">
        <v>68</v>
      </c>
      <c r="B101" s="2" t="s">
        <v>100</v>
      </c>
      <c r="C101" t="s">
        <v>86</v>
      </c>
      <c r="D101" s="22">
        <f>COUNTIF($C$2:$C$1168,Tabela1[[#This Row],[Type]])</f>
        <v>51</v>
      </c>
      <c r="E101" s="62" t="str">
        <f>IF(A101&lt;=151,"Kanto",IF(A101&lt;=251,"Johto",IF(A101&lt;=386,"Hoenn",IF(A101&lt;=493,"Sinnoh",IF(A101&lt;=649,"Unova",IF(A101&lt;=721,"Kalos",IF(A101&lt;=809,"Alola",IF(A101&lt;=905,"Galar","Paldea"))))))))</f>
        <v>Kanto</v>
      </c>
      <c r="F101" t="str">
        <f>IF(G101&gt;=600,"Lendário",IF(G101&gt;=500,"Forte","Normal"))</f>
        <v>Forte</v>
      </c>
      <c r="G101" s="3">
        <v>505</v>
      </c>
      <c r="H101" s="3">
        <v>90</v>
      </c>
      <c r="I101" s="3">
        <v>130</v>
      </c>
      <c r="J101" s="3">
        <v>80</v>
      </c>
      <c r="K101" s="3">
        <v>65</v>
      </c>
      <c r="L101" s="3">
        <v>85</v>
      </c>
      <c r="M101" s="3">
        <v>55</v>
      </c>
      <c r="N101" s="3">
        <f>AVERAGE($I$2:$I$1168)</f>
        <v>78.907455012853475</v>
      </c>
      <c r="O101" s="3" t="str">
        <f>CONCATENATE(A101,"-",B101)</f>
        <v>68-Machamp</v>
      </c>
    </row>
    <row r="102" spans="1:15">
      <c r="A102" s="63">
        <v>69</v>
      </c>
      <c r="B102" s="2" t="s">
        <v>101</v>
      </c>
      <c r="C102" t="s">
        <v>16</v>
      </c>
      <c r="D102" s="22">
        <f>COUNTIF($C$2:$C$1168,Tabela1[[#This Row],[Type]])</f>
        <v>93</v>
      </c>
      <c r="E102" s="62" t="str">
        <f>IF(A102&lt;=151,"Kanto",IF(A102&lt;=251,"Johto",IF(A102&lt;=386,"Hoenn",IF(A102&lt;=493,"Sinnoh",IF(A102&lt;=649,"Unova",IF(A102&lt;=721,"Kalos",IF(A102&lt;=809,"Alola",IF(A102&lt;=905,"Galar","Paldea"))))))))</f>
        <v>Kanto</v>
      </c>
      <c r="F102" t="str">
        <f>IF(G102&gt;=600,"Lendário",IF(G102&gt;=500,"Forte","Normal"))</f>
        <v>Normal</v>
      </c>
      <c r="G102" s="3">
        <v>300</v>
      </c>
      <c r="H102" s="3">
        <v>50</v>
      </c>
      <c r="I102" s="3">
        <v>75</v>
      </c>
      <c r="J102" s="3">
        <v>35</v>
      </c>
      <c r="K102" s="3">
        <v>70</v>
      </c>
      <c r="L102" s="3">
        <v>30</v>
      </c>
      <c r="M102" s="3">
        <v>40</v>
      </c>
      <c r="N102" s="3">
        <f>AVERAGE($I$2:$I$1168)</f>
        <v>78.907455012853475</v>
      </c>
      <c r="O102" s="3" t="str">
        <f>CONCATENATE(A102,"-",B102)</f>
        <v>69-Bellsprout</v>
      </c>
    </row>
    <row r="103" spans="1:15">
      <c r="A103" s="63">
        <v>69</v>
      </c>
      <c r="B103" s="2" t="str">
        <f>B102</f>
        <v>Bellsprout</v>
      </c>
      <c r="C103" t="s">
        <v>17</v>
      </c>
      <c r="D103" s="22">
        <f>COUNTIF($C$2:$C$1168,Tabela1[[#This Row],[Type]])</f>
        <v>61</v>
      </c>
      <c r="E103" s="62" t="str">
        <f>IF(A103&lt;=151,"Kanto",IF(A103&lt;=251,"Johto",IF(A103&lt;=386,"Hoenn",IF(A103&lt;=493,"Sinnoh",IF(A103&lt;=649,"Unova",IF(A103&lt;=721,"Kalos",IF(A103&lt;=809,"Alola",IF(A103&lt;=905,"Galar","Paldea"))))))))</f>
        <v>Kanto</v>
      </c>
      <c r="F103" t="str">
        <f>IF(G103&gt;=600,"Lendário",IF(G103&gt;=500,"Forte","Normal"))</f>
        <v>Normal</v>
      </c>
      <c r="G103" s="3">
        <f>G102</f>
        <v>300</v>
      </c>
      <c r="H103" s="3">
        <f>H102</f>
        <v>50</v>
      </c>
      <c r="I103" s="3">
        <f>I102</f>
        <v>75</v>
      </c>
      <c r="J103" s="3">
        <f>J102</f>
        <v>35</v>
      </c>
      <c r="K103" s="3">
        <f>K102</f>
        <v>70</v>
      </c>
      <c r="L103" s="3">
        <f>L102</f>
        <v>30</v>
      </c>
      <c r="M103" s="3">
        <f>M102</f>
        <v>40</v>
      </c>
      <c r="N103" s="3">
        <f>AVERAGE($I$2:$I$1168)</f>
        <v>78.907455012853475</v>
      </c>
      <c r="O103" s="3" t="str">
        <f>CONCATENATE(A103,"-",B103)</f>
        <v>69-Bellsprout</v>
      </c>
    </row>
    <row r="104" spans="1:15">
      <c r="A104" s="63">
        <v>70</v>
      </c>
      <c r="B104" s="2" t="s">
        <v>102</v>
      </c>
      <c r="C104" t="s">
        <v>16</v>
      </c>
      <c r="D104" s="22">
        <f>COUNTIF($C$2:$C$1168,Tabela1[[#This Row],[Type]])</f>
        <v>93</v>
      </c>
      <c r="E104" s="62" t="str">
        <f>IF(A104&lt;=151,"Kanto",IF(A104&lt;=251,"Johto",IF(A104&lt;=386,"Hoenn",IF(A104&lt;=493,"Sinnoh",IF(A104&lt;=649,"Unova",IF(A104&lt;=721,"Kalos",IF(A104&lt;=809,"Alola",IF(A104&lt;=905,"Galar","Paldea"))))))))</f>
        <v>Kanto</v>
      </c>
      <c r="F104" t="str">
        <f>IF(G104&gt;=600,"Lendário",IF(G104&gt;=500,"Forte","Normal"))</f>
        <v>Normal</v>
      </c>
      <c r="G104" s="3">
        <v>390</v>
      </c>
      <c r="H104" s="3">
        <v>65</v>
      </c>
      <c r="I104" s="3">
        <v>90</v>
      </c>
      <c r="J104" s="3">
        <v>50</v>
      </c>
      <c r="K104" s="3">
        <v>85</v>
      </c>
      <c r="L104" s="3">
        <v>45</v>
      </c>
      <c r="M104" s="3">
        <v>55</v>
      </c>
      <c r="N104" s="3">
        <f>AVERAGE($I$2:$I$1168)</f>
        <v>78.907455012853475</v>
      </c>
      <c r="O104" s="3" t="str">
        <f>CONCATENATE(A104,"-",B104)</f>
        <v>70-Weepinbell</v>
      </c>
    </row>
    <row r="105" spans="1:15">
      <c r="A105" s="63">
        <v>70</v>
      </c>
      <c r="B105" s="2" t="str">
        <f>B104</f>
        <v>Weepinbell</v>
      </c>
      <c r="C105" t="s">
        <v>17</v>
      </c>
      <c r="D105" s="22">
        <f>COUNTIF($C$2:$C$1168,Tabela1[[#This Row],[Type]])</f>
        <v>61</v>
      </c>
      <c r="E105" s="62" t="str">
        <f>IF(A105&lt;=151,"Kanto",IF(A105&lt;=251,"Johto",IF(A105&lt;=386,"Hoenn",IF(A105&lt;=493,"Sinnoh",IF(A105&lt;=649,"Unova",IF(A105&lt;=721,"Kalos",IF(A105&lt;=809,"Alola",IF(A105&lt;=905,"Galar","Paldea"))))))))</f>
        <v>Kanto</v>
      </c>
      <c r="F105" t="str">
        <f>IF(G105&gt;=600,"Lendário",IF(G105&gt;=500,"Forte","Normal"))</f>
        <v>Normal</v>
      </c>
      <c r="G105" s="3">
        <f>G104</f>
        <v>390</v>
      </c>
      <c r="H105" s="3">
        <f>H104</f>
        <v>65</v>
      </c>
      <c r="I105" s="3">
        <f>I104</f>
        <v>90</v>
      </c>
      <c r="J105" s="3">
        <f>J104</f>
        <v>50</v>
      </c>
      <c r="K105" s="3">
        <f>K104</f>
        <v>85</v>
      </c>
      <c r="L105" s="3">
        <f>L104</f>
        <v>45</v>
      </c>
      <c r="M105" s="3">
        <f>M104</f>
        <v>55</v>
      </c>
      <c r="N105" s="3">
        <f>AVERAGE($I$2:$I$1168)</f>
        <v>78.907455012853475</v>
      </c>
      <c r="O105" s="3" t="str">
        <f>CONCATENATE(A105,"-",B105)</f>
        <v>70-Weepinbell</v>
      </c>
    </row>
    <row r="106" spans="1:15">
      <c r="A106" s="63">
        <v>71</v>
      </c>
      <c r="B106" s="2" t="s">
        <v>103</v>
      </c>
      <c r="C106" t="s">
        <v>16</v>
      </c>
      <c r="D106" s="22">
        <f>COUNTIF($C$2:$C$1168,Tabela1[[#This Row],[Type]])</f>
        <v>93</v>
      </c>
      <c r="E106" s="62" t="str">
        <f>IF(A106&lt;=151,"Kanto",IF(A106&lt;=251,"Johto",IF(A106&lt;=386,"Hoenn",IF(A106&lt;=493,"Sinnoh",IF(A106&lt;=649,"Unova",IF(A106&lt;=721,"Kalos",IF(A106&lt;=809,"Alola",IF(A106&lt;=905,"Galar","Paldea"))))))))</f>
        <v>Kanto</v>
      </c>
      <c r="F106" t="str">
        <f>IF(G106&gt;=600,"Lendário",IF(G106&gt;=500,"Forte","Normal"))</f>
        <v>Normal</v>
      </c>
      <c r="G106" s="3">
        <v>480</v>
      </c>
      <c r="H106" s="3">
        <v>80</v>
      </c>
      <c r="I106" s="3">
        <v>105</v>
      </c>
      <c r="J106" s="3">
        <v>65</v>
      </c>
      <c r="K106" s="3">
        <v>100</v>
      </c>
      <c r="L106" s="3">
        <v>60</v>
      </c>
      <c r="M106" s="3">
        <v>70</v>
      </c>
      <c r="N106" s="3">
        <f>AVERAGE($I$2:$I$1168)</f>
        <v>78.907455012853475</v>
      </c>
      <c r="O106" s="3" t="str">
        <f>CONCATENATE(A106,"-",B106)</f>
        <v>71-Victreebel</v>
      </c>
    </row>
    <row r="107" spans="1:15">
      <c r="A107" s="63">
        <v>71</v>
      </c>
      <c r="B107" s="2" t="str">
        <f>B106</f>
        <v>Victreebel</v>
      </c>
      <c r="C107" t="s">
        <v>17</v>
      </c>
      <c r="D107" s="22">
        <f>COUNTIF($C$2:$C$1168,Tabela1[[#This Row],[Type]])</f>
        <v>61</v>
      </c>
      <c r="E107" s="62" t="str">
        <f>IF(A107&lt;=151,"Kanto",IF(A107&lt;=251,"Johto",IF(A107&lt;=386,"Hoenn",IF(A107&lt;=493,"Sinnoh",IF(A107&lt;=649,"Unova",IF(A107&lt;=721,"Kalos",IF(A107&lt;=809,"Alola",IF(A107&lt;=905,"Galar","Paldea"))))))))</f>
        <v>Kanto</v>
      </c>
      <c r="F107" t="str">
        <f>IF(G107&gt;=600,"Lendário",IF(G107&gt;=500,"Forte","Normal"))</f>
        <v>Normal</v>
      </c>
      <c r="G107" s="3">
        <f>G106</f>
        <v>480</v>
      </c>
      <c r="H107" s="3">
        <f>H106</f>
        <v>80</v>
      </c>
      <c r="I107" s="3">
        <f>I106</f>
        <v>105</v>
      </c>
      <c r="J107" s="3">
        <f>J106</f>
        <v>65</v>
      </c>
      <c r="K107" s="3">
        <f>K106</f>
        <v>100</v>
      </c>
      <c r="L107" s="3">
        <f>L106</f>
        <v>60</v>
      </c>
      <c r="M107" s="3">
        <f>M106</f>
        <v>70</v>
      </c>
      <c r="N107" s="3">
        <f>AVERAGE($I$2:$I$1168)</f>
        <v>78.907455012853475</v>
      </c>
      <c r="O107" s="3" t="str">
        <f>CONCATENATE(A107,"-",B107)</f>
        <v>71-Victreebel</v>
      </c>
    </row>
    <row r="108" spans="1:15">
      <c r="A108" s="63">
        <v>72</v>
      </c>
      <c r="B108" s="2" t="s">
        <v>104</v>
      </c>
      <c r="C108" t="s">
        <v>30</v>
      </c>
      <c r="D108" s="22">
        <f>COUNTIF($C$2:$C$1168,Tabela1[[#This Row],[Type]])</f>
        <v>121</v>
      </c>
      <c r="E108" s="62" t="str">
        <f>IF(A108&lt;=151,"Kanto",IF(A108&lt;=251,"Johto",IF(A108&lt;=386,"Hoenn",IF(A108&lt;=493,"Sinnoh",IF(A108&lt;=649,"Unova",IF(A108&lt;=721,"Kalos",IF(A108&lt;=809,"Alola",IF(A108&lt;=905,"Galar","Paldea"))))))))</f>
        <v>Kanto</v>
      </c>
      <c r="F108" t="str">
        <f>IF(G108&gt;=600,"Lendário",IF(G108&gt;=500,"Forte","Normal"))</f>
        <v>Normal</v>
      </c>
      <c r="G108" s="3">
        <v>335</v>
      </c>
      <c r="H108" s="3">
        <v>40</v>
      </c>
      <c r="I108" s="3">
        <v>40</v>
      </c>
      <c r="J108" s="3">
        <v>35</v>
      </c>
      <c r="K108" s="3">
        <v>50</v>
      </c>
      <c r="L108" s="3">
        <v>100</v>
      </c>
      <c r="M108" s="3">
        <v>70</v>
      </c>
      <c r="N108" s="3">
        <f>AVERAGE($I$2:$I$1168)</f>
        <v>78.907455012853475</v>
      </c>
      <c r="O108" s="3" t="str">
        <f>CONCATENATE(A108,"-",B108)</f>
        <v>72-Tentacool</v>
      </c>
    </row>
    <row r="109" spans="1:15">
      <c r="A109" s="63">
        <v>72</v>
      </c>
      <c r="B109" s="2" t="str">
        <f>B108</f>
        <v>Tentacool</v>
      </c>
      <c r="C109" t="s">
        <v>17</v>
      </c>
      <c r="D109" s="22">
        <f>COUNTIF($C$2:$C$1168,Tabela1[[#This Row],[Type]])</f>
        <v>61</v>
      </c>
      <c r="E109" s="62" t="str">
        <f>IF(A109&lt;=151,"Kanto",IF(A109&lt;=251,"Johto",IF(A109&lt;=386,"Hoenn",IF(A109&lt;=493,"Sinnoh",IF(A109&lt;=649,"Unova",IF(A109&lt;=721,"Kalos",IF(A109&lt;=809,"Alola",IF(A109&lt;=905,"Galar","Paldea"))))))))</f>
        <v>Kanto</v>
      </c>
      <c r="F109" t="str">
        <f>IF(G109&gt;=600,"Lendário",IF(G109&gt;=500,"Forte","Normal"))</f>
        <v>Normal</v>
      </c>
      <c r="G109" s="3">
        <f>G108</f>
        <v>335</v>
      </c>
      <c r="H109" s="3">
        <f>H108</f>
        <v>40</v>
      </c>
      <c r="I109" s="3">
        <f>I108</f>
        <v>40</v>
      </c>
      <c r="J109" s="3">
        <f>J108</f>
        <v>35</v>
      </c>
      <c r="K109" s="3">
        <f>K108</f>
        <v>50</v>
      </c>
      <c r="L109" s="3">
        <f>L108</f>
        <v>100</v>
      </c>
      <c r="M109" s="3">
        <f>M108</f>
        <v>70</v>
      </c>
      <c r="N109" s="3">
        <f>AVERAGE($I$2:$I$1168)</f>
        <v>78.907455012853475</v>
      </c>
      <c r="O109" s="3" t="str">
        <f>CONCATENATE(A109,"-",B109)</f>
        <v>72-Tentacool</v>
      </c>
    </row>
    <row r="110" spans="1:15">
      <c r="A110" s="63">
        <v>73</v>
      </c>
      <c r="B110" s="2" t="s">
        <v>105</v>
      </c>
      <c r="C110" t="s">
        <v>30</v>
      </c>
      <c r="D110" s="22">
        <f>COUNTIF($C$2:$C$1168,Tabela1[[#This Row],[Type]])</f>
        <v>121</v>
      </c>
      <c r="E110" s="62" t="str">
        <f>IF(A110&lt;=151,"Kanto",IF(A110&lt;=251,"Johto",IF(A110&lt;=386,"Hoenn",IF(A110&lt;=493,"Sinnoh",IF(A110&lt;=649,"Unova",IF(A110&lt;=721,"Kalos",IF(A110&lt;=809,"Alola",IF(A110&lt;=905,"Galar","Paldea"))))))))</f>
        <v>Kanto</v>
      </c>
      <c r="F110" t="str">
        <f>IF(G110&gt;=600,"Lendário",IF(G110&gt;=500,"Forte","Normal"))</f>
        <v>Forte</v>
      </c>
      <c r="G110" s="3">
        <v>515</v>
      </c>
      <c r="H110" s="3">
        <v>80</v>
      </c>
      <c r="I110" s="3">
        <v>70</v>
      </c>
      <c r="J110" s="3">
        <v>65</v>
      </c>
      <c r="K110" s="3">
        <v>80</v>
      </c>
      <c r="L110" s="3">
        <v>120</v>
      </c>
      <c r="M110" s="3">
        <v>100</v>
      </c>
      <c r="N110" s="3">
        <f>AVERAGE($I$2:$I$1168)</f>
        <v>78.907455012853475</v>
      </c>
      <c r="O110" s="3" t="str">
        <f>CONCATENATE(A110,"-",B110)</f>
        <v>73-Tentacruel</v>
      </c>
    </row>
    <row r="111" spans="1:15">
      <c r="A111" s="63">
        <v>73</v>
      </c>
      <c r="B111" s="2" t="str">
        <f>B110</f>
        <v>Tentacruel</v>
      </c>
      <c r="C111" t="s">
        <v>17</v>
      </c>
      <c r="D111" s="22">
        <f>COUNTIF($C$2:$C$1168,Tabela1[[#This Row],[Type]])</f>
        <v>61</v>
      </c>
      <c r="E111" s="62" t="str">
        <f>IF(A111&lt;=151,"Kanto",IF(A111&lt;=251,"Johto",IF(A111&lt;=386,"Hoenn",IF(A111&lt;=493,"Sinnoh",IF(A111&lt;=649,"Unova",IF(A111&lt;=721,"Kalos",IF(A111&lt;=809,"Alola",IF(A111&lt;=905,"Galar","Paldea"))))))))</f>
        <v>Kanto</v>
      </c>
      <c r="F111" t="str">
        <f>IF(G111&gt;=600,"Lendário",IF(G111&gt;=500,"Forte","Normal"))</f>
        <v>Forte</v>
      </c>
      <c r="G111" s="3">
        <f>G110</f>
        <v>515</v>
      </c>
      <c r="H111" s="3">
        <f>H110</f>
        <v>80</v>
      </c>
      <c r="I111" s="3">
        <f>I110</f>
        <v>70</v>
      </c>
      <c r="J111" s="3">
        <f>J110</f>
        <v>65</v>
      </c>
      <c r="K111" s="3">
        <f>K110</f>
        <v>80</v>
      </c>
      <c r="L111" s="3">
        <f>L110</f>
        <v>120</v>
      </c>
      <c r="M111" s="3">
        <f>M110</f>
        <v>100</v>
      </c>
      <c r="N111" s="3">
        <f>AVERAGE($I$2:$I$1168)</f>
        <v>78.907455012853475</v>
      </c>
      <c r="O111" s="3" t="str">
        <f>CONCATENATE(A111,"-",B111)</f>
        <v>73-Tentacruel</v>
      </c>
    </row>
    <row r="112" spans="1:15">
      <c r="A112" s="63">
        <v>74</v>
      </c>
      <c r="B112" s="2" t="s">
        <v>106</v>
      </c>
      <c r="C112" t="s">
        <v>107</v>
      </c>
      <c r="D112" s="22">
        <f>COUNTIF($C$2:$C$1168,Tabela1[[#This Row],[Type]])</f>
        <v>56</v>
      </c>
      <c r="E112" s="62" t="str">
        <f>IF(A112&lt;=151,"Kanto",IF(A112&lt;=251,"Johto",IF(A112&lt;=386,"Hoenn",IF(A112&lt;=493,"Sinnoh",IF(A112&lt;=649,"Unova",IF(A112&lt;=721,"Kalos",IF(A112&lt;=809,"Alola",IF(A112&lt;=905,"Galar","Paldea"))))))))</f>
        <v>Kanto</v>
      </c>
      <c r="F112" t="str">
        <f>IF(G112&gt;=600,"Lendário",IF(G112&gt;=500,"Forte","Normal"))</f>
        <v>Normal</v>
      </c>
      <c r="G112" s="3">
        <v>300</v>
      </c>
      <c r="H112" s="3">
        <v>40</v>
      </c>
      <c r="I112" s="3">
        <v>80</v>
      </c>
      <c r="J112" s="3">
        <v>100</v>
      </c>
      <c r="K112" s="3">
        <v>30</v>
      </c>
      <c r="L112" s="3">
        <v>30</v>
      </c>
      <c r="M112" s="3">
        <v>20</v>
      </c>
      <c r="N112" s="3">
        <f>AVERAGE($I$2:$I$1168)</f>
        <v>78.907455012853475</v>
      </c>
      <c r="O112" s="3" t="str">
        <f>CONCATENATE(A112,"-",B112)</f>
        <v>74-Geodude</v>
      </c>
    </row>
    <row r="113" spans="1:15">
      <c r="A113" s="63">
        <v>74</v>
      </c>
      <c r="B113" s="2" t="str">
        <f>B112</f>
        <v>Geodude</v>
      </c>
      <c r="C113" t="s">
        <v>55</v>
      </c>
      <c r="D113" s="22">
        <f>COUNTIF($C$2:$C$1168,Tabela1[[#This Row],[Type]])</f>
        <v>62</v>
      </c>
      <c r="E113" s="62" t="str">
        <f>IF(A113&lt;=151,"Kanto",IF(A113&lt;=251,"Johto",IF(A113&lt;=386,"Hoenn",IF(A113&lt;=493,"Sinnoh",IF(A113&lt;=649,"Unova",IF(A113&lt;=721,"Kalos",IF(A113&lt;=809,"Alola",IF(A113&lt;=905,"Galar","Paldea"))))))))</f>
        <v>Kanto</v>
      </c>
      <c r="F113" t="str">
        <f>IF(G113&gt;=600,"Lendário",IF(G113&gt;=500,"Forte","Normal"))</f>
        <v>Normal</v>
      </c>
      <c r="G113" s="3">
        <f>G112</f>
        <v>300</v>
      </c>
      <c r="H113" s="3">
        <f>H112</f>
        <v>40</v>
      </c>
      <c r="I113" s="3">
        <f>I112</f>
        <v>80</v>
      </c>
      <c r="J113" s="3">
        <f>J112</f>
        <v>100</v>
      </c>
      <c r="K113" s="3">
        <f>K112</f>
        <v>30</v>
      </c>
      <c r="L113" s="3">
        <f>L112</f>
        <v>30</v>
      </c>
      <c r="M113" s="3">
        <f>M112</f>
        <v>20</v>
      </c>
      <c r="N113" s="3">
        <f>AVERAGE($I$2:$I$1168)</f>
        <v>78.907455012853475</v>
      </c>
      <c r="O113" s="3" t="str">
        <f>CONCATENATE(A113,"-",B113)</f>
        <v>74-Geodude</v>
      </c>
    </row>
    <row r="114" spans="1:15">
      <c r="A114" s="63">
        <v>75</v>
      </c>
      <c r="B114" s="2" t="s">
        <v>108</v>
      </c>
      <c r="C114" t="s">
        <v>107</v>
      </c>
      <c r="D114" s="22">
        <f>COUNTIF($C$2:$C$1168,Tabela1[[#This Row],[Type]])</f>
        <v>56</v>
      </c>
      <c r="E114" s="62" t="str">
        <f>IF(A114&lt;=151,"Kanto",IF(A114&lt;=251,"Johto",IF(A114&lt;=386,"Hoenn",IF(A114&lt;=493,"Sinnoh",IF(A114&lt;=649,"Unova",IF(A114&lt;=721,"Kalos",IF(A114&lt;=809,"Alola",IF(A114&lt;=905,"Galar","Paldea"))))))))</f>
        <v>Kanto</v>
      </c>
      <c r="F114" t="str">
        <f>IF(G114&gt;=600,"Lendário",IF(G114&gt;=500,"Forte","Normal"))</f>
        <v>Normal</v>
      </c>
      <c r="G114" s="3">
        <v>390</v>
      </c>
      <c r="H114" s="3">
        <v>55</v>
      </c>
      <c r="I114" s="3">
        <v>95</v>
      </c>
      <c r="J114" s="3">
        <v>115</v>
      </c>
      <c r="K114" s="3">
        <v>45</v>
      </c>
      <c r="L114" s="3">
        <v>45</v>
      </c>
      <c r="M114" s="3">
        <v>35</v>
      </c>
      <c r="N114" s="3">
        <f>AVERAGE($I$2:$I$1168)</f>
        <v>78.907455012853475</v>
      </c>
      <c r="O114" s="3" t="str">
        <f>CONCATENATE(A114,"-",B114)</f>
        <v>75-Graveler</v>
      </c>
    </row>
    <row r="115" spans="1:15">
      <c r="A115" s="63">
        <v>75</v>
      </c>
      <c r="B115" s="2" t="str">
        <f>B114</f>
        <v>Graveler</v>
      </c>
      <c r="C115" t="s">
        <v>55</v>
      </c>
      <c r="D115" s="22">
        <f>COUNTIF($C$2:$C$1168,Tabela1[[#This Row],[Type]])</f>
        <v>62</v>
      </c>
      <c r="E115" s="62" t="str">
        <f>IF(A115&lt;=151,"Kanto",IF(A115&lt;=251,"Johto",IF(A115&lt;=386,"Hoenn",IF(A115&lt;=493,"Sinnoh",IF(A115&lt;=649,"Unova",IF(A115&lt;=721,"Kalos",IF(A115&lt;=809,"Alola",IF(A115&lt;=905,"Galar","Paldea"))))))))</f>
        <v>Kanto</v>
      </c>
      <c r="F115" t="str">
        <f>IF(G115&gt;=600,"Lendário",IF(G115&gt;=500,"Forte","Normal"))</f>
        <v>Normal</v>
      </c>
      <c r="G115" s="3">
        <f>G114</f>
        <v>390</v>
      </c>
      <c r="H115" s="3">
        <f>H114</f>
        <v>55</v>
      </c>
      <c r="I115" s="3">
        <f>I114</f>
        <v>95</v>
      </c>
      <c r="J115" s="3">
        <f>J114</f>
        <v>115</v>
      </c>
      <c r="K115" s="3">
        <f>K114</f>
        <v>45</v>
      </c>
      <c r="L115" s="3">
        <f>L114</f>
        <v>45</v>
      </c>
      <c r="M115" s="3">
        <f>M114</f>
        <v>35</v>
      </c>
      <c r="N115" s="3">
        <f>AVERAGE($I$2:$I$1168)</f>
        <v>78.907455012853475</v>
      </c>
      <c r="O115" s="3" t="str">
        <f>CONCATENATE(A115,"-",B115)</f>
        <v>75-Graveler</v>
      </c>
    </row>
    <row r="116" spans="1:15">
      <c r="A116" s="63">
        <v>76</v>
      </c>
      <c r="B116" s="2" t="s">
        <v>109</v>
      </c>
      <c r="C116" t="s">
        <v>107</v>
      </c>
      <c r="D116" s="22">
        <f>COUNTIF($C$2:$C$1168,Tabela1[[#This Row],[Type]])</f>
        <v>56</v>
      </c>
      <c r="E116" s="62" t="str">
        <f>IF(A116&lt;=151,"Kanto",IF(A116&lt;=251,"Johto",IF(A116&lt;=386,"Hoenn",IF(A116&lt;=493,"Sinnoh",IF(A116&lt;=649,"Unova",IF(A116&lt;=721,"Kalos",IF(A116&lt;=809,"Alola",IF(A116&lt;=905,"Galar","Paldea"))))))))</f>
        <v>Kanto</v>
      </c>
      <c r="F116" t="str">
        <f>IF(G116&gt;=600,"Lendário",IF(G116&gt;=500,"Forte","Normal"))</f>
        <v>Normal</v>
      </c>
      <c r="G116" s="3">
        <v>485</v>
      </c>
      <c r="H116" s="3">
        <v>80</v>
      </c>
      <c r="I116" s="3">
        <v>110</v>
      </c>
      <c r="J116" s="3">
        <v>130</v>
      </c>
      <c r="K116" s="3">
        <v>55</v>
      </c>
      <c r="L116" s="3">
        <v>65</v>
      </c>
      <c r="M116" s="3">
        <v>45</v>
      </c>
      <c r="N116" s="3">
        <f>AVERAGE($I$2:$I$1168)</f>
        <v>78.907455012853475</v>
      </c>
      <c r="O116" s="3" t="str">
        <f>CONCATENATE(A116,"-",B116)</f>
        <v>76-Golem</v>
      </c>
    </row>
    <row r="117" spans="1:15">
      <c r="A117" s="63">
        <v>76</v>
      </c>
      <c r="B117" s="2" t="str">
        <f>B116</f>
        <v>Golem</v>
      </c>
      <c r="C117" t="s">
        <v>55</v>
      </c>
      <c r="D117" s="22">
        <f>COUNTIF($C$2:$C$1168,Tabela1[[#This Row],[Type]])</f>
        <v>62</v>
      </c>
      <c r="E117" s="62" t="str">
        <f>IF(A117&lt;=151,"Kanto",IF(A117&lt;=251,"Johto",IF(A117&lt;=386,"Hoenn",IF(A117&lt;=493,"Sinnoh",IF(A117&lt;=649,"Unova",IF(A117&lt;=721,"Kalos",IF(A117&lt;=809,"Alola",IF(A117&lt;=905,"Galar","Paldea"))))))))</f>
        <v>Kanto</v>
      </c>
      <c r="F117" t="str">
        <f>IF(G117&gt;=600,"Lendário",IF(G117&gt;=500,"Forte","Normal"))</f>
        <v>Normal</v>
      </c>
      <c r="G117" s="3">
        <f>G116</f>
        <v>485</v>
      </c>
      <c r="H117" s="3">
        <f>H116</f>
        <v>80</v>
      </c>
      <c r="I117" s="3">
        <f>I116</f>
        <v>110</v>
      </c>
      <c r="J117" s="3">
        <f>J116</f>
        <v>130</v>
      </c>
      <c r="K117" s="3">
        <f>K116</f>
        <v>55</v>
      </c>
      <c r="L117" s="3">
        <f>L116</f>
        <v>65</v>
      </c>
      <c r="M117" s="3">
        <f>M116</f>
        <v>45</v>
      </c>
      <c r="N117" s="3">
        <f>AVERAGE($I$2:$I$1168)</f>
        <v>78.907455012853475</v>
      </c>
      <c r="O117" s="3" t="str">
        <f>CONCATENATE(A117,"-",B117)</f>
        <v>76-Golem</v>
      </c>
    </row>
    <row r="118" spans="1:15">
      <c r="A118" s="63">
        <v>77</v>
      </c>
      <c r="B118" s="2" t="s">
        <v>110</v>
      </c>
      <c r="C118" t="s">
        <v>22</v>
      </c>
      <c r="D118" s="22">
        <f>COUNTIF($C$2:$C$1168,Tabela1[[#This Row],[Type]])</f>
        <v>62</v>
      </c>
      <c r="E118" s="62" t="str">
        <f>IF(A118&lt;=151,"Kanto",IF(A118&lt;=251,"Johto",IF(A118&lt;=386,"Hoenn",IF(A118&lt;=493,"Sinnoh",IF(A118&lt;=649,"Unova",IF(A118&lt;=721,"Kalos",IF(A118&lt;=809,"Alola",IF(A118&lt;=905,"Galar","Paldea"))))))))</f>
        <v>Kanto</v>
      </c>
      <c r="F118" t="str">
        <f>IF(G118&gt;=600,"Lendário",IF(G118&gt;=500,"Forte","Normal"))</f>
        <v>Normal</v>
      </c>
      <c r="G118" s="3">
        <v>410</v>
      </c>
      <c r="H118" s="3">
        <v>50</v>
      </c>
      <c r="I118" s="3">
        <v>85</v>
      </c>
      <c r="J118" s="3">
        <v>55</v>
      </c>
      <c r="K118" s="3">
        <v>65</v>
      </c>
      <c r="L118" s="3">
        <v>65</v>
      </c>
      <c r="M118" s="3">
        <v>90</v>
      </c>
      <c r="N118" s="3">
        <f>AVERAGE($I$2:$I$1168)</f>
        <v>78.907455012853475</v>
      </c>
      <c r="O118" s="3" t="str">
        <f>CONCATENATE(A118,"-",B118)</f>
        <v>77-Ponyta</v>
      </c>
    </row>
    <row r="119" spans="1:15">
      <c r="A119" s="63">
        <v>78</v>
      </c>
      <c r="B119" s="2" t="s">
        <v>111</v>
      </c>
      <c r="C119" t="s">
        <v>22</v>
      </c>
      <c r="D119" s="22">
        <f>COUNTIF($C$2:$C$1168,Tabela1[[#This Row],[Type]])</f>
        <v>62</v>
      </c>
      <c r="E119" s="62" t="str">
        <f>IF(A119&lt;=151,"Kanto",IF(A119&lt;=251,"Johto",IF(A119&lt;=386,"Hoenn",IF(A119&lt;=493,"Sinnoh",IF(A119&lt;=649,"Unova",IF(A119&lt;=721,"Kalos",IF(A119&lt;=809,"Alola",IF(A119&lt;=905,"Galar","Paldea"))))))))</f>
        <v>Kanto</v>
      </c>
      <c r="F119" t="str">
        <f>IF(G119&gt;=600,"Lendário",IF(G119&gt;=500,"Forte","Normal"))</f>
        <v>Forte</v>
      </c>
      <c r="G119" s="3">
        <v>500</v>
      </c>
      <c r="H119" s="3">
        <v>65</v>
      </c>
      <c r="I119" s="3">
        <v>100</v>
      </c>
      <c r="J119" s="3">
        <v>70</v>
      </c>
      <c r="K119" s="3">
        <v>80</v>
      </c>
      <c r="L119" s="3">
        <v>80</v>
      </c>
      <c r="M119" s="3">
        <v>105</v>
      </c>
      <c r="N119" s="3">
        <f>AVERAGE($I$2:$I$1168)</f>
        <v>78.907455012853475</v>
      </c>
      <c r="O119" s="3" t="str">
        <f>CONCATENATE(A119,"-",B119)</f>
        <v>78-Rapidash</v>
      </c>
    </row>
    <row r="120" spans="1:15">
      <c r="A120" s="63">
        <v>79</v>
      </c>
      <c r="B120" s="2" t="s">
        <v>112</v>
      </c>
      <c r="C120" t="s">
        <v>30</v>
      </c>
      <c r="D120" s="22">
        <f>COUNTIF($C$2:$C$1168,Tabela1[[#This Row],[Type]])</f>
        <v>121</v>
      </c>
      <c r="E120" s="62" t="str">
        <f>IF(A120&lt;=151,"Kanto",IF(A120&lt;=251,"Johto",IF(A120&lt;=386,"Hoenn",IF(A120&lt;=493,"Sinnoh",IF(A120&lt;=649,"Unova",IF(A120&lt;=721,"Kalos",IF(A120&lt;=809,"Alola",IF(A120&lt;=905,"Galar","Paldea"))))))))</f>
        <v>Kanto</v>
      </c>
      <c r="F120" t="str">
        <f>IF(G120&gt;=600,"Lendário",IF(G120&gt;=500,"Forte","Normal"))</f>
        <v>Normal</v>
      </c>
      <c r="G120" s="3">
        <v>315</v>
      </c>
      <c r="H120" s="3">
        <v>90</v>
      </c>
      <c r="I120" s="3">
        <v>65</v>
      </c>
      <c r="J120" s="3">
        <v>65</v>
      </c>
      <c r="K120" s="3">
        <v>40</v>
      </c>
      <c r="L120" s="3">
        <v>40</v>
      </c>
      <c r="M120" s="3">
        <v>15</v>
      </c>
      <c r="N120" s="3">
        <f>AVERAGE($I$2:$I$1168)</f>
        <v>78.907455012853475</v>
      </c>
      <c r="O120" s="3" t="str">
        <f>CONCATENATE(A120,"-",B120)</f>
        <v>79-Slowpoke</v>
      </c>
    </row>
    <row r="121" spans="1:15">
      <c r="A121" s="63">
        <v>79</v>
      </c>
      <c r="B121" s="2" t="str">
        <f>B120</f>
        <v>Slowpoke</v>
      </c>
      <c r="C121" t="s">
        <v>94</v>
      </c>
      <c r="D121" s="22">
        <f>COUNTIF($C$2:$C$1168,Tabela1[[#This Row],[Type]])</f>
        <v>83</v>
      </c>
      <c r="E121" s="62" t="str">
        <f>IF(A121&lt;=151,"Kanto",IF(A121&lt;=251,"Johto",IF(A121&lt;=386,"Hoenn",IF(A121&lt;=493,"Sinnoh",IF(A121&lt;=649,"Unova",IF(A121&lt;=721,"Kalos",IF(A121&lt;=809,"Alola",IF(A121&lt;=905,"Galar","Paldea"))))))))</f>
        <v>Kanto</v>
      </c>
      <c r="F121" t="str">
        <f>IF(G121&gt;=600,"Lendário",IF(G121&gt;=500,"Forte","Normal"))</f>
        <v>Normal</v>
      </c>
      <c r="G121" s="3">
        <f>G120</f>
        <v>315</v>
      </c>
      <c r="H121" s="3">
        <f>H120</f>
        <v>90</v>
      </c>
      <c r="I121" s="3">
        <f>I120</f>
        <v>65</v>
      </c>
      <c r="J121" s="3">
        <f>J120</f>
        <v>65</v>
      </c>
      <c r="K121" s="3">
        <f>K120</f>
        <v>40</v>
      </c>
      <c r="L121" s="3">
        <f>L120</f>
        <v>40</v>
      </c>
      <c r="M121" s="3">
        <f>M120</f>
        <v>15</v>
      </c>
      <c r="N121" s="3">
        <f>AVERAGE($I$2:$I$1168)</f>
        <v>78.907455012853475</v>
      </c>
      <c r="O121" s="3" t="str">
        <f>CONCATENATE(A121,"-",B121)</f>
        <v>79-Slowpoke</v>
      </c>
    </row>
    <row r="122" spans="1:15">
      <c r="A122" s="63">
        <v>80</v>
      </c>
      <c r="B122" s="2" t="s">
        <v>113</v>
      </c>
      <c r="C122" t="s">
        <v>30</v>
      </c>
      <c r="D122" s="22">
        <f>COUNTIF($C$2:$C$1168,Tabela1[[#This Row],[Type]])</f>
        <v>121</v>
      </c>
      <c r="E122" s="62" t="str">
        <f>IF(A122&lt;=151,"Kanto",IF(A122&lt;=251,"Johto",IF(A122&lt;=386,"Hoenn",IF(A122&lt;=493,"Sinnoh",IF(A122&lt;=649,"Unova",IF(A122&lt;=721,"Kalos",IF(A122&lt;=809,"Alola",IF(A122&lt;=905,"Galar","Paldea"))))))))</f>
        <v>Kanto</v>
      </c>
      <c r="F122" t="str">
        <f>IF(G122&gt;=600,"Lendário",IF(G122&gt;=500,"Forte","Normal"))</f>
        <v>Normal</v>
      </c>
      <c r="G122" s="3">
        <v>490</v>
      </c>
      <c r="H122" s="3">
        <v>95</v>
      </c>
      <c r="I122" s="3">
        <v>75</v>
      </c>
      <c r="J122" s="3">
        <v>110</v>
      </c>
      <c r="K122" s="3">
        <v>100</v>
      </c>
      <c r="L122" s="3">
        <v>80</v>
      </c>
      <c r="M122" s="3">
        <v>30</v>
      </c>
      <c r="N122" s="3">
        <f>AVERAGE($I$2:$I$1168)</f>
        <v>78.907455012853475</v>
      </c>
      <c r="O122" s="3" t="str">
        <f>CONCATENATE(A122,"-",B122)</f>
        <v>80-Slowbro</v>
      </c>
    </row>
    <row r="123" spans="1:15">
      <c r="A123" s="63">
        <v>80</v>
      </c>
      <c r="B123" s="2" t="str">
        <f>B122</f>
        <v>Slowbro</v>
      </c>
      <c r="C123" t="s">
        <v>94</v>
      </c>
      <c r="D123" s="22">
        <f>COUNTIF($C$2:$C$1168,Tabela1[[#This Row],[Type]])</f>
        <v>83</v>
      </c>
      <c r="E123" s="62" t="str">
        <f>IF(A123&lt;=151,"Kanto",IF(A123&lt;=251,"Johto",IF(A123&lt;=386,"Hoenn",IF(A123&lt;=493,"Sinnoh",IF(A123&lt;=649,"Unova",IF(A123&lt;=721,"Kalos",IF(A123&lt;=809,"Alola",IF(A123&lt;=905,"Galar","Paldea"))))))))</f>
        <v>Kanto</v>
      </c>
      <c r="F123" t="str">
        <f>IF(G123&gt;=600,"Lendário",IF(G123&gt;=500,"Forte","Normal"))</f>
        <v>Normal</v>
      </c>
      <c r="G123" s="3">
        <f>G122</f>
        <v>490</v>
      </c>
      <c r="H123" s="3">
        <f>H122</f>
        <v>95</v>
      </c>
      <c r="I123" s="3">
        <f>I122</f>
        <v>75</v>
      </c>
      <c r="J123" s="3">
        <f>J122</f>
        <v>110</v>
      </c>
      <c r="K123" s="3">
        <f>K122</f>
        <v>100</v>
      </c>
      <c r="L123" s="3">
        <f>L122</f>
        <v>80</v>
      </c>
      <c r="M123" s="3">
        <f>M122</f>
        <v>30</v>
      </c>
      <c r="N123" s="3">
        <f>AVERAGE($I$2:$I$1168)</f>
        <v>78.907455012853475</v>
      </c>
      <c r="O123" s="3" t="str">
        <f>CONCATENATE(A123,"-",B123)</f>
        <v>80-Slowbro</v>
      </c>
    </row>
    <row r="124" spans="1:15">
      <c r="A124" s="63">
        <v>81</v>
      </c>
      <c r="B124" s="2" t="s">
        <v>114</v>
      </c>
      <c r="C124" t="s">
        <v>52</v>
      </c>
      <c r="D124" s="22">
        <f>COUNTIF($C$2:$C$1168,Tabela1[[#This Row],[Type]])</f>
        <v>51</v>
      </c>
      <c r="E124" s="62" t="str">
        <f>IF(A124&lt;=151,"Kanto",IF(A124&lt;=251,"Johto",IF(A124&lt;=386,"Hoenn",IF(A124&lt;=493,"Sinnoh",IF(A124&lt;=649,"Unova",IF(A124&lt;=721,"Kalos",IF(A124&lt;=809,"Alola",IF(A124&lt;=905,"Galar","Paldea"))))))))</f>
        <v>Kanto</v>
      </c>
      <c r="F124" t="str">
        <f>IF(G124&gt;=600,"Lendário",IF(G124&gt;=500,"Forte","Normal"))</f>
        <v>Normal</v>
      </c>
      <c r="G124" s="3">
        <v>325</v>
      </c>
      <c r="H124" s="3">
        <v>25</v>
      </c>
      <c r="I124" s="3">
        <v>35</v>
      </c>
      <c r="J124" s="3">
        <v>70</v>
      </c>
      <c r="K124" s="3">
        <v>95</v>
      </c>
      <c r="L124" s="3">
        <v>55</v>
      </c>
      <c r="M124" s="3">
        <v>45</v>
      </c>
      <c r="N124" s="3">
        <f>AVERAGE($I$2:$I$1168)</f>
        <v>78.907455012853475</v>
      </c>
      <c r="O124" s="3" t="str">
        <f>CONCATENATE(A124,"-",B124)</f>
        <v>81-Magnemite</v>
      </c>
    </row>
    <row r="125" spans="1:15">
      <c r="A125" s="63">
        <v>81</v>
      </c>
      <c r="B125" s="2" t="str">
        <f>B124</f>
        <v>Magnemite</v>
      </c>
      <c r="C125" t="s">
        <v>115</v>
      </c>
      <c r="D125" s="22">
        <f>COUNTIF($C$2:$C$1168,Tabela1[[#This Row],[Type]])</f>
        <v>48</v>
      </c>
      <c r="E125" s="62" t="str">
        <f>IF(A125&lt;=151,"Kanto",IF(A125&lt;=251,"Johto",IF(A125&lt;=386,"Hoenn",IF(A125&lt;=493,"Sinnoh",IF(A125&lt;=649,"Unova",IF(A125&lt;=721,"Kalos",IF(A125&lt;=809,"Alola",IF(A125&lt;=905,"Galar","Paldea"))))))))</f>
        <v>Kanto</v>
      </c>
      <c r="F125" t="str">
        <f>IF(G125&gt;=600,"Lendário",IF(G125&gt;=500,"Forte","Normal"))</f>
        <v>Normal</v>
      </c>
      <c r="G125" s="3">
        <f>G124</f>
        <v>325</v>
      </c>
      <c r="H125" s="3">
        <f>H124</f>
        <v>25</v>
      </c>
      <c r="I125" s="3">
        <f>I124</f>
        <v>35</v>
      </c>
      <c r="J125" s="3">
        <f>J124</f>
        <v>70</v>
      </c>
      <c r="K125" s="3">
        <f>K124</f>
        <v>95</v>
      </c>
      <c r="L125" s="3">
        <f>L124</f>
        <v>55</v>
      </c>
      <c r="M125" s="3">
        <f>M124</f>
        <v>45</v>
      </c>
      <c r="N125" s="3">
        <f>AVERAGE($I$2:$I$1168)</f>
        <v>78.907455012853475</v>
      </c>
      <c r="O125" s="3" t="str">
        <f>CONCATENATE(A125,"-",B125)</f>
        <v>81-Magnemite</v>
      </c>
    </row>
    <row r="126" spans="1:15">
      <c r="A126" s="63">
        <v>82</v>
      </c>
      <c r="B126" s="2" t="s">
        <v>116</v>
      </c>
      <c r="C126" t="s">
        <v>52</v>
      </c>
      <c r="D126" s="22">
        <f>COUNTIF($C$2:$C$1168,Tabela1[[#This Row],[Type]])</f>
        <v>51</v>
      </c>
      <c r="E126" s="62" t="str">
        <f>IF(A126&lt;=151,"Kanto",IF(A126&lt;=251,"Johto",IF(A126&lt;=386,"Hoenn",IF(A126&lt;=493,"Sinnoh",IF(A126&lt;=649,"Unova",IF(A126&lt;=721,"Kalos",IF(A126&lt;=809,"Alola",IF(A126&lt;=905,"Galar","Paldea"))))))))</f>
        <v>Kanto</v>
      </c>
      <c r="F126" t="str">
        <f>IF(G126&gt;=600,"Lendário",IF(G126&gt;=500,"Forte","Normal"))</f>
        <v>Normal</v>
      </c>
      <c r="G126" s="3">
        <v>465</v>
      </c>
      <c r="H126" s="3">
        <v>50</v>
      </c>
      <c r="I126" s="3">
        <v>60</v>
      </c>
      <c r="J126" s="3">
        <v>95</v>
      </c>
      <c r="K126" s="3">
        <v>120</v>
      </c>
      <c r="L126" s="3">
        <v>70</v>
      </c>
      <c r="M126" s="3">
        <v>70</v>
      </c>
      <c r="N126" s="3">
        <f>AVERAGE($I$2:$I$1168)</f>
        <v>78.907455012853475</v>
      </c>
      <c r="O126" s="3" t="str">
        <f>CONCATENATE(A126,"-",B126)</f>
        <v>82-Magneton</v>
      </c>
    </row>
    <row r="127" spans="1:15">
      <c r="A127" s="63">
        <v>82</v>
      </c>
      <c r="B127" s="2" t="str">
        <f>B126</f>
        <v>Magneton</v>
      </c>
      <c r="C127" t="s">
        <v>115</v>
      </c>
      <c r="D127" s="22">
        <f>COUNTIF($C$2:$C$1168,Tabela1[[#This Row],[Type]])</f>
        <v>48</v>
      </c>
      <c r="E127" s="62" t="str">
        <f>IF(A127&lt;=151,"Kanto",IF(A127&lt;=251,"Johto",IF(A127&lt;=386,"Hoenn",IF(A127&lt;=493,"Sinnoh",IF(A127&lt;=649,"Unova",IF(A127&lt;=721,"Kalos",IF(A127&lt;=809,"Alola",IF(A127&lt;=905,"Galar","Paldea"))))))))</f>
        <v>Kanto</v>
      </c>
      <c r="F127" t="str">
        <f>IF(G127&gt;=600,"Lendário",IF(G127&gt;=500,"Forte","Normal"))</f>
        <v>Normal</v>
      </c>
      <c r="G127" s="3">
        <f>G126</f>
        <v>465</v>
      </c>
      <c r="H127" s="3">
        <f>H126</f>
        <v>50</v>
      </c>
      <c r="I127" s="3">
        <f>I126</f>
        <v>60</v>
      </c>
      <c r="J127" s="3">
        <f>J126</f>
        <v>95</v>
      </c>
      <c r="K127" s="3">
        <f>K126</f>
        <v>120</v>
      </c>
      <c r="L127" s="3">
        <f>L126</f>
        <v>70</v>
      </c>
      <c r="M127" s="3">
        <f>M126</f>
        <v>70</v>
      </c>
      <c r="N127" s="3">
        <f>AVERAGE($I$2:$I$1168)</f>
        <v>78.907455012853475</v>
      </c>
      <c r="O127" s="3" t="str">
        <f>CONCATENATE(A127,"-",B127)</f>
        <v>82-Magneton</v>
      </c>
    </row>
    <row r="128" spans="1:15">
      <c r="A128" s="63">
        <v>83</v>
      </c>
      <c r="B128" s="2" t="s">
        <v>117</v>
      </c>
      <c r="C128" t="s">
        <v>42</v>
      </c>
      <c r="D128" s="22">
        <f>COUNTIF($C$2:$C$1168,Tabela1[[#This Row],[Type]])</f>
        <v>99</v>
      </c>
      <c r="E128" s="62" t="str">
        <f>IF(A128&lt;=151,"Kanto",IF(A128&lt;=251,"Johto",IF(A128&lt;=386,"Hoenn",IF(A128&lt;=493,"Sinnoh",IF(A128&lt;=649,"Unova",IF(A128&lt;=721,"Kalos",IF(A128&lt;=809,"Alola",IF(A128&lt;=905,"Galar","Paldea"))))))))</f>
        <v>Kanto</v>
      </c>
      <c r="F128" t="str">
        <f>IF(G128&gt;=600,"Lendário",IF(G128&gt;=500,"Forte","Normal"))</f>
        <v>Normal</v>
      </c>
      <c r="G128" s="3">
        <v>352</v>
      </c>
      <c r="H128" s="3">
        <v>52</v>
      </c>
      <c r="I128" s="3">
        <v>65</v>
      </c>
      <c r="J128" s="3">
        <v>55</v>
      </c>
      <c r="K128" s="3">
        <v>58</v>
      </c>
      <c r="L128" s="3">
        <v>62</v>
      </c>
      <c r="M128" s="3">
        <v>60</v>
      </c>
      <c r="N128" s="3">
        <f>AVERAGE($I$2:$I$1168)</f>
        <v>78.907455012853475</v>
      </c>
      <c r="O128" s="3" t="str">
        <f>CONCATENATE(A128,"-",B128)</f>
        <v>83-Farfetch'd</v>
      </c>
    </row>
    <row r="129" spans="1:15">
      <c r="A129" s="63">
        <v>84</v>
      </c>
      <c r="B129" s="2" t="s">
        <v>118</v>
      </c>
      <c r="C129" t="s">
        <v>42</v>
      </c>
      <c r="D129" s="22">
        <f>COUNTIF($C$2:$C$1168,Tabela1[[#This Row],[Type]])</f>
        <v>99</v>
      </c>
      <c r="E129" s="62" t="str">
        <f>IF(A129&lt;=151,"Kanto",IF(A129&lt;=251,"Johto",IF(A129&lt;=386,"Hoenn",IF(A129&lt;=493,"Sinnoh",IF(A129&lt;=649,"Unova",IF(A129&lt;=721,"Kalos",IF(A129&lt;=809,"Alola",IF(A129&lt;=905,"Galar","Paldea"))))))))</f>
        <v>Kanto</v>
      </c>
      <c r="F129" t="str">
        <f>IF(G129&gt;=600,"Lendário",IF(G129&gt;=500,"Forte","Normal"))</f>
        <v>Normal</v>
      </c>
      <c r="G129" s="3">
        <v>310</v>
      </c>
      <c r="H129" s="3">
        <v>35</v>
      </c>
      <c r="I129" s="3">
        <v>85</v>
      </c>
      <c r="J129" s="3">
        <v>45</v>
      </c>
      <c r="K129" s="3">
        <v>35</v>
      </c>
      <c r="L129" s="3">
        <v>35</v>
      </c>
      <c r="M129" s="3">
        <v>75</v>
      </c>
      <c r="N129" s="3">
        <f>AVERAGE($I$2:$I$1168)</f>
        <v>78.907455012853475</v>
      </c>
      <c r="O129" s="3" t="str">
        <f>CONCATENATE(A129,"-",B129)</f>
        <v>84-Doduo</v>
      </c>
    </row>
    <row r="130" spans="1:15">
      <c r="A130" s="63">
        <v>84</v>
      </c>
      <c r="B130" s="2" t="str">
        <f>B129</f>
        <v>Doduo</v>
      </c>
      <c r="C130" t="s">
        <v>64</v>
      </c>
      <c r="D130" s="22">
        <f>COUNTIF($C$2:$C$1168,Tabela1[[#This Row],[Type]])</f>
        <v>34</v>
      </c>
      <c r="E130" s="62" t="str">
        <f>IF(A130&lt;=151,"Kanto",IF(A130&lt;=251,"Johto",IF(A130&lt;=386,"Hoenn",IF(A130&lt;=493,"Sinnoh",IF(A130&lt;=649,"Unova",IF(A130&lt;=721,"Kalos",IF(A130&lt;=809,"Alola",IF(A130&lt;=905,"Galar","Paldea"))))))))</f>
        <v>Kanto</v>
      </c>
      <c r="F130" t="str">
        <f>IF(G130&gt;=600,"Lendário",IF(G130&gt;=500,"Forte","Normal"))</f>
        <v>Normal</v>
      </c>
      <c r="G130" s="3">
        <f>G129</f>
        <v>310</v>
      </c>
      <c r="H130" s="3">
        <f>H129</f>
        <v>35</v>
      </c>
      <c r="I130" s="3">
        <f>I129</f>
        <v>85</v>
      </c>
      <c r="J130" s="3">
        <f>J129</f>
        <v>45</v>
      </c>
      <c r="K130" s="3">
        <f>K129</f>
        <v>35</v>
      </c>
      <c r="L130" s="3">
        <f>L129</f>
        <v>35</v>
      </c>
      <c r="M130" s="3">
        <f>M129</f>
        <v>75</v>
      </c>
      <c r="N130" s="3">
        <f>AVERAGE($I$2:$I$1168)</f>
        <v>78.907455012853475</v>
      </c>
      <c r="O130" s="3" t="str">
        <f>CONCATENATE(A130,"-",B130)</f>
        <v>84-Doduo</v>
      </c>
    </row>
    <row r="131" spans="1:15">
      <c r="A131" s="63">
        <v>84</v>
      </c>
      <c r="B131" s="2" t="str">
        <f>B130</f>
        <v>Doduo</v>
      </c>
      <c r="C131" t="s">
        <v>64</v>
      </c>
      <c r="D131" s="22">
        <f>COUNTIF($C$2:$C$1168,Tabela1[[#This Row],[Type]])</f>
        <v>34</v>
      </c>
      <c r="E131" s="62" t="str">
        <f>IF(A131&lt;=151,"Kanto",IF(A131&lt;=251,"Johto",IF(A131&lt;=386,"Hoenn",IF(A131&lt;=493,"Sinnoh",IF(A131&lt;=649,"Unova",IF(A131&lt;=721,"Kalos",IF(A131&lt;=809,"Alola",IF(A131&lt;=905,"Galar","Paldea"))))))))</f>
        <v>Kanto</v>
      </c>
      <c r="F131" t="str">
        <f>IF(G131&gt;=600,"Lendário",IF(G131&gt;=500,"Forte","Normal"))</f>
        <v>Normal</v>
      </c>
      <c r="G131" s="3">
        <f>G130</f>
        <v>310</v>
      </c>
      <c r="H131" s="3">
        <f>H130</f>
        <v>35</v>
      </c>
      <c r="I131" s="3">
        <f>I130</f>
        <v>85</v>
      </c>
      <c r="J131" s="3">
        <f>J130</f>
        <v>45</v>
      </c>
      <c r="K131" s="3">
        <f>K130</f>
        <v>35</v>
      </c>
      <c r="L131" s="3">
        <f>L130</f>
        <v>35</v>
      </c>
      <c r="M131" s="3">
        <f>M130</f>
        <v>75</v>
      </c>
      <c r="N131" s="3">
        <f>AVERAGE($I$2:$I$1168)</f>
        <v>78.907455012853475</v>
      </c>
      <c r="O131" s="3" t="str">
        <f>CONCATENATE(A131,"-",B131)</f>
        <v>84-Doduo</v>
      </c>
    </row>
    <row r="132" spans="1:15">
      <c r="A132" s="63">
        <v>85</v>
      </c>
      <c r="B132" s="2" t="s">
        <v>119</v>
      </c>
      <c r="C132" t="s">
        <v>42</v>
      </c>
      <c r="D132" s="22">
        <f>COUNTIF($C$2:$C$1168,Tabela1[[#This Row],[Type]])</f>
        <v>99</v>
      </c>
      <c r="E132" s="62" t="str">
        <f>IF(A132&lt;=151,"Kanto",IF(A132&lt;=251,"Johto",IF(A132&lt;=386,"Hoenn",IF(A132&lt;=493,"Sinnoh",IF(A132&lt;=649,"Unova",IF(A132&lt;=721,"Kalos",IF(A132&lt;=809,"Alola",IF(A132&lt;=905,"Galar","Paldea"))))))))</f>
        <v>Kanto</v>
      </c>
      <c r="F132" t="str">
        <f>IF(G132&gt;=600,"Lendário",IF(G132&gt;=500,"Forte","Normal"))</f>
        <v>Normal</v>
      </c>
      <c r="G132" s="3">
        <v>460</v>
      </c>
      <c r="H132" s="3">
        <v>60</v>
      </c>
      <c r="I132" s="3">
        <v>110</v>
      </c>
      <c r="J132" s="3">
        <v>70</v>
      </c>
      <c r="K132" s="3">
        <v>60</v>
      </c>
      <c r="L132" s="3">
        <v>60</v>
      </c>
      <c r="M132" s="3">
        <v>100</v>
      </c>
      <c r="N132" s="3">
        <f>AVERAGE($I$2:$I$1168)</f>
        <v>78.907455012853475</v>
      </c>
      <c r="O132" s="3" t="str">
        <f>CONCATENATE(A132,"-",B132)</f>
        <v>85-Dodrio</v>
      </c>
    </row>
    <row r="133" spans="1:15">
      <c r="A133" s="63">
        <v>85</v>
      </c>
      <c r="B133" s="2" t="str">
        <f>B132</f>
        <v>Dodrio</v>
      </c>
      <c r="C133" t="s">
        <v>25</v>
      </c>
      <c r="D133" s="22">
        <f>COUNTIF($C$2:$C$1168,Tabela1[[#This Row],[Type]])</f>
        <v>100</v>
      </c>
      <c r="E133" s="62" t="str">
        <f>IF(A133&lt;=151,"Kanto",IF(A133&lt;=251,"Johto",IF(A133&lt;=386,"Hoenn",IF(A133&lt;=493,"Sinnoh",IF(A133&lt;=649,"Unova",IF(A133&lt;=721,"Kalos",IF(A133&lt;=809,"Alola",IF(A133&lt;=905,"Galar","Paldea"))))))))</f>
        <v>Kanto</v>
      </c>
      <c r="F133" t="str">
        <f>IF(G133&gt;=600,"Lendário",IF(G133&gt;=500,"Forte","Normal"))</f>
        <v>Normal</v>
      </c>
      <c r="G133" s="3">
        <f>G132</f>
        <v>460</v>
      </c>
      <c r="H133" s="3">
        <f>H132</f>
        <v>60</v>
      </c>
      <c r="I133" s="3">
        <f>I132</f>
        <v>110</v>
      </c>
      <c r="J133" s="3">
        <f>J132</f>
        <v>70</v>
      </c>
      <c r="K133" s="3">
        <f>K132</f>
        <v>60</v>
      </c>
      <c r="L133" s="3">
        <f>L132</f>
        <v>60</v>
      </c>
      <c r="M133" s="3">
        <f>M132</f>
        <v>100</v>
      </c>
      <c r="N133" s="3">
        <f>AVERAGE($I$2:$I$1168)</f>
        <v>78.907455012853475</v>
      </c>
      <c r="O133" s="3" t="str">
        <f>CONCATENATE(A133,"-",B133)</f>
        <v>85-Dodrio</v>
      </c>
    </row>
    <row r="134" spans="1:15">
      <c r="A134" s="63">
        <v>86</v>
      </c>
      <c r="B134" s="2" t="s">
        <v>120</v>
      </c>
      <c r="C134" t="s">
        <v>30</v>
      </c>
      <c r="D134" s="22">
        <f>COUNTIF($C$2:$C$1168,Tabela1[[#This Row],[Type]])</f>
        <v>121</v>
      </c>
      <c r="E134" s="62" t="str">
        <f>IF(A134&lt;=151,"Kanto",IF(A134&lt;=251,"Johto",IF(A134&lt;=386,"Hoenn",IF(A134&lt;=493,"Sinnoh",IF(A134&lt;=649,"Unova",IF(A134&lt;=721,"Kalos",IF(A134&lt;=809,"Alola",IF(A134&lt;=905,"Galar","Paldea"))))))))</f>
        <v>Kanto</v>
      </c>
      <c r="F134" t="str">
        <f>IF(G134&gt;=600,"Lendário",IF(G134&gt;=500,"Forte","Normal"))</f>
        <v>Normal</v>
      </c>
      <c r="G134" s="3">
        <v>325</v>
      </c>
      <c r="H134" s="3">
        <v>65</v>
      </c>
      <c r="I134" s="3">
        <v>45</v>
      </c>
      <c r="J134" s="3">
        <v>55</v>
      </c>
      <c r="K134" s="3">
        <v>45</v>
      </c>
      <c r="L134" s="3">
        <v>70</v>
      </c>
      <c r="M134" s="3">
        <v>45</v>
      </c>
      <c r="N134" s="3">
        <f>AVERAGE($I$2:$I$1168)</f>
        <v>78.907455012853475</v>
      </c>
      <c r="O134" s="3" t="str">
        <f>CONCATENATE(A134,"-",B134)</f>
        <v>86-Seel</v>
      </c>
    </row>
    <row r="135" spans="1:15">
      <c r="A135" s="63">
        <v>87</v>
      </c>
      <c r="B135" s="2" t="s">
        <v>121</v>
      </c>
      <c r="C135" t="s">
        <v>30</v>
      </c>
      <c r="D135" s="22">
        <f>COUNTIF($C$2:$C$1168,Tabela1[[#This Row],[Type]])</f>
        <v>121</v>
      </c>
      <c r="E135" s="62" t="str">
        <f>IF(A135&lt;=151,"Kanto",IF(A135&lt;=251,"Johto",IF(A135&lt;=386,"Hoenn",IF(A135&lt;=493,"Sinnoh",IF(A135&lt;=649,"Unova",IF(A135&lt;=721,"Kalos",IF(A135&lt;=809,"Alola",IF(A135&lt;=905,"Galar","Paldea"))))))))</f>
        <v>Kanto</v>
      </c>
      <c r="F135" t="str">
        <f>IF(G135&gt;=600,"Lendário",IF(G135&gt;=500,"Forte","Normal"))</f>
        <v>Normal</v>
      </c>
      <c r="G135" s="3">
        <v>475</v>
      </c>
      <c r="H135" s="3">
        <v>90</v>
      </c>
      <c r="I135" s="3">
        <v>70</v>
      </c>
      <c r="J135" s="3">
        <v>80</v>
      </c>
      <c r="K135" s="3">
        <v>70</v>
      </c>
      <c r="L135" s="3">
        <v>95</v>
      </c>
      <c r="M135" s="3">
        <v>70</v>
      </c>
      <c r="N135" s="3">
        <f>AVERAGE($I$2:$I$1168)</f>
        <v>78.907455012853475</v>
      </c>
      <c r="O135" s="3" t="str">
        <f>CONCATENATE(A135,"-",B135)</f>
        <v>87-Dewgong</v>
      </c>
    </row>
    <row r="136" spans="1:15">
      <c r="A136" s="63">
        <v>87</v>
      </c>
      <c r="B136" s="2" t="str">
        <f>B135</f>
        <v>Dewgong</v>
      </c>
      <c r="C136" t="s">
        <v>122</v>
      </c>
      <c r="D136" s="22">
        <f>COUNTIF($C$2:$C$1168,Tabela1[[#This Row],[Type]])</f>
        <v>37</v>
      </c>
      <c r="E136" s="62" t="str">
        <f>IF(A136&lt;=151,"Kanto",IF(A136&lt;=251,"Johto",IF(A136&lt;=386,"Hoenn",IF(A136&lt;=493,"Sinnoh",IF(A136&lt;=649,"Unova",IF(A136&lt;=721,"Kalos",IF(A136&lt;=809,"Alola",IF(A136&lt;=905,"Galar","Paldea"))))))))</f>
        <v>Kanto</v>
      </c>
      <c r="F136" t="str">
        <f>IF(G136&gt;=600,"Lendário",IF(G136&gt;=500,"Forte","Normal"))</f>
        <v>Normal</v>
      </c>
      <c r="G136" s="3">
        <f>G135</f>
        <v>475</v>
      </c>
      <c r="H136" s="3">
        <f>H135</f>
        <v>90</v>
      </c>
      <c r="I136" s="3">
        <f>I135</f>
        <v>70</v>
      </c>
      <c r="J136" s="3">
        <f>J135</f>
        <v>80</v>
      </c>
      <c r="K136" s="3">
        <f>K135</f>
        <v>70</v>
      </c>
      <c r="L136" s="3">
        <f>L135</f>
        <v>95</v>
      </c>
      <c r="M136" s="3">
        <f>M135</f>
        <v>70</v>
      </c>
      <c r="N136" s="3">
        <f>AVERAGE($I$2:$I$1168)</f>
        <v>78.907455012853475</v>
      </c>
      <c r="O136" s="3" t="str">
        <f>CONCATENATE(A136,"-",B136)</f>
        <v>87-Dewgong</v>
      </c>
    </row>
    <row r="137" spans="1:15">
      <c r="A137" s="63">
        <v>88</v>
      </c>
      <c r="B137" s="2" t="s">
        <v>123</v>
      </c>
      <c r="C137" t="s">
        <v>17</v>
      </c>
      <c r="D137" s="22">
        <f>COUNTIF($C$2:$C$1168,Tabela1[[#This Row],[Type]])</f>
        <v>61</v>
      </c>
      <c r="E137" s="62" t="str">
        <f>IF(A137&lt;=151,"Kanto",IF(A137&lt;=251,"Johto",IF(A137&lt;=386,"Hoenn",IF(A137&lt;=493,"Sinnoh",IF(A137&lt;=649,"Unova",IF(A137&lt;=721,"Kalos",IF(A137&lt;=809,"Alola",IF(A137&lt;=905,"Galar","Paldea"))))))))</f>
        <v>Kanto</v>
      </c>
      <c r="F137" t="str">
        <f>IF(G137&gt;=600,"Lendário",IF(G137&gt;=500,"Forte","Normal"))</f>
        <v>Normal</v>
      </c>
      <c r="G137" s="3">
        <v>325</v>
      </c>
      <c r="H137" s="3">
        <v>80</v>
      </c>
      <c r="I137" s="3">
        <v>80</v>
      </c>
      <c r="J137" s="3">
        <v>50</v>
      </c>
      <c r="K137" s="3">
        <v>40</v>
      </c>
      <c r="L137" s="3">
        <v>50</v>
      </c>
      <c r="M137" s="3">
        <v>25</v>
      </c>
      <c r="N137" s="3">
        <f>AVERAGE($I$2:$I$1168)</f>
        <v>78.907455012853475</v>
      </c>
      <c r="O137" s="3" t="str">
        <f>CONCATENATE(A137,"-",B137)</f>
        <v>88-Grimer</v>
      </c>
    </row>
    <row r="138" spans="1:15">
      <c r="A138" s="63">
        <v>89</v>
      </c>
      <c r="B138" s="2" t="s">
        <v>124</v>
      </c>
      <c r="C138" t="s">
        <v>17</v>
      </c>
      <c r="D138" s="22">
        <f>COUNTIF($C$2:$C$1168,Tabela1[[#This Row],[Type]])</f>
        <v>61</v>
      </c>
      <c r="E138" s="62" t="str">
        <f>IF(A138&lt;=151,"Kanto",IF(A138&lt;=251,"Johto",IF(A138&lt;=386,"Hoenn",IF(A138&lt;=493,"Sinnoh",IF(A138&lt;=649,"Unova",IF(A138&lt;=721,"Kalos",IF(A138&lt;=809,"Alola",IF(A138&lt;=905,"Galar","Paldea"))))))))</f>
        <v>Kanto</v>
      </c>
      <c r="F138" t="str">
        <f>IF(G138&gt;=600,"Lendário",IF(G138&gt;=500,"Forte","Normal"))</f>
        <v>Forte</v>
      </c>
      <c r="G138" s="3">
        <v>500</v>
      </c>
      <c r="H138" s="3">
        <v>105</v>
      </c>
      <c r="I138" s="3">
        <v>105</v>
      </c>
      <c r="J138" s="3">
        <v>75</v>
      </c>
      <c r="K138" s="3">
        <v>65</v>
      </c>
      <c r="L138" s="3">
        <v>100</v>
      </c>
      <c r="M138" s="3">
        <v>50</v>
      </c>
      <c r="N138" s="3">
        <f>AVERAGE($I$2:$I$1168)</f>
        <v>78.907455012853475</v>
      </c>
      <c r="O138" s="3" t="str">
        <f>CONCATENATE(A138,"-",B138)</f>
        <v>89-Muk</v>
      </c>
    </row>
    <row r="139" spans="1:15">
      <c r="A139" s="63">
        <v>90</v>
      </c>
      <c r="B139" s="2" t="s">
        <v>125</v>
      </c>
      <c r="C139" t="s">
        <v>30</v>
      </c>
      <c r="D139" s="22">
        <f>COUNTIF($C$2:$C$1168,Tabela1[[#This Row],[Type]])</f>
        <v>121</v>
      </c>
      <c r="E139" s="62" t="str">
        <f>IF(A139&lt;=151,"Kanto",IF(A139&lt;=251,"Johto",IF(A139&lt;=386,"Hoenn",IF(A139&lt;=493,"Sinnoh",IF(A139&lt;=649,"Unova",IF(A139&lt;=721,"Kalos",IF(A139&lt;=809,"Alola",IF(A139&lt;=905,"Galar","Paldea"))))))))</f>
        <v>Kanto</v>
      </c>
      <c r="F139" t="str">
        <f>IF(G139&gt;=600,"Lendário",IF(G139&gt;=500,"Forte","Normal"))</f>
        <v>Normal</v>
      </c>
      <c r="G139" s="3">
        <v>305</v>
      </c>
      <c r="H139" s="3">
        <v>30</v>
      </c>
      <c r="I139" s="3">
        <v>65</v>
      </c>
      <c r="J139" s="3">
        <v>100</v>
      </c>
      <c r="K139" s="3">
        <v>45</v>
      </c>
      <c r="L139" s="3">
        <v>25</v>
      </c>
      <c r="M139" s="3">
        <v>40</v>
      </c>
      <c r="N139" s="3">
        <f>AVERAGE($I$2:$I$1168)</f>
        <v>78.907455012853475</v>
      </c>
      <c r="O139" s="3" t="str">
        <f>CONCATENATE(A139,"-",B139)</f>
        <v>90-Shellder</v>
      </c>
    </row>
    <row r="140" spans="1:15">
      <c r="A140" s="63">
        <v>91</v>
      </c>
      <c r="B140" s="2" t="s">
        <v>126</v>
      </c>
      <c r="C140" t="s">
        <v>30</v>
      </c>
      <c r="D140" s="22">
        <f>COUNTIF($C$2:$C$1168,Tabela1[[#This Row],[Type]])</f>
        <v>121</v>
      </c>
      <c r="E140" s="62" t="str">
        <f>IF(A140&lt;=151,"Kanto",IF(A140&lt;=251,"Johto",IF(A140&lt;=386,"Hoenn",IF(A140&lt;=493,"Sinnoh",IF(A140&lt;=649,"Unova",IF(A140&lt;=721,"Kalos",IF(A140&lt;=809,"Alola",IF(A140&lt;=905,"Galar","Paldea"))))))))</f>
        <v>Kanto</v>
      </c>
      <c r="F140" t="str">
        <f>IF(G140&gt;=600,"Lendário",IF(G140&gt;=500,"Forte","Normal"))</f>
        <v>Forte</v>
      </c>
      <c r="G140" s="3">
        <v>525</v>
      </c>
      <c r="H140" s="3">
        <v>50</v>
      </c>
      <c r="I140" s="3">
        <v>95</v>
      </c>
      <c r="J140" s="3">
        <v>180</v>
      </c>
      <c r="K140" s="3">
        <v>85</v>
      </c>
      <c r="L140" s="3">
        <v>45</v>
      </c>
      <c r="M140" s="3">
        <v>70</v>
      </c>
      <c r="N140" s="3">
        <f>AVERAGE($I$2:$I$1168)</f>
        <v>78.907455012853475</v>
      </c>
      <c r="O140" s="3" t="str">
        <f>CONCATENATE(A140,"-",B140)</f>
        <v>91-Cloyster</v>
      </c>
    </row>
    <row r="141" spans="1:15">
      <c r="A141" s="63">
        <v>91</v>
      </c>
      <c r="B141" s="2" t="str">
        <f>B140</f>
        <v>Cloyster</v>
      </c>
      <c r="C141" t="s">
        <v>122</v>
      </c>
      <c r="D141" s="22">
        <f>COUNTIF($C$2:$C$1168,Tabela1[[#This Row],[Type]])</f>
        <v>37</v>
      </c>
      <c r="E141" s="62" t="str">
        <f>IF(A141&lt;=151,"Kanto",IF(A141&lt;=251,"Johto",IF(A141&lt;=386,"Hoenn",IF(A141&lt;=493,"Sinnoh",IF(A141&lt;=649,"Unova",IF(A141&lt;=721,"Kalos",IF(A141&lt;=809,"Alola",IF(A141&lt;=905,"Galar","Paldea"))))))))</f>
        <v>Kanto</v>
      </c>
      <c r="F141" t="str">
        <f>IF(G141&gt;=600,"Lendário",IF(G141&gt;=500,"Forte","Normal"))</f>
        <v>Forte</v>
      </c>
      <c r="G141" s="3">
        <f>G140</f>
        <v>525</v>
      </c>
      <c r="H141" s="3">
        <f>H140</f>
        <v>50</v>
      </c>
      <c r="I141" s="3">
        <f>I140</f>
        <v>95</v>
      </c>
      <c r="J141" s="3">
        <f>J140</f>
        <v>180</v>
      </c>
      <c r="K141" s="3">
        <f>K140</f>
        <v>85</v>
      </c>
      <c r="L141" s="3">
        <f>L140</f>
        <v>45</v>
      </c>
      <c r="M141" s="3">
        <f>M140</f>
        <v>70</v>
      </c>
      <c r="N141" s="3">
        <f>AVERAGE($I$2:$I$1168)</f>
        <v>78.907455012853475</v>
      </c>
      <c r="O141" s="3" t="str">
        <f>CONCATENATE(A141,"-",B141)</f>
        <v>91-Cloyster</v>
      </c>
    </row>
    <row r="142" spans="1:15">
      <c r="A142" s="63">
        <v>92</v>
      </c>
      <c r="B142" s="2" t="s">
        <v>127</v>
      </c>
      <c r="C142" t="s">
        <v>128</v>
      </c>
      <c r="D142" s="22">
        <f>COUNTIF($C$2:$C$1168,Tabela1[[#This Row],[Type]])</f>
        <v>45</v>
      </c>
      <c r="E142" s="62" t="str">
        <f>IF(A142&lt;=151,"Kanto",IF(A142&lt;=251,"Johto",IF(A142&lt;=386,"Hoenn",IF(A142&lt;=493,"Sinnoh",IF(A142&lt;=649,"Unova",IF(A142&lt;=721,"Kalos",IF(A142&lt;=809,"Alola",IF(A142&lt;=905,"Galar","Paldea"))))))))</f>
        <v>Kanto</v>
      </c>
      <c r="F142" t="str">
        <f>IF(G142&gt;=600,"Lendário",IF(G142&gt;=500,"Forte","Normal"))</f>
        <v>Normal</v>
      </c>
      <c r="G142" s="3">
        <v>310</v>
      </c>
      <c r="H142" s="3">
        <v>30</v>
      </c>
      <c r="I142" s="3">
        <v>35</v>
      </c>
      <c r="J142" s="3">
        <v>30</v>
      </c>
      <c r="K142" s="3">
        <v>100</v>
      </c>
      <c r="L142" s="3">
        <v>35</v>
      </c>
      <c r="M142" s="3">
        <v>80</v>
      </c>
      <c r="N142" s="3">
        <f>AVERAGE($I$2:$I$1168)</f>
        <v>78.907455012853475</v>
      </c>
      <c r="O142" s="3" t="str">
        <f>CONCATENATE(A142,"-",B142)</f>
        <v>92-Gastly</v>
      </c>
    </row>
    <row r="143" spans="1:15">
      <c r="A143" s="63">
        <v>92</v>
      </c>
      <c r="B143" s="2" t="str">
        <f>B142</f>
        <v>Gastly</v>
      </c>
      <c r="C143" t="s">
        <v>17</v>
      </c>
      <c r="D143" s="22">
        <f>COUNTIF($C$2:$C$1168,Tabela1[[#This Row],[Type]])</f>
        <v>61</v>
      </c>
      <c r="E143" s="62" t="str">
        <f>IF(A143&lt;=151,"Kanto",IF(A143&lt;=251,"Johto",IF(A143&lt;=386,"Hoenn",IF(A143&lt;=493,"Sinnoh",IF(A143&lt;=649,"Unova",IF(A143&lt;=721,"Kalos",IF(A143&lt;=809,"Alola",IF(A143&lt;=905,"Galar","Paldea"))))))))</f>
        <v>Kanto</v>
      </c>
      <c r="F143" t="str">
        <f>IF(G143&gt;=600,"Lendário",IF(G143&gt;=500,"Forte","Normal"))</f>
        <v>Normal</v>
      </c>
      <c r="G143" s="3">
        <f>G142</f>
        <v>310</v>
      </c>
      <c r="H143" s="3">
        <f>H142</f>
        <v>30</v>
      </c>
      <c r="I143" s="3">
        <f>I142</f>
        <v>35</v>
      </c>
      <c r="J143" s="3">
        <f>J142</f>
        <v>30</v>
      </c>
      <c r="K143" s="3">
        <f>K142</f>
        <v>100</v>
      </c>
      <c r="L143" s="3">
        <f>L142</f>
        <v>35</v>
      </c>
      <c r="M143" s="3">
        <f>M142</f>
        <v>80</v>
      </c>
      <c r="N143" s="3">
        <f>AVERAGE($I$2:$I$1168)</f>
        <v>78.907455012853475</v>
      </c>
      <c r="O143" s="3" t="str">
        <f>CONCATENATE(A143,"-",B143)</f>
        <v>92-Gastly</v>
      </c>
    </row>
    <row r="144" spans="1:15">
      <c r="A144" s="63">
        <v>93</v>
      </c>
      <c r="B144" s="2" t="s">
        <v>129</v>
      </c>
      <c r="C144" t="s">
        <v>128</v>
      </c>
      <c r="D144" s="22">
        <f>COUNTIF($C$2:$C$1168,Tabela1[[#This Row],[Type]])</f>
        <v>45</v>
      </c>
      <c r="E144" s="62" t="str">
        <f>IF(A144&lt;=151,"Kanto",IF(A144&lt;=251,"Johto",IF(A144&lt;=386,"Hoenn",IF(A144&lt;=493,"Sinnoh",IF(A144&lt;=649,"Unova",IF(A144&lt;=721,"Kalos",IF(A144&lt;=809,"Alola",IF(A144&lt;=905,"Galar","Paldea"))))))))</f>
        <v>Kanto</v>
      </c>
      <c r="F144" t="str">
        <f>IF(G144&gt;=600,"Lendário",IF(G144&gt;=500,"Forte","Normal"))</f>
        <v>Normal</v>
      </c>
      <c r="G144" s="3">
        <v>405</v>
      </c>
      <c r="H144" s="3">
        <v>45</v>
      </c>
      <c r="I144" s="3">
        <v>50</v>
      </c>
      <c r="J144" s="3">
        <v>45</v>
      </c>
      <c r="K144" s="3">
        <v>115</v>
      </c>
      <c r="L144" s="3">
        <v>55</v>
      </c>
      <c r="M144" s="3">
        <v>95</v>
      </c>
      <c r="N144" s="3">
        <f>AVERAGE($I$2:$I$1168)</f>
        <v>78.907455012853475</v>
      </c>
      <c r="O144" s="3" t="str">
        <f>CONCATENATE(A144,"-",B144)</f>
        <v>93-Haunter</v>
      </c>
    </row>
    <row r="145" spans="1:15">
      <c r="A145" s="63">
        <v>93</v>
      </c>
      <c r="B145" s="2" t="str">
        <f>B144</f>
        <v>Haunter</v>
      </c>
      <c r="C145" t="s">
        <v>17</v>
      </c>
      <c r="D145" s="22">
        <f>COUNTIF($C$2:$C$1168,Tabela1[[#This Row],[Type]])</f>
        <v>61</v>
      </c>
      <c r="E145" s="62" t="str">
        <f>IF(A145&lt;=151,"Kanto",IF(A145&lt;=251,"Johto",IF(A145&lt;=386,"Hoenn",IF(A145&lt;=493,"Sinnoh",IF(A145&lt;=649,"Unova",IF(A145&lt;=721,"Kalos",IF(A145&lt;=809,"Alola",IF(A145&lt;=905,"Galar","Paldea"))))))))</f>
        <v>Kanto</v>
      </c>
      <c r="F145" t="str">
        <f>IF(G145&gt;=600,"Lendário",IF(G145&gt;=500,"Forte","Normal"))</f>
        <v>Normal</v>
      </c>
      <c r="G145" s="3">
        <f>G144</f>
        <v>405</v>
      </c>
      <c r="H145" s="3">
        <f>H144</f>
        <v>45</v>
      </c>
      <c r="I145" s="3">
        <f>I144</f>
        <v>50</v>
      </c>
      <c r="J145" s="3">
        <f>J144</f>
        <v>45</v>
      </c>
      <c r="K145" s="3">
        <f>K144</f>
        <v>115</v>
      </c>
      <c r="L145" s="3">
        <f>L144</f>
        <v>55</v>
      </c>
      <c r="M145" s="3">
        <f>M144</f>
        <v>95</v>
      </c>
      <c r="N145" s="3">
        <f>AVERAGE($I$2:$I$1168)</f>
        <v>78.907455012853475</v>
      </c>
      <c r="O145" s="3" t="str">
        <f>CONCATENATE(A145,"-",B145)</f>
        <v>93-Haunter</v>
      </c>
    </row>
    <row r="146" spans="1:15">
      <c r="A146" s="63">
        <v>94</v>
      </c>
      <c r="B146" s="2" t="s">
        <v>130</v>
      </c>
      <c r="C146" t="s">
        <v>128</v>
      </c>
      <c r="D146" s="22">
        <f>COUNTIF($C$2:$C$1168,Tabela1[[#This Row],[Type]])</f>
        <v>45</v>
      </c>
      <c r="E146" s="62" t="str">
        <f>IF(A146&lt;=151,"Kanto",IF(A146&lt;=251,"Johto",IF(A146&lt;=386,"Hoenn",IF(A146&lt;=493,"Sinnoh",IF(A146&lt;=649,"Unova",IF(A146&lt;=721,"Kalos",IF(A146&lt;=809,"Alola",IF(A146&lt;=905,"Galar","Paldea"))))))))</f>
        <v>Kanto</v>
      </c>
      <c r="F146" t="str">
        <f>IF(G146&gt;=600,"Lendário",IF(G146&gt;=500,"Forte","Normal"))</f>
        <v>Forte</v>
      </c>
      <c r="G146" s="3">
        <v>500</v>
      </c>
      <c r="H146" s="3">
        <v>60</v>
      </c>
      <c r="I146" s="3">
        <v>65</v>
      </c>
      <c r="J146" s="3">
        <v>60</v>
      </c>
      <c r="K146" s="3">
        <v>130</v>
      </c>
      <c r="L146" s="3">
        <v>75</v>
      </c>
      <c r="M146" s="3">
        <v>110</v>
      </c>
      <c r="N146" s="3">
        <f>AVERAGE($I$2:$I$1168)</f>
        <v>78.907455012853475</v>
      </c>
      <c r="O146" s="3" t="str">
        <f>CONCATENATE(A146,"-",B146)</f>
        <v>94-Gengar</v>
      </c>
    </row>
    <row r="147" spans="1:15">
      <c r="A147" s="63">
        <v>94</v>
      </c>
      <c r="B147" s="2" t="str">
        <f>B146</f>
        <v>Gengar</v>
      </c>
      <c r="C147" t="s">
        <v>17</v>
      </c>
      <c r="D147" s="22">
        <f>COUNTIF($C$2:$C$1168,Tabela1[[#This Row],[Type]])</f>
        <v>61</v>
      </c>
      <c r="E147" s="62" t="str">
        <f>IF(A147&lt;=151,"Kanto",IF(A147&lt;=251,"Johto",IF(A147&lt;=386,"Hoenn",IF(A147&lt;=493,"Sinnoh",IF(A147&lt;=649,"Unova",IF(A147&lt;=721,"Kalos",IF(A147&lt;=809,"Alola",IF(A147&lt;=905,"Galar","Paldea"))))))))</f>
        <v>Kanto</v>
      </c>
      <c r="F147" t="str">
        <f>IF(G147&gt;=600,"Lendário",IF(G147&gt;=500,"Forte","Normal"))</f>
        <v>Forte</v>
      </c>
      <c r="G147" s="3">
        <f>G146</f>
        <v>500</v>
      </c>
      <c r="H147" s="3">
        <f>H146</f>
        <v>60</v>
      </c>
      <c r="I147" s="3">
        <f>I146</f>
        <v>65</v>
      </c>
      <c r="J147" s="3">
        <f>J146</f>
        <v>60</v>
      </c>
      <c r="K147" s="3">
        <f>K146</f>
        <v>130</v>
      </c>
      <c r="L147" s="3">
        <f>L146</f>
        <v>75</v>
      </c>
      <c r="M147" s="3">
        <f>M146</f>
        <v>110</v>
      </c>
      <c r="N147" s="3">
        <f>AVERAGE($I$2:$I$1168)</f>
        <v>78.907455012853475</v>
      </c>
      <c r="O147" s="3" t="str">
        <f>CONCATENATE(A147,"-",B147)</f>
        <v>94-Gengar</v>
      </c>
    </row>
    <row r="148" spans="1:15">
      <c r="A148" s="63">
        <v>94.1</v>
      </c>
      <c r="B148" s="2" t="s">
        <v>131</v>
      </c>
      <c r="C148" t="s">
        <v>128</v>
      </c>
      <c r="D148" s="22">
        <f>COUNTIF($C$2:$C$1168,Tabela1[[#This Row],[Type]])</f>
        <v>45</v>
      </c>
      <c r="E148" s="62" t="str">
        <f>IF(A148&lt;=151,"Kanto",IF(A148&lt;=251,"Johto",IF(A148&lt;=386,"Hoenn",IF(A148&lt;=493,"Sinnoh",IF(A148&lt;=649,"Unova",IF(A148&lt;=721,"Kalos",IF(A148&lt;=809,"Alola",IF(A148&lt;=905,"Galar","Paldea"))))))))</f>
        <v>Kanto</v>
      </c>
      <c r="F148" t="str">
        <f>IF(G148&gt;=600,"Lendário",IF(G148&gt;=500,"Forte","Normal"))</f>
        <v>Lendário</v>
      </c>
      <c r="G148" s="3">
        <v>600</v>
      </c>
      <c r="H148" s="3">
        <v>60</v>
      </c>
      <c r="I148" s="3">
        <v>65</v>
      </c>
      <c r="J148" s="3">
        <v>80</v>
      </c>
      <c r="K148" s="3">
        <v>170</v>
      </c>
      <c r="L148" s="3">
        <v>95</v>
      </c>
      <c r="M148" s="3">
        <v>130</v>
      </c>
      <c r="N148" s="3">
        <f>AVERAGE($I$2:$I$1168)</f>
        <v>78.907455012853475</v>
      </c>
      <c r="O148" s="3" t="str">
        <f>CONCATENATE(A148,"-",B148)</f>
        <v>94,1-Mega Gengar</v>
      </c>
    </row>
    <row r="149" spans="1:15">
      <c r="A149" s="63">
        <v>94.1</v>
      </c>
      <c r="B149" s="2" t="s">
        <v>131</v>
      </c>
      <c r="C149" t="s">
        <v>17</v>
      </c>
      <c r="D149" s="22">
        <f>COUNTIF($C$2:$C$1168,Tabela1[[#This Row],[Type]])</f>
        <v>61</v>
      </c>
      <c r="E149" s="62" t="str">
        <f>IF(A149&lt;=151,"Kanto",IF(A149&lt;=251,"Johto",IF(A149&lt;=386,"Hoenn",IF(A149&lt;=493,"Sinnoh",IF(A149&lt;=649,"Unova",IF(A149&lt;=721,"Kalos",IF(A149&lt;=809,"Alola",IF(A149&lt;=905,"Galar","Paldea"))))))))</f>
        <v>Kanto</v>
      </c>
      <c r="F149" t="str">
        <f>IF(G149&gt;=600,"Lendário",IF(G149&gt;=500,"Forte","Normal"))</f>
        <v>Lendário</v>
      </c>
      <c r="G149" s="3">
        <f>G148</f>
        <v>600</v>
      </c>
      <c r="H149" s="3">
        <f>H148</f>
        <v>60</v>
      </c>
      <c r="I149" s="3">
        <f>I148</f>
        <v>65</v>
      </c>
      <c r="J149" s="3">
        <f>J148</f>
        <v>80</v>
      </c>
      <c r="K149" s="3">
        <f>K148</f>
        <v>170</v>
      </c>
      <c r="L149" s="3">
        <f>L148</f>
        <v>95</v>
      </c>
      <c r="M149" s="3">
        <f>M148</f>
        <v>130</v>
      </c>
      <c r="N149" s="3">
        <f>AVERAGE($I$2:$I$1168)</f>
        <v>78.907455012853475</v>
      </c>
      <c r="O149" s="3" t="str">
        <f>CONCATENATE(A149,"-",B149)</f>
        <v>94,1-Mega Gengar</v>
      </c>
    </row>
    <row r="150" spans="1:15">
      <c r="A150" s="63">
        <v>95</v>
      </c>
      <c r="B150" s="2" t="s">
        <v>132</v>
      </c>
      <c r="C150" t="s">
        <v>107</v>
      </c>
      <c r="D150" s="22">
        <f>COUNTIF($C$2:$C$1168,Tabela1[[#This Row],[Type]])</f>
        <v>56</v>
      </c>
      <c r="E150" s="62" t="str">
        <f>IF(A150&lt;=151,"Kanto",IF(A150&lt;=251,"Johto",IF(A150&lt;=386,"Hoenn",IF(A150&lt;=493,"Sinnoh",IF(A150&lt;=649,"Unova",IF(A150&lt;=721,"Kalos",IF(A150&lt;=809,"Alola",IF(A150&lt;=905,"Galar","Paldea"))))))))</f>
        <v>Kanto</v>
      </c>
      <c r="F150" t="str">
        <f>IF(G150&gt;=600,"Lendário",IF(G150&gt;=500,"Forte","Normal"))</f>
        <v>Normal</v>
      </c>
      <c r="G150" s="3">
        <v>385</v>
      </c>
      <c r="H150" s="3">
        <v>35</v>
      </c>
      <c r="I150" s="3">
        <v>45</v>
      </c>
      <c r="J150" s="3">
        <v>160</v>
      </c>
      <c r="K150" s="3">
        <v>30</v>
      </c>
      <c r="L150" s="3">
        <v>45</v>
      </c>
      <c r="M150" s="3">
        <v>70</v>
      </c>
      <c r="N150" s="3">
        <f>AVERAGE($I$2:$I$1168)</f>
        <v>78.907455012853475</v>
      </c>
      <c r="O150" s="3" t="str">
        <f>CONCATENATE(A150,"-",B150)</f>
        <v>95-Onix</v>
      </c>
    </row>
    <row r="151" spans="1:15">
      <c r="A151" s="63">
        <v>95</v>
      </c>
      <c r="B151" s="2" t="str">
        <f>B150</f>
        <v>Onix</v>
      </c>
      <c r="C151" t="s">
        <v>55</v>
      </c>
      <c r="D151" s="22">
        <f>COUNTIF($C$2:$C$1168,Tabela1[[#This Row],[Type]])</f>
        <v>62</v>
      </c>
      <c r="E151" s="62" t="str">
        <f>IF(A151&lt;=151,"Kanto",IF(A151&lt;=251,"Johto",IF(A151&lt;=386,"Hoenn",IF(A151&lt;=493,"Sinnoh",IF(A151&lt;=649,"Unova",IF(A151&lt;=721,"Kalos",IF(A151&lt;=809,"Alola",IF(A151&lt;=905,"Galar","Paldea"))))))))</f>
        <v>Kanto</v>
      </c>
      <c r="F151" t="str">
        <f>IF(G151&gt;=600,"Lendário",IF(G151&gt;=500,"Forte","Normal"))</f>
        <v>Normal</v>
      </c>
      <c r="G151" s="3">
        <f>G150</f>
        <v>385</v>
      </c>
      <c r="H151" s="3">
        <f>H150</f>
        <v>35</v>
      </c>
      <c r="I151" s="3">
        <f>I150</f>
        <v>45</v>
      </c>
      <c r="J151" s="3">
        <f>J150</f>
        <v>160</v>
      </c>
      <c r="K151" s="3">
        <f>K150</f>
        <v>30</v>
      </c>
      <c r="L151" s="3">
        <f>L150</f>
        <v>45</v>
      </c>
      <c r="M151" s="3">
        <f>M150</f>
        <v>70</v>
      </c>
      <c r="N151" s="3">
        <f>AVERAGE($I$2:$I$1168)</f>
        <v>78.907455012853475</v>
      </c>
      <c r="O151" s="3" t="str">
        <f>CONCATENATE(A151,"-",B151)</f>
        <v>95-Onix</v>
      </c>
    </row>
    <row r="152" spans="1:15">
      <c r="A152" s="63">
        <v>96</v>
      </c>
      <c r="B152" s="2" t="s">
        <v>133</v>
      </c>
      <c r="C152" t="s">
        <v>94</v>
      </c>
      <c r="D152" s="22">
        <f>COUNTIF($C$2:$C$1168,Tabela1[[#This Row],[Type]])</f>
        <v>83</v>
      </c>
      <c r="E152" s="62" t="str">
        <f>IF(A152&lt;=151,"Kanto",IF(A152&lt;=251,"Johto",IF(A152&lt;=386,"Hoenn",IF(A152&lt;=493,"Sinnoh",IF(A152&lt;=649,"Unova",IF(A152&lt;=721,"Kalos",IF(A152&lt;=809,"Alola",IF(A152&lt;=905,"Galar","Paldea"))))))))</f>
        <v>Kanto</v>
      </c>
      <c r="F152" t="str">
        <f>IF(G152&gt;=600,"Lendário",IF(G152&gt;=500,"Forte","Normal"))</f>
        <v>Normal</v>
      </c>
      <c r="G152" s="3">
        <v>328</v>
      </c>
      <c r="H152" s="3">
        <v>60</v>
      </c>
      <c r="I152" s="3">
        <v>48</v>
      </c>
      <c r="J152" s="3">
        <v>45</v>
      </c>
      <c r="K152" s="3">
        <v>43</v>
      </c>
      <c r="L152" s="3">
        <v>90</v>
      </c>
      <c r="M152" s="3">
        <v>42</v>
      </c>
      <c r="N152" s="3">
        <f>AVERAGE($I$2:$I$1168)</f>
        <v>78.907455012853475</v>
      </c>
      <c r="O152" s="3" t="str">
        <f>CONCATENATE(A152,"-",B152)</f>
        <v>96-Drowzee</v>
      </c>
    </row>
    <row r="153" spans="1:15">
      <c r="A153" s="63">
        <v>97</v>
      </c>
      <c r="B153" s="2" t="s">
        <v>134</v>
      </c>
      <c r="C153" t="s">
        <v>94</v>
      </c>
      <c r="D153" s="22">
        <f>COUNTIF($C$2:$C$1168,Tabela1[[#This Row],[Type]])</f>
        <v>83</v>
      </c>
      <c r="E153" s="62" t="str">
        <f>IF(A153&lt;=151,"Kanto",IF(A153&lt;=251,"Johto",IF(A153&lt;=386,"Hoenn",IF(A153&lt;=493,"Sinnoh",IF(A153&lt;=649,"Unova",IF(A153&lt;=721,"Kalos",IF(A153&lt;=809,"Alola",IF(A153&lt;=905,"Galar","Paldea"))))))))</f>
        <v>Kanto</v>
      </c>
      <c r="F153" t="str">
        <f>IF(G153&gt;=600,"Lendário",IF(G153&gt;=500,"Forte","Normal"))</f>
        <v>Normal</v>
      </c>
      <c r="G153" s="3">
        <v>483</v>
      </c>
      <c r="H153" s="3">
        <v>85</v>
      </c>
      <c r="I153" s="3">
        <v>73</v>
      </c>
      <c r="J153" s="3">
        <v>70</v>
      </c>
      <c r="K153" s="3">
        <v>73</v>
      </c>
      <c r="L153" s="3">
        <v>115</v>
      </c>
      <c r="M153" s="3">
        <v>67</v>
      </c>
      <c r="N153" s="3">
        <f>AVERAGE($I$2:$I$1168)</f>
        <v>78.907455012853475</v>
      </c>
      <c r="O153" s="3" t="str">
        <f>CONCATENATE(A153,"-",B153)</f>
        <v>97-Hypno</v>
      </c>
    </row>
    <row r="154" spans="1:15">
      <c r="A154" s="63">
        <v>98</v>
      </c>
      <c r="B154" s="2" t="s">
        <v>135</v>
      </c>
      <c r="C154" t="s">
        <v>30</v>
      </c>
      <c r="D154" s="22">
        <f>COUNTIF($C$2:$C$1168,Tabela1[[#This Row],[Type]])</f>
        <v>121</v>
      </c>
      <c r="E154" s="62" t="str">
        <f>IF(A154&lt;=151,"Kanto",IF(A154&lt;=251,"Johto",IF(A154&lt;=386,"Hoenn",IF(A154&lt;=493,"Sinnoh",IF(A154&lt;=649,"Unova",IF(A154&lt;=721,"Kalos",IF(A154&lt;=809,"Alola",IF(A154&lt;=905,"Galar","Paldea"))))))))</f>
        <v>Kanto</v>
      </c>
      <c r="F154" t="str">
        <f>IF(G154&gt;=600,"Lendário",IF(G154&gt;=500,"Forte","Normal"))</f>
        <v>Normal</v>
      </c>
      <c r="G154" s="3">
        <v>325</v>
      </c>
      <c r="H154" s="3">
        <v>30</v>
      </c>
      <c r="I154" s="3">
        <v>105</v>
      </c>
      <c r="J154" s="3">
        <v>90</v>
      </c>
      <c r="K154" s="3">
        <v>25</v>
      </c>
      <c r="L154" s="3">
        <v>25</v>
      </c>
      <c r="M154" s="3">
        <v>50</v>
      </c>
      <c r="N154" s="3">
        <f>AVERAGE($I$2:$I$1168)</f>
        <v>78.907455012853475</v>
      </c>
      <c r="O154" s="3" t="str">
        <f>CONCATENATE(A154,"-",B154)</f>
        <v>98-Krabby</v>
      </c>
    </row>
    <row r="155" spans="1:15">
      <c r="A155" s="63">
        <v>99</v>
      </c>
      <c r="B155" s="2" t="s">
        <v>136</v>
      </c>
      <c r="C155" t="s">
        <v>30</v>
      </c>
      <c r="D155" s="22">
        <f>COUNTIF($C$2:$C$1168,Tabela1[[#This Row],[Type]])</f>
        <v>121</v>
      </c>
      <c r="E155" s="62" t="str">
        <f>IF(A155&lt;=151,"Kanto",IF(A155&lt;=251,"Johto",IF(A155&lt;=386,"Hoenn",IF(A155&lt;=493,"Sinnoh",IF(A155&lt;=649,"Unova",IF(A155&lt;=721,"Kalos",IF(A155&lt;=809,"Alola",IF(A155&lt;=905,"Galar","Paldea"))))))))</f>
        <v>Kanto</v>
      </c>
      <c r="F155" t="str">
        <f>IF(G155&gt;=600,"Lendário",IF(G155&gt;=500,"Forte","Normal"))</f>
        <v>Normal</v>
      </c>
      <c r="G155" s="3">
        <v>475</v>
      </c>
      <c r="H155" s="3">
        <v>55</v>
      </c>
      <c r="I155" s="3">
        <v>130</v>
      </c>
      <c r="J155" s="3">
        <v>115</v>
      </c>
      <c r="K155" s="3">
        <v>50</v>
      </c>
      <c r="L155" s="3">
        <v>50</v>
      </c>
      <c r="M155" s="3">
        <v>75</v>
      </c>
      <c r="N155" s="3">
        <f>AVERAGE($I$2:$I$1168)</f>
        <v>78.907455012853475</v>
      </c>
      <c r="O155" s="3" t="str">
        <f>CONCATENATE(A155,"-",B155)</f>
        <v>99-Kingler</v>
      </c>
    </row>
    <row r="156" spans="1:15">
      <c r="A156" s="63">
        <v>100</v>
      </c>
      <c r="B156" s="2" t="s">
        <v>137</v>
      </c>
      <c r="C156" t="s">
        <v>52</v>
      </c>
      <c r="D156" s="22">
        <f>COUNTIF($C$2:$C$1168,Tabela1[[#This Row],[Type]])</f>
        <v>51</v>
      </c>
      <c r="E156" s="62" t="str">
        <f>IF(A156&lt;=151,"Kanto",IF(A156&lt;=251,"Johto",IF(A156&lt;=386,"Hoenn",IF(A156&lt;=493,"Sinnoh",IF(A156&lt;=649,"Unova",IF(A156&lt;=721,"Kalos",IF(A156&lt;=809,"Alola",IF(A156&lt;=905,"Galar","Paldea"))))))))</f>
        <v>Kanto</v>
      </c>
      <c r="F156" t="str">
        <f>IF(G156&gt;=600,"Lendário",IF(G156&gt;=500,"Forte","Normal"))</f>
        <v>Normal</v>
      </c>
      <c r="G156" s="3">
        <v>330</v>
      </c>
      <c r="H156" s="3">
        <v>40</v>
      </c>
      <c r="I156" s="3">
        <v>30</v>
      </c>
      <c r="J156" s="3">
        <v>50</v>
      </c>
      <c r="K156" s="3">
        <v>55</v>
      </c>
      <c r="L156" s="3">
        <v>55</v>
      </c>
      <c r="M156" s="3">
        <v>100</v>
      </c>
      <c r="N156" s="3">
        <f>AVERAGE($I$2:$I$1168)</f>
        <v>78.907455012853475</v>
      </c>
      <c r="O156" s="3" t="str">
        <f>CONCATENATE(A156,"-",B156)</f>
        <v>100-Voltorb</v>
      </c>
    </row>
    <row r="157" spans="1:15">
      <c r="A157" s="63">
        <v>101</v>
      </c>
      <c r="B157" s="2" t="s">
        <v>138</v>
      </c>
      <c r="C157" t="s">
        <v>52</v>
      </c>
      <c r="D157" s="22">
        <f>COUNTIF($C$2:$C$1168,Tabela1[[#This Row],[Type]])</f>
        <v>51</v>
      </c>
      <c r="E157" s="62" t="str">
        <f>IF(A157&lt;=151,"Kanto",IF(A157&lt;=251,"Johto",IF(A157&lt;=386,"Hoenn",IF(A157&lt;=493,"Sinnoh",IF(A157&lt;=649,"Unova",IF(A157&lt;=721,"Kalos",IF(A157&lt;=809,"Alola",IF(A157&lt;=905,"Galar","Paldea"))))))))</f>
        <v>Kanto</v>
      </c>
      <c r="F157" t="str">
        <f>IF(G157&gt;=600,"Lendário",IF(G157&gt;=500,"Forte","Normal"))</f>
        <v>Normal</v>
      </c>
      <c r="G157" s="3">
        <v>480</v>
      </c>
      <c r="H157" s="3">
        <v>60</v>
      </c>
      <c r="I157" s="3">
        <v>50</v>
      </c>
      <c r="J157" s="3">
        <v>70</v>
      </c>
      <c r="K157" s="3">
        <v>80</v>
      </c>
      <c r="L157" s="3">
        <v>80</v>
      </c>
      <c r="M157" s="3">
        <v>140</v>
      </c>
      <c r="N157" s="3">
        <f>AVERAGE($I$2:$I$1168)</f>
        <v>78.907455012853475</v>
      </c>
      <c r="O157" s="3" t="str">
        <f>CONCATENATE(A157,"-",B157)</f>
        <v>101-Electrode</v>
      </c>
    </row>
    <row r="158" spans="1:15">
      <c r="A158" s="63">
        <v>102</v>
      </c>
      <c r="B158" s="2" t="s">
        <v>139</v>
      </c>
      <c r="C158" t="s">
        <v>16</v>
      </c>
      <c r="D158" s="22">
        <f>COUNTIF($C$2:$C$1168,Tabela1[[#This Row],[Type]])</f>
        <v>93</v>
      </c>
      <c r="E158" s="62" t="str">
        <f>IF(A158&lt;=151,"Kanto",IF(A158&lt;=251,"Johto",IF(A158&lt;=386,"Hoenn",IF(A158&lt;=493,"Sinnoh",IF(A158&lt;=649,"Unova",IF(A158&lt;=721,"Kalos",IF(A158&lt;=809,"Alola",IF(A158&lt;=905,"Galar","Paldea"))))))))</f>
        <v>Kanto</v>
      </c>
      <c r="F158" t="str">
        <f>IF(G158&gt;=600,"Lendário",IF(G158&gt;=500,"Forte","Normal"))</f>
        <v>Normal</v>
      </c>
      <c r="G158" s="3">
        <v>325</v>
      </c>
      <c r="H158" s="3">
        <v>60</v>
      </c>
      <c r="I158" s="3">
        <v>40</v>
      </c>
      <c r="J158" s="3">
        <v>80</v>
      </c>
      <c r="K158" s="3">
        <v>60</v>
      </c>
      <c r="L158" s="3">
        <v>45</v>
      </c>
      <c r="M158" s="3">
        <v>40</v>
      </c>
      <c r="N158" s="3">
        <f>AVERAGE($I$2:$I$1168)</f>
        <v>78.907455012853475</v>
      </c>
      <c r="O158" s="3" t="str">
        <f>CONCATENATE(A158,"-",B158)</f>
        <v>102-Exeggcute</v>
      </c>
    </row>
    <row r="159" spans="1:15">
      <c r="A159" s="63">
        <v>102</v>
      </c>
      <c r="B159" s="2" t="str">
        <f>B158</f>
        <v>Exeggcute</v>
      </c>
      <c r="C159" t="s">
        <v>94</v>
      </c>
      <c r="D159" s="22">
        <f>COUNTIF($C$2:$C$1168,Tabela1[[#This Row],[Type]])</f>
        <v>83</v>
      </c>
      <c r="E159" s="62" t="str">
        <f>IF(A159&lt;=151,"Kanto",IF(A159&lt;=251,"Johto",IF(A159&lt;=386,"Hoenn",IF(A159&lt;=493,"Sinnoh",IF(A159&lt;=649,"Unova",IF(A159&lt;=721,"Kalos",IF(A159&lt;=809,"Alola",IF(A159&lt;=905,"Galar","Paldea"))))))))</f>
        <v>Kanto</v>
      </c>
      <c r="F159" t="str">
        <f>IF(G159&gt;=600,"Lendário",IF(G159&gt;=500,"Forte","Normal"))</f>
        <v>Normal</v>
      </c>
      <c r="G159" s="3">
        <f>G158</f>
        <v>325</v>
      </c>
      <c r="H159" s="3">
        <f>H158</f>
        <v>60</v>
      </c>
      <c r="I159" s="3">
        <f>I158</f>
        <v>40</v>
      </c>
      <c r="J159" s="3">
        <f>J158</f>
        <v>80</v>
      </c>
      <c r="K159" s="3">
        <f>K158</f>
        <v>60</v>
      </c>
      <c r="L159" s="3">
        <f>L158</f>
        <v>45</v>
      </c>
      <c r="M159" s="3">
        <f>M158</f>
        <v>40</v>
      </c>
      <c r="N159" s="3">
        <f>AVERAGE($I$2:$I$1168)</f>
        <v>78.907455012853475</v>
      </c>
      <c r="O159" s="3" t="str">
        <f>CONCATENATE(A159,"-",B159)</f>
        <v>102-Exeggcute</v>
      </c>
    </row>
    <row r="160" spans="1:15">
      <c r="A160" s="63">
        <v>103</v>
      </c>
      <c r="B160" s="2" t="s">
        <v>140</v>
      </c>
      <c r="C160" t="s">
        <v>16</v>
      </c>
      <c r="D160" s="22">
        <f>COUNTIF($C$2:$C$1168,Tabela1[[#This Row],[Type]])</f>
        <v>93</v>
      </c>
      <c r="E160" s="62" t="str">
        <f>IF(A160&lt;=151,"Kanto",IF(A160&lt;=251,"Johto",IF(A160&lt;=386,"Hoenn",IF(A160&lt;=493,"Sinnoh",IF(A160&lt;=649,"Unova",IF(A160&lt;=721,"Kalos",IF(A160&lt;=809,"Alola",IF(A160&lt;=905,"Galar","Paldea"))))))))</f>
        <v>Kanto</v>
      </c>
      <c r="F160" t="str">
        <f>IF(G160&gt;=600,"Lendário",IF(G160&gt;=500,"Forte","Normal"))</f>
        <v>Forte</v>
      </c>
      <c r="G160" s="3">
        <v>520</v>
      </c>
      <c r="H160" s="3">
        <v>95</v>
      </c>
      <c r="I160" s="3">
        <v>95</v>
      </c>
      <c r="J160" s="3">
        <v>85</v>
      </c>
      <c r="K160" s="3">
        <v>125</v>
      </c>
      <c r="L160" s="3">
        <v>65</v>
      </c>
      <c r="M160" s="3">
        <v>55</v>
      </c>
      <c r="N160" s="3">
        <f>AVERAGE($I$2:$I$1168)</f>
        <v>78.907455012853475</v>
      </c>
      <c r="O160" s="3" t="str">
        <f>CONCATENATE(A160,"-",B160)</f>
        <v>103-Exeggutor</v>
      </c>
    </row>
    <row r="161" spans="1:15">
      <c r="A161" s="63">
        <v>103</v>
      </c>
      <c r="B161" s="2" t="str">
        <f>B160</f>
        <v>Exeggutor</v>
      </c>
      <c r="C161" t="s">
        <v>94</v>
      </c>
      <c r="D161" s="22">
        <f>COUNTIF($C$2:$C$1168,Tabela1[[#This Row],[Type]])</f>
        <v>83</v>
      </c>
      <c r="E161" s="62" t="str">
        <f>IF(A161&lt;=151,"Kanto",IF(A161&lt;=251,"Johto",IF(A161&lt;=386,"Hoenn",IF(A161&lt;=493,"Sinnoh",IF(A161&lt;=649,"Unova",IF(A161&lt;=721,"Kalos",IF(A161&lt;=809,"Alola",IF(A161&lt;=905,"Galar","Paldea"))))))))</f>
        <v>Kanto</v>
      </c>
      <c r="F161" t="str">
        <f>IF(G161&gt;=600,"Lendário",IF(G161&gt;=500,"Forte","Normal"))</f>
        <v>Forte</v>
      </c>
      <c r="G161" s="3">
        <f>G160</f>
        <v>520</v>
      </c>
      <c r="H161" s="3">
        <f>H160</f>
        <v>95</v>
      </c>
      <c r="I161" s="3">
        <f>I160</f>
        <v>95</v>
      </c>
      <c r="J161" s="3">
        <f>J160</f>
        <v>85</v>
      </c>
      <c r="K161" s="3">
        <f>K160</f>
        <v>125</v>
      </c>
      <c r="L161" s="3">
        <f>L160</f>
        <v>65</v>
      </c>
      <c r="M161" s="3">
        <f>M160</f>
        <v>55</v>
      </c>
      <c r="N161" s="3">
        <f>AVERAGE($I$2:$I$1168)</f>
        <v>78.907455012853475</v>
      </c>
      <c r="O161" s="3" t="str">
        <f>CONCATENATE(A161,"-",B161)</f>
        <v>103-Exeggutor</v>
      </c>
    </row>
    <row r="162" spans="1:15">
      <c r="A162" s="63">
        <v>104</v>
      </c>
      <c r="B162" s="2" t="s">
        <v>141</v>
      </c>
      <c r="C162" t="s">
        <v>55</v>
      </c>
      <c r="D162" s="22">
        <f>COUNTIF($C$2:$C$1168,Tabela1[[#This Row],[Type]])</f>
        <v>62</v>
      </c>
      <c r="E162" s="62" t="str">
        <f>IF(A162&lt;=151,"Kanto",IF(A162&lt;=251,"Johto",IF(A162&lt;=386,"Hoenn",IF(A162&lt;=493,"Sinnoh",IF(A162&lt;=649,"Unova",IF(A162&lt;=721,"Kalos",IF(A162&lt;=809,"Alola",IF(A162&lt;=905,"Galar","Paldea"))))))))</f>
        <v>Kanto</v>
      </c>
      <c r="F162" t="str">
        <f>IF(G162&gt;=600,"Lendário",IF(G162&gt;=500,"Forte","Normal"))</f>
        <v>Normal</v>
      </c>
      <c r="G162" s="3">
        <v>320</v>
      </c>
      <c r="H162" s="3">
        <v>50</v>
      </c>
      <c r="I162" s="3">
        <v>50</v>
      </c>
      <c r="J162" s="3">
        <v>95</v>
      </c>
      <c r="K162" s="3">
        <v>40</v>
      </c>
      <c r="L162" s="3">
        <v>50</v>
      </c>
      <c r="M162" s="3">
        <v>35</v>
      </c>
      <c r="N162" s="3">
        <f>AVERAGE($I$2:$I$1168)</f>
        <v>78.907455012853475</v>
      </c>
      <c r="O162" s="3" t="str">
        <f>CONCATENATE(A162,"-",B162)</f>
        <v>104-Cubone</v>
      </c>
    </row>
    <row r="163" spans="1:15">
      <c r="A163" s="63">
        <v>105</v>
      </c>
      <c r="B163" s="2" t="s">
        <v>142</v>
      </c>
      <c r="C163" t="s">
        <v>55</v>
      </c>
      <c r="D163" s="22">
        <f>COUNTIF($C$2:$C$1168,Tabela1[[#This Row],[Type]])</f>
        <v>62</v>
      </c>
      <c r="E163" s="62" t="str">
        <f>IF(A163&lt;=151,"Kanto",IF(A163&lt;=251,"Johto",IF(A163&lt;=386,"Hoenn",IF(A163&lt;=493,"Sinnoh",IF(A163&lt;=649,"Unova",IF(A163&lt;=721,"Kalos",IF(A163&lt;=809,"Alola",IF(A163&lt;=905,"Galar","Paldea"))))))))</f>
        <v>Kanto</v>
      </c>
      <c r="F163" t="str">
        <f>IF(G163&gt;=600,"Lendário",IF(G163&gt;=500,"Forte","Normal"))</f>
        <v>Normal</v>
      </c>
      <c r="G163" s="3">
        <v>425</v>
      </c>
      <c r="H163" s="3">
        <v>60</v>
      </c>
      <c r="I163" s="3">
        <v>80</v>
      </c>
      <c r="J163" s="3">
        <v>110</v>
      </c>
      <c r="K163" s="3">
        <v>50</v>
      </c>
      <c r="L163" s="3">
        <v>80</v>
      </c>
      <c r="M163" s="3">
        <v>45</v>
      </c>
      <c r="N163" s="3">
        <f>AVERAGE($I$2:$I$1168)</f>
        <v>78.907455012853475</v>
      </c>
      <c r="O163" s="3" t="str">
        <f>CONCATENATE(A163,"-",B163)</f>
        <v>105-Marowak</v>
      </c>
    </row>
    <row r="164" spans="1:15">
      <c r="A164" s="63">
        <v>106</v>
      </c>
      <c r="B164" s="2" t="s">
        <v>143</v>
      </c>
      <c r="C164" t="s">
        <v>86</v>
      </c>
      <c r="D164" s="22">
        <f>COUNTIF($C$2:$C$1168,Tabela1[[#This Row],[Type]])</f>
        <v>51</v>
      </c>
      <c r="E164" s="62" t="str">
        <f>IF(A164&lt;=151,"Kanto",IF(A164&lt;=251,"Johto",IF(A164&lt;=386,"Hoenn",IF(A164&lt;=493,"Sinnoh",IF(A164&lt;=649,"Unova",IF(A164&lt;=721,"Kalos",IF(A164&lt;=809,"Alola",IF(A164&lt;=905,"Galar","Paldea"))))))))</f>
        <v>Kanto</v>
      </c>
      <c r="F164" t="str">
        <f>IF(G164&gt;=600,"Lendário",IF(G164&gt;=500,"Forte","Normal"))</f>
        <v>Normal</v>
      </c>
      <c r="G164" s="3">
        <v>455</v>
      </c>
      <c r="H164" s="3">
        <v>50</v>
      </c>
      <c r="I164" s="3">
        <v>120</v>
      </c>
      <c r="J164" s="3">
        <v>53</v>
      </c>
      <c r="K164" s="3">
        <v>35</v>
      </c>
      <c r="L164" s="3">
        <v>110</v>
      </c>
      <c r="M164" s="3">
        <v>87</v>
      </c>
      <c r="N164" s="3">
        <f>AVERAGE($I$2:$I$1168)</f>
        <v>78.907455012853475</v>
      </c>
      <c r="O164" s="3" t="str">
        <f>CONCATENATE(A164,"-",B164)</f>
        <v>106-Hitmonlee</v>
      </c>
    </row>
    <row r="165" spans="1:15">
      <c r="A165" s="63">
        <v>107</v>
      </c>
      <c r="B165" s="2" t="s">
        <v>144</v>
      </c>
      <c r="C165" t="s">
        <v>86</v>
      </c>
      <c r="D165" s="22">
        <f>COUNTIF($C$2:$C$1168,Tabela1[[#This Row],[Type]])</f>
        <v>51</v>
      </c>
      <c r="E165" s="62" t="str">
        <f>IF(A165&lt;=151,"Kanto",IF(A165&lt;=251,"Johto",IF(A165&lt;=386,"Hoenn",IF(A165&lt;=493,"Sinnoh",IF(A165&lt;=649,"Unova",IF(A165&lt;=721,"Kalos",IF(A165&lt;=809,"Alola",IF(A165&lt;=905,"Galar","Paldea"))))))))</f>
        <v>Kanto</v>
      </c>
      <c r="F165" t="str">
        <f>IF(G165&gt;=600,"Lendário",IF(G165&gt;=500,"Forte","Normal"))</f>
        <v>Normal</v>
      </c>
      <c r="G165" s="3">
        <v>455</v>
      </c>
      <c r="H165" s="3">
        <v>50</v>
      </c>
      <c r="I165" s="3">
        <v>105</v>
      </c>
      <c r="J165" s="3">
        <v>79</v>
      </c>
      <c r="K165" s="3">
        <v>35</v>
      </c>
      <c r="L165" s="3">
        <v>110</v>
      </c>
      <c r="M165" s="3">
        <v>76</v>
      </c>
      <c r="N165" s="3">
        <f>AVERAGE($I$2:$I$1168)</f>
        <v>78.907455012853475</v>
      </c>
      <c r="O165" s="3" t="str">
        <f>CONCATENATE(A165,"-",B165)</f>
        <v>107-Hitmonchan</v>
      </c>
    </row>
    <row r="166" spans="1:15">
      <c r="A166" s="63">
        <v>108</v>
      </c>
      <c r="B166" s="2" t="s">
        <v>145</v>
      </c>
      <c r="C166" t="s">
        <v>42</v>
      </c>
      <c r="D166" s="22">
        <f>COUNTIF($C$2:$C$1168,Tabela1[[#This Row],[Type]])</f>
        <v>99</v>
      </c>
      <c r="E166" s="62" t="str">
        <f>IF(A166&lt;=151,"Kanto",IF(A166&lt;=251,"Johto",IF(A166&lt;=386,"Hoenn",IF(A166&lt;=493,"Sinnoh",IF(A166&lt;=649,"Unova",IF(A166&lt;=721,"Kalos",IF(A166&lt;=809,"Alola",IF(A166&lt;=905,"Galar","Paldea"))))))))</f>
        <v>Kanto</v>
      </c>
      <c r="F166" t="str">
        <f>IF(G166&gt;=600,"Lendário",IF(G166&gt;=500,"Forte","Normal"))</f>
        <v>Normal</v>
      </c>
      <c r="G166" s="3">
        <v>385</v>
      </c>
      <c r="H166" s="3">
        <v>90</v>
      </c>
      <c r="I166" s="3">
        <v>55</v>
      </c>
      <c r="J166" s="3">
        <v>75</v>
      </c>
      <c r="K166" s="3">
        <v>60</v>
      </c>
      <c r="L166" s="3">
        <v>75</v>
      </c>
      <c r="M166" s="3">
        <v>30</v>
      </c>
      <c r="N166" s="3">
        <f>AVERAGE($I$2:$I$1168)</f>
        <v>78.907455012853475</v>
      </c>
      <c r="O166" s="3" t="str">
        <f>CONCATENATE(A166,"-",B166)</f>
        <v>108-Lickitung</v>
      </c>
    </row>
    <row r="167" spans="1:15">
      <c r="A167" s="63">
        <v>109</v>
      </c>
      <c r="B167" s="2" t="s">
        <v>146</v>
      </c>
      <c r="C167" t="s">
        <v>17</v>
      </c>
      <c r="D167" s="22">
        <f>COUNTIF($C$2:$C$1168,Tabela1[[#This Row],[Type]])</f>
        <v>61</v>
      </c>
      <c r="E167" s="62" t="str">
        <f>IF(A167&lt;=151,"Kanto",IF(A167&lt;=251,"Johto",IF(A167&lt;=386,"Hoenn",IF(A167&lt;=493,"Sinnoh",IF(A167&lt;=649,"Unova",IF(A167&lt;=721,"Kalos",IF(A167&lt;=809,"Alola",IF(A167&lt;=905,"Galar","Paldea"))))))))</f>
        <v>Kanto</v>
      </c>
      <c r="F167" t="str">
        <f>IF(G167&gt;=600,"Lendário",IF(G167&gt;=500,"Forte","Normal"))</f>
        <v>Normal</v>
      </c>
      <c r="G167" s="3">
        <v>340</v>
      </c>
      <c r="H167" s="3">
        <v>40</v>
      </c>
      <c r="I167" s="3">
        <v>65</v>
      </c>
      <c r="J167" s="3">
        <v>95</v>
      </c>
      <c r="K167" s="3">
        <v>60</v>
      </c>
      <c r="L167" s="3">
        <v>45</v>
      </c>
      <c r="M167" s="3">
        <v>35</v>
      </c>
      <c r="N167" s="3">
        <f>AVERAGE($I$2:$I$1168)</f>
        <v>78.907455012853475</v>
      </c>
      <c r="O167" s="3" t="str">
        <f>CONCATENATE(A167,"-",B167)</f>
        <v>109-Koffing</v>
      </c>
    </row>
    <row r="168" spans="1:15">
      <c r="A168" s="63">
        <v>110</v>
      </c>
      <c r="B168" s="2" t="s">
        <v>147</v>
      </c>
      <c r="C168" t="s">
        <v>17</v>
      </c>
      <c r="D168" s="22">
        <f>COUNTIF($C$2:$C$1168,Tabela1[[#This Row],[Type]])</f>
        <v>61</v>
      </c>
      <c r="E168" s="62" t="str">
        <f>IF(A168&lt;=151,"Kanto",IF(A168&lt;=251,"Johto",IF(A168&lt;=386,"Hoenn",IF(A168&lt;=493,"Sinnoh",IF(A168&lt;=649,"Unova",IF(A168&lt;=721,"Kalos",IF(A168&lt;=809,"Alola",IF(A168&lt;=905,"Galar","Paldea"))))))))</f>
        <v>Kanto</v>
      </c>
      <c r="F168" t="str">
        <f>IF(G168&gt;=600,"Lendário",IF(G168&gt;=500,"Forte","Normal"))</f>
        <v>Normal</v>
      </c>
      <c r="G168" s="3">
        <v>490</v>
      </c>
      <c r="H168" s="3">
        <v>65</v>
      </c>
      <c r="I168" s="3">
        <v>90</v>
      </c>
      <c r="J168" s="3">
        <v>120</v>
      </c>
      <c r="K168" s="3">
        <v>85</v>
      </c>
      <c r="L168" s="3">
        <v>70</v>
      </c>
      <c r="M168" s="3">
        <v>60</v>
      </c>
      <c r="N168" s="3">
        <f>AVERAGE($I$2:$I$1168)</f>
        <v>78.907455012853475</v>
      </c>
      <c r="O168" s="3" t="str">
        <f>CONCATENATE(A168,"-",B168)</f>
        <v>110-Weezing</v>
      </c>
    </row>
    <row r="169" spans="1:15">
      <c r="A169" s="63">
        <v>111</v>
      </c>
      <c r="B169" s="2" t="s">
        <v>148</v>
      </c>
      <c r="C169" t="s">
        <v>55</v>
      </c>
      <c r="D169" s="22">
        <f>COUNTIF($C$2:$C$1168,Tabela1[[#This Row],[Type]])</f>
        <v>62</v>
      </c>
      <c r="E169" s="62" t="str">
        <f>IF(A169&lt;=151,"Kanto",IF(A169&lt;=251,"Johto",IF(A169&lt;=386,"Hoenn",IF(A169&lt;=493,"Sinnoh",IF(A169&lt;=649,"Unova",IF(A169&lt;=721,"Kalos",IF(A169&lt;=809,"Alola",IF(A169&lt;=905,"Galar","Paldea"))))))))</f>
        <v>Kanto</v>
      </c>
      <c r="F169" t="str">
        <f>IF(G169&gt;=600,"Lendário",IF(G169&gt;=500,"Forte","Normal"))</f>
        <v>Normal</v>
      </c>
      <c r="G169" s="3">
        <v>345</v>
      </c>
      <c r="H169" s="3">
        <v>80</v>
      </c>
      <c r="I169" s="3">
        <v>85</v>
      </c>
      <c r="J169" s="3">
        <v>95</v>
      </c>
      <c r="K169" s="3">
        <v>30</v>
      </c>
      <c r="L169" s="3">
        <v>30</v>
      </c>
      <c r="M169" s="3">
        <v>25</v>
      </c>
      <c r="N169" s="3">
        <f>AVERAGE($I$2:$I$1168)</f>
        <v>78.907455012853475</v>
      </c>
      <c r="O169" s="3" t="str">
        <f>CONCATENATE(A169,"-",B169)</f>
        <v>111-Rhyhorn</v>
      </c>
    </row>
    <row r="170" spans="1:15">
      <c r="A170" s="63">
        <v>111</v>
      </c>
      <c r="B170" s="2" t="str">
        <f>B169</f>
        <v>Rhyhorn</v>
      </c>
      <c r="C170" t="s">
        <v>107</v>
      </c>
      <c r="D170" s="22">
        <f>COUNTIF($C$2:$C$1168,Tabela1[[#This Row],[Type]])</f>
        <v>56</v>
      </c>
      <c r="E170" s="62" t="str">
        <f>IF(A170&lt;=151,"Kanto",IF(A170&lt;=251,"Johto",IF(A170&lt;=386,"Hoenn",IF(A170&lt;=493,"Sinnoh",IF(A170&lt;=649,"Unova",IF(A170&lt;=721,"Kalos",IF(A170&lt;=809,"Alola",IF(A170&lt;=905,"Galar","Paldea"))))))))</f>
        <v>Kanto</v>
      </c>
      <c r="F170" t="str">
        <f>IF(G170&gt;=600,"Lendário",IF(G170&gt;=500,"Forte","Normal"))</f>
        <v>Normal</v>
      </c>
      <c r="G170" s="3">
        <f>G169</f>
        <v>345</v>
      </c>
      <c r="H170" s="3">
        <f>H169</f>
        <v>80</v>
      </c>
      <c r="I170" s="3">
        <f>I169</f>
        <v>85</v>
      </c>
      <c r="J170" s="3">
        <f>J169</f>
        <v>95</v>
      </c>
      <c r="K170" s="3">
        <f>K169</f>
        <v>30</v>
      </c>
      <c r="L170" s="3">
        <f>L169</f>
        <v>30</v>
      </c>
      <c r="M170" s="3">
        <f>M169</f>
        <v>25</v>
      </c>
      <c r="N170" s="3">
        <f>AVERAGE($I$2:$I$1168)</f>
        <v>78.907455012853475</v>
      </c>
      <c r="O170" s="3" t="str">
        <f>CONCATENATE(A170,"-",B170)</f>
        <v>111-Rhyhorn</v>
      </c>
    </row>
    <row r="171" spans="1:15">
      <c r="A171" s="63">
        <v>112</v>
      </c>
      <c r="B171" s="2" t="s">
        <v>149</v>
      </c>
      <c r="C171" t="s">
        <v>55</v>
      </c>
      <c r="D171" s="22">
        <f>COUNTIF($C$2:$C$1168,Tabela1[[#This Row],[Type]])</f>
        <v>62</v>
      </c>
      <c r="E171" s="62" t="str">
        <f>IF(A171&lt;=151,"Kanto",IF(A171&lt;=251,"Johto",IF(A171&lt;=386,"Hoenn",IF(A171&lt;=493,"Sinnoh",IF(A171&lt;=649,"Unova",IF(A171&lt;=721,"Kalos",IF(A171&lt;=809,"Alola",IF(A171&lt;=905,"Galar","Paldea"))))))))</f>
        <v>Kanto</v>
      </c>
      <c r="F171" t="str">
        <f>IF(G171&gt;=600,"Lendário",IF(G171&gt;=500,"Forte","Normal"))</f>
        <v>Normal</v>
      </c>
      <c r="G171" s="3">
        <v>485</v>
      </c>
      <c r="H171" s="3">
        <v>105</v>
      </c>
      <c r="I171" s="3">
        <v>130</v>
      </c>
      <c r="J171" s="3">
        <v>120</v>
      </c>
      <c r="K171" s="3">
        <v>45</v>
      </c>
      <c r="L171" s="3">
        <v>45</v>
      </c>
      <c r="M171" s="3">
        <v>40</v>
      </c>
      <c r="N171" s="3">
        <f>AVERAGE($I$2:$I$1168)</f>
        <v>78.907455012853475</v>
      </c>
      <c r="O171" s="3" t="str">
        <f>CONCATENATE(A171,"-",B171)</f>
        <v>112-Rhydon</v>
      </c>
    </row>
    <row r="172" spans="1:15">
      <c r="A172" s="63">
        <v>112</v>
      </c>
      <c r="B172" s="2" t="str">
        <f>B171</f>
        <v>Rhydon</v>
      </c>
      <c r="C172" t="s">
        <v>107</v>
      </c>
      <c r="D172" s="22">
        <f>COUNTIF($C$2:$C$1168,Tabela1[[#This Row],[Type]])</f>
        <v>56</v>
      </c>
      <c r="E172" s="62" t="str">
        <f>IF(A172&lt;=151,"Kanto",IF(A172&lt;=251,"Johto",IF(A172&lt;=386,"Hoenn",IF(A172&lt;=493,"Sinnoh",IF(A172&lt;=649,"Unova",IF(A172&lt;=721,"Kalos",IF(A172&lt;=809,"Alola",IF(A172&lt;=905,"Galar","Paldea"))))))))</f>
        <v>Kanto</v>
      </c>
      <c r="F172" t="str">
        <f>IF(G172&gt;=600,"Lendário",IF(G172&gt;=500,"Forte","Normal"))</f>
        <v>Normal</v>
      </c>
      <c r="G172" s="3">
        <f>G171</f>
        <v>485</v>
      </c>
      <c r="H172" s="3">
        <f>H171</f>
        <v>105</v>
      </c>
      <c r="I172" s="3">
        <f>I171</f>
        <v>130</v>
      </c>
      <c r="J172" s="3">
        <f>J171</f>
        <v>120</v>
      </c>
      <c r="K172" s="3">
        <f>K171</f>
        <v>45</v>
      </c>
      <c r="L172" s="3">
        <f>L171</f>
        <v>45</v>
      </c>
      <c r="M172" s="3">
        <f>M171</f>
        <v>40</v>
      </c>
      <c r="N172" s="3">
        <f>AVERAGE($I$2:$I$1168)</f>
        <v>78.907455012853475</v>
      </c>
      <c r="O172" s="3" t="str">
        <f>CONCATENATE(A172,"-",B172)</f>
        <v>112-Rhydon</v>
      </c>
    </row>
    <row r="173" spans="1:15">
      <c r="A173" s="63">
        <v>113</v>
      </c>
      <c r="B173" s="2" t="s">
        <v>150</v>
      </c>
      <c r="C173" t="s">
        <v>42</v>
      </c>
      <c r="D173" s="22">
        <f>COUNTIF($C$2:$C$1168,Tabela1[[#This Row],[Type]])</f>
        <v>99</v>
      </c>
      <c r="E173" s="62" t="str">
        <f>IF(A173&lt;=151,"Kanto",IF(A173&lt;=251,"Johto",IF(A173&lt;=386,"Hoenn",IF(A173&lt;=493,"Sinnoh",IF(A173&lt;=649,"Unova",IF(A173&lt;=721,"Kalos",IF(A173&lt;=809,"Alola",IF(A173&lt;=905,"Galar","Paldea"))))))))</f>
        <v>Kanto</v>
      </c>
      <c r="F173" t="str">
        <f>IF(G173&gt;=600,"Lendário",IF(G173&gt;=500,"Forte","Normal"))</f>
        <v>Normal</v>
      </c>
      <c r="G173" s="3">
        <v>450</v>
      </c>
      <c r="H173" s="3">
        <v>250</v>
      </c>
      <c r="I173" s="3">
        <v>5</v>
      </c>
      <c r="J173" s="3">
        <v>5</v>
      </c>
      <c r="K173" s="3">
        <v>35</v>
      </c>
      <c r="L173" s="3">
        <v>105</v>
      </c>
      <c r="M173" s="3">
        <v>50</v>
      </c>
      <c r="N173" s="3">
        <f>AVERAGE($I$2:$I$1168)</f>
        <v>78.907455012853475</v>
      </c>
      <c r="O173" s="3" t="str">
        <f>CONCATENATE(A173,"-",B173)</f>
        <v>113-Chansey</v>
      </c>
    </row>
    <row r="174" spans="1:15">
      <c r="A174" s="63">
        <v>113</v>
      </c>
      <c r="B174" s="2" t="str">
        <f>B173</f>
        <v>Chansey</v>
      </c>
      <c r="C174" t="s">
        <v>25</v>
      </c>
      <c r="D174" s="22">
        <f>COUNTIF($C$2:$C$1168,Tabela1[[#This Row],[Type]])</f>
        <v>100</v>
      </c>
      <c r="E174" s="62" t="str">
        <f>IF(A174&lt;=151,"Kanto",IF(A174&lt;=251,"Johto",IF(A174&lt;=386,"Hoenn",IF(A174&lt;=493,"Sinnoh",IF(A174&lt;=649,"Unova",IF(A174&lt;=721,"Kalos",IF(A174&lt;=809,"Alola",IF(A174&lt;=905,"Galar","Paldea"))))))))</f>
        <v>Kanto</v>
      </c>
      <c r="F174" t="str">
        <f>IF(G174&gt;=600,"Lendário",IF(G174&gt;=500,"Forte","Normal"))</f>
        <v>Normal</v>
      </c>
      <c r="G174" s="3">
        <f>G173</f>
        <v>450</v>
      </c>
      <c r="H174" s="3">
        <f>H173</f>
        <v>250</v>
      </c>
      <c r="I174" s="3">
        <f>I173</f>
        <v>5</v>
      </c>
      <c r="J174" s="3">
        <f>J173</f>
        <v>5</v>
      </c>
      <c r="K174" s="3">
        <f>K173</f>
        <v>35</v>
      </c>
      <c r="L174" s="3">
        <f>L173</f>
        <v>105</v>
      </c>
      <c r="M174" s="3">
        <f>M173</f>
        <v>50</v>
      </c>
      <c r="N174" s="3">
        <f>AVERAGE($I$2:$I$1168)</f>
        <v>78.907455012853475</v>
      </c>
      <c r="O174" s="3" t="str">
        <f>CONCATENATE(A174,"-",B174)</f>
        <v>113-Chansey</v>
      </c>
    </row>
    <row r="175" spans="1:15">
      <c r="A175" s="63">
        <v>113</v>
      </c>
      <c r="B175" s="2" t="str">
        <f>B174</f>
        <v>Chansey</v>
      </c>
      <c r="C175" t="s">
        <v>64</v>
      </c>
      <c r="D175" s="22">
        <f>COUNTIF($C$2:$C$1168,Tabela1[[#This Row],[Type]])</f>
        <v>34</v>
      </c>
      <c r="E175" s="62" t="str">
        <f>IF(A175&lt;=151,"Kanto",IF(A175&lt;=251,"Johto",IF(A175&lt;=386,"Hoenn",IF(A175&lt;=493,"Sinnoh",IF(A175&lt;=649,"Unova",IF(A175&lt;=721,"Kalos",IF(A175&lt;=809,"Alola",IF(A175&lt;=905,"Galar","Paldea"))))))))</f>
        <v>Kanto</v>
      </c>
      <c r="F175" t="str">
        <f>IF(G175&gt;=600,"Lendário",IF(G175&gt;=500,"Forte","Normal"))</f>
        <v>Normal</v>
      </c>
      <c r="G175" s="3">
        <f>G174</f>
        <v>450</v>
      </c>
      <c r="H175" s="3">
        <f>H174</f>
        <v>250</v>
      </c>
      <c r="I175" s="3">
        <f>I174</f>
        <v>5</v>
      </c>
      <c r="J175" s="3">
        <f>J174</f>
        <v>5</v>
      </c>
      <c r="K175" s="3">
        <f>K174</f>
        <v>35</v>
      </c>
      <c r="L175" s="3">
        <f>L174</f>
        <v>105</v>
      </c>
      <c r="M175" s="3">
        <f>M174</f>
        <v>50</v>
      </c>
      <c r="N175" s="3">
        <f>AVERAGE($I$2:$I$1168)</f>
        <v>78.907455012853475</v>
      </c>
      <c r="O175" s="3" t="str">
        <f>CONCATENATE(A175,"-",B175)</f>
        <v>113-Chansey</v>
      </c>
    </row>
    <row r="176" spans="1:15">
      <c r="A176" s="63">
        <v>113</v>
      </c>
      <c r="B176" s="2" t="str">
        <f>B175</f>
        <v>Chansey</v>
      </c>
      <c r="C176" t="s">
        <v>25</v>
      </c>
      <c r="D176" s="22">
        <f>COUNTIF($C$2:$C$1168,Tabela1[[#This Row],[Type]])</f>
        <v>100</v>
      </c>
      <c r="E176" s="62" t="str">
        <f>IF(A176&lt;=151,"Kanto",IF(A176&lt;=251,"Johto",IF(A176&lt;=386,"Hoenn",IF(A176&lt;=493,"Sinnoh",IF(A176&lt;=649,"Unova",IF(A176&lt;=721,"Kalos",IF(A176&lt;=809,"Alola",IF(A176&lt;=905,"Galar","Paldea"))))))))</f>
        <v>Kanto</v>
      </c>
      <c r="F176" t="str">
        <f>IF(G176&gt;=600,"Lendário",IF(G176&gt;=500,"Forte","Normal"))</f>
        <v>Normal</v>
      </c>
      <c r="G176" s="3">
        <f>G175</f>
        <v>450</v>
      </c>
      <c r="H176" s="3">
        <f>H175</f>
        <v>250</v>
      </c>
      <c r="I176" s="3">
        <f>I175</f>
        <v>5</v>
      </c>
      <c r="J176" s="3">
        <f>J175</f>
        <v>5</v>
      </c>
      <c r="K176" s="3">
        <f>K175</f>
        <v>35</v>
      </c>
      <c r="L176" s="3">
        <f>L175</f>
        <v>105</v>
      </c>
      <c r="M176" s="3">
        <f>M175</f>
        <v>50</v>
      </c>
      <c r="N176" s="3">
        <f>AVERAGE($I$2:$I$1168)</f>
        <v>78.907455012853475</v>
      </c>
      <c r="O176" s="3" t="str">
        <f>CONCATENATE(A176,"-",B176)</f>
        <v>113-Chansey</v>
      </c>
    </row>
    <row r="177" spans="1:15">
      <c r="A177" s="63">
        <v>114</v>
      </c>
      <c r="B177" s="2" t="s">
        <v>151</v>
      </c>
      <c r="C177" t="s">
        <v>16</v>
      </c>
      <c r="D177" s="22">
        <f>COUNTIF($C$2:$C$1168,Tabela1[[#This Row],[Type]])</f>
        <v>93</v>
      </c>
      <c r="E177" s="62" t="str">
        <f>IF(A177&lt;=151,"Kanto",IF(A177&lt;=251,"Johto",IF(A177&lt;=386,"Hoenn",IF(A177&lt;=493,"Sinnoh",IF(A177&lt;=649,"Unova",IF(A177&lt;=721,"Kalos",IF(A177&lt;=809,"Alola",IF(A177&lt;=905,"Galar","Paldea"))))))))</f>
        <v>Kanto</v>
      </c>
      <c r="F177" t="str">
        <f>IF(G177&gt;=600,"Lendário",IF(G177&gt;=500,"Forte","Normal"))</f>
        <v>Normal</v>
      </c>
      <c r="G177" s="3">
        <v>435</v>
      </c>
      <c r="H177" s="3">
        <v>65</v>
      </c>
      <c r="I177" s="3">
        <v>55</v>
      </c>
      <c r="J177" s="3">
        <v>115</v>
      </c>
      <c r="K177" s="3">
        <v>100</v>
      </c>
      <c r="L177" s="3">
        <v>40</v>
      </c>
      <c r="M177" s="3">
        <v>60</v>
      </c>
      <c r="N177" s="3">
        <f>AVERAGE($I$2:$I$1168)</f>
        <v>78.907455012853475</v>
      </c>
      <c r="O177" s="3" t="str">
        <f>CONCATENATE(A177,"-",B177)</f>
        <v>114-Tangela</v>
      </c>
    </row>
    <row r="178" spans="1:15">
      <c r="A178" s="63">
        <v>115</v>
      </c>
      <c r="B178" s="2" t="s">
        <v>152</v>
      </c>
      <c r="C178" t="s">
        <v>42</v>
      </c>
      <c r="D178" s="22">
        <f>COUNTIF($C$2:$C$1168,Tabela1[[#This Row],[Type]])</f>
        <v>99</v>
      </c>
      <c r="E178" s="62" t="str">
        <f>IF(A178&lt;=151,"Kanto",IF(A178&lt;=251,"Johto",IF(A178&lt;=386,"Hoenn",IF(A178&lt;=493,"Sinnoh",IF(A178&lt;=649,"Unova",IF(A178&lt;=721,"Kalos",IF(A178&lt;=809,"Alola",IF(A178&lt;=905,"Galar","Paldea"))))))))</f>
        <v>Kanto</v>
      </c>
      <c r="F178" t="str">
        <f>IF(G178&gt;=600,"Lendário",IF(G178&gt;=500,"Forte","Normal"))</f>
        <v>Normal</v>
      </c>
      <c r="G178" s="3">
        <v>490</v>
      </c>
      <c r="H178" s="3">
        <v>105</v>
      </c>
      <c r="I178" s="3">
        <v>95</v>
      </c>
      <c r="J178" s="3">
        <v>80</v>
      </c>
      <c r="K178" s="3">
        <v>40</v>
      </c>
      <c r="L178" s="3">
        <v>80</v>
      </c>
      <c r="M178" s="3">
        <v>90</v>
      </c>
      <c r="N178" s="3">
        <f>AVERAGE($I$2:$I$1168)</f>
        <v>78.907455012853475</v>
      </c>
      <c r="O178" s="3" t="str">
        <f>CONCATENATE(A178,"-",B178)</f>
        <v>115-Kangaskhan</v>
      </c>
    </row>
    <row r="179" spans="1:15">
      <c r="A179" s="63">
        <v>116</v>
      </c>
      <c r="B179" s="2" t="s">
        <v>153</v>
      </c>
      <c r="C179" t="s">
        <v>30</v>
      </c>
      <c r="D179" s="22">
        <f>COUNTIF($C$2:$C$1168,Tabela1[[#This Row],[Type]])</f>
        <v>121</v>
      </c>
      <c r="E179" s="62" t="str">
        <f>IF(A179&lt;=151,"Kanto",IF(A179&lt;=251,"Johto",IF(A179&lt;=386,"Hoenn",IF(A179&lt;=493,"Sinnoh",IF(A179&lt;=649,"Unova",IF(A179&lt;=721,"Kalos",IF(A179&lt;=809,"Alola",IF(A179&lt;=905,"Galar","Paldea"))))))))</f>
        <v>Kanto</v>
      </c>
      <c r="F179" t="str">
        <f>IF(G179&gt;=600,"Lendário",IF(G179&gt;=500,"Forte","Normal"))</f>
        <v>Normal</v>
      </c>
      <c r="G179" s="3">
        <v>295</v>
      </c>
      <c r="H179" s="3">
        <v>30</v>
      </c>
      <c r="I179" s="3">
        <v>40</v>
      </c>
      <c r="J179" s="3">
        <v>70</v>
      </c>
      <c r="K179" s="3">
        <v>70</v>
      </c>
      <c r="L179" s="3">
        <v>25</v>
      </c>
      <c r="M179" s="3">
        <v>60</v>
      </c>
      <c r="N179" s="3">
        <f>AVERAGE($I$2:$I$1168)</f>
        <v>78.907455012853475</v>
      </c>
      <c r="O179" s="3" t="str">
        <f>CONCATENATE(A179,"-",B179)</f>
        <v>116-Horsea</v>
      </c>
    </row>
    <row r="180" spans="1:15">
      <c r="A180" s="63">
        <v>117</v>
      </c>
      <c r="B180" s="2" t="s">
        <v>154</v>
      </c>
      <c r="C180" t="s">
        <v>30</v>
      </c>
      <c r="D180" s="22">
        <f>COUNTIF($C$2:$C$1168,Tabela1[[#This Row],[Type]])</f>
        <v>121</v>
      </c>
      <c r="E180" s="62" t="str">
        <f>IF(A180&lt;=151,"Kanto",IF(A180&lt;=251,"Johto",IF(A180&lt;=386,"Hoenn",IF(A180&lt;=493,"Sinnoh",IF(A180&lt;=649,"Unova",IF(A180&lt;=721,"Kalos",IF(A180&lt;=809,"Alola",IF(A180&lt;=905,"Galar","Paldea"))))))))</f>
        <v>Kanto</v>
      </c>
      <c r="F180" t="str">
        <f>IF(G180&gt;=600,"Lendário",IF(G180&gt;=500,"Forte","Normal"))</f>
        <v>Normal</v>
      </c>
      <c r="G180" s="3">
        <v>440</v>
      </c>
      <c r="H180" s="3">
        <v>55</v>
      </c>
      <c r="I180" s="3">
        <v>65</v>
      </c>
      <c r="J180" s="3">
        <v>95</v>
      </c>
      <c r="K180" s="3">
        <v>95</v>
      </c>
      <c r="L180" s="3">
        <v>45</v>
      </c>
      <c r="M180" s="3">
        <v>85</v>
      </c>
      <c r="N180" s="3">
        <f>AVERAGE($I$2:$I$1168)</f>
        <v>78.907455012853475</v>
      </c>
      <c r="O180" s="3" t="str">
        <f>CONCATENATE(A180,"-",B180)</f>
        <v>117-Seadra</v>
      </c>
    </row>
    <row r="181" spans="1:15">
      <c r="A181" s="63">
        <v>118</v>
      </c>
      <c r="B181" s="2" t="s">
        <v>155</v>
      </c>
      <c r="C181" t="s">
        <v>30</v>
      </c>
      <c r="D181" s="22">
        <f>COUNTIF($C$2:$C$1168,Tabela1[[#This Row],[Type]])</f>
        <v>121</v>
      </c>
      <c r="E181" s="62" t="str">
        <f>IF(A181&lt;=151,"Kanto",IF(A181&lt;=251,"Johto",IF(A181&lt;=386,"Hoenn",IF(A181&lt;=493,"Sinnoh",IF(A181&lt;=649,"Unova",IF(A181&lt;=721,"Kalos",IF(A181&lt;=809,"Alola",IF(A181&lt;=905,"Galar","Paldea"))))))))</f>
        <v>Kanto</v>
      </c>
      <c r="F181" t="str">
        <f>IF(G181&gt;=600,"Lendário",IF(G181&gt;=500,"Forte","Normal"))</f>
        <v>Normal</v>
      </c>
      <c r="G181" s="3">
        <v>320</v>
      </c>
      <c r="H181" s="3">
        <v>45</v>
      </c>
      <c r="I181" s="3">
        <v>67</v>
      </c>
      <c r="J181" s="3">
        <v>60</v>
      </c>
      <c r="K181" s="3">
        <v>35</v>
      </c>
      <c r="L181" s="3">
        <v>50</v>
      </c>
      <c r="M181" s="3">
        <v>63</v>
      </c>
      <c r="N181" s="3">
        <f>AVERAGE($I$2:$I$1168)</f>
        <v>78.907455012853475</v>
      </c>
      <c r="O181" s="3" t="str">
        <f>CONCATENATE(A181,"-",B181)</f>
        <v>118-Goldeen</v>
      </c>
    </row>
    <row r="182" spans="1:15">
      <c r="A182" s="63">
        <v>119</v>
      </c>
      <c r="B182" s="2" t="s">
        <v>156</v>
      </c>
      <c r="C182" t="s">
        <v>30</v>
      </c>
      <c r="D182" s="22">
        <f>COUNTIF($C$2:$C$1168,Tabela1[[#This Row],[Type]])</f>
        <v>121</v>
      </c>
      <c r="E182" s="62" t="str">
        <f>IF(A182&lt;=151,"Kanto",IF(A182&lt;=251,"Johto",IF(A182&lt;=386,"Hoenn",IF(A182&lt;=493,"Sinnoh",IF(A182&lt;=649,"Unova",IF(A182&lt;=721,"Kalos",IF(A182&lt;=809,"Alola",IF(A182&lt;=905,"Galar","Paldea"))))))))</f>
        <v>Kanto</v>
      </c>
      <c r="F182" t="str">
        <f>IF(G182&gt;=600,"Lendário",IF(G182&gt;=500,"Forte","Normal"))</f>
        <v>Normal</v>
      </c>
      <c r="G182" s="3">
        <v>450</v>
      </c>
      <c r="H182" s="3">
        <v>80</v>
      </c>
      <c r="I182" s="3">
        <v>92</v>
      </c>
      <c r="J182" s="3">
        <v>65</v>
      </c>
      <c r="K182" s="3">
        <v>65</v>
      </c>
      <c r="L182" s="3">
        <v>80</v>
      </c>
      <c r="M182" s="3">
        <v>68</v>
      </c>
      <c r="N182" s="3">
        <f>AVERAGE($I$2:$I$1168)</f>
        <v>78.907455012853475</v>
      </c>
      <c r="O182" s="3" t="str">
        <f>CONCATENATE(A182,"-",B182)</f>
        <v>119-Seaking</v>
      </c>
    </row>
    <row r="183" spans="1:15">
      <c r="A183" s="63">
        <v>120</v>
      </c>
      <c r="B183" s="2" t="s">
        <v>157</v>
      </c>
      <c r="C183" t="s">
        <v>30</v>
      </c>
      <c r="D183" s="22">
        <f>COUNTIF($C$2:$C$1168,Tabela1[[#This Row],[Type]])</f>
        <v>121</v>
      </c>
      <c r="E183" s="62" t="str">
        <f>IF(A183&lt;=151,"Kanto",IF(A183&lt;=251,"Johto",IF(A183&lt;=386,"Hoenn",IF(A183&lt;=493,"Sinnoh",IF(A183&lt;=649,"Unova",IF(A183&lt;=721,"Kalos",IF(A183&lt;=809,"Alola",IF(A183&lt;=905,"Galar","Paldea"))))))))</f>
        <v>Kanto</v>
      </c>
      <c r="F183" t="str">
        <f>IF(G183&gt;=600,"Lendário",IF(G183&gt;=500,"Forte","Normal"))</f>
        <v>Normal</v>
      </c>
      <c r="G183" s="3">
        <v>340</v>
      </c>
      <c r="H183" s="3">
        <v>30</v>
      </c>
      <c r="I183" s="3">
        <v>45</v>
      </c>
      <c r="J183" s="3">
        <v>55</v>
      </c>
      <c r="K183" s="3">
        <v>70</v>
      </c>
      <c r="L183" s="3">
        <v>55</v>
      </c>
      <c r="M183" s="3">
        <v>85</v>
      </c>
      <c r="N183" s="3">
        <f>AVERAGE($I$2:$I$1168)</f>
        <v>78.907455012853475</v>
      </c>
      <c r="O183" s="3" t="str">
        <f>CONCATENATE(A183,"-",B183)</f>
        <v>120-Staryu</v>
      </c>
    </row>
    <row r="184" spans="1:15">
      <c r="A184" s="63">
        <v>121</v>
      </c>
      <c r="B184" s="2" t="s">
        <v>158</v>
      </c>
      <c r="C184" t="s">
        <v>30</v>
      </c>
      <c r="D184" s="22">
        <f>COUNTIF($C$2:$C$1168,Tabela1[[#This Row],[Type]])</f>
        <v>121</v>
      </c>
      <c r="E184" s="62" t="str">
        <f>IF(A184&lt;=151,"Kanto",IF(A184&lt;=251,"Johto",IF(A184&lt;=386,"Hoenn",IF(A184&lt;=493,"Sinnoh",IF(A184&lt;=649,"Unova",IF(A184&lt;=721,"Kalos",IF(A184&lt;=809,"Alola",IF(A184&lt;=905,"Galar","Paldea"))))))))</f>
        <v>Kanto</v>
      </c>
      <c r="F184" t="str">
        <f>IF(G184&gt;=600,"Lendário",IF(G184&gt;=500,"Forte","Normal"))</f>
        <v>Forte</v>
      </c>
      <c r="G184" s="3">
        <v>520</v>
      </c>
      <c r="H184" s="3">
        <v>60</v>
      </c>
      <c r="I184" s="3">
        <v>75</v>
      </c>
      <c r="J184" s="3">
        <v>85</v>
      </c>
      <c r="K184" s="3">
        <v>100</v>
      </c>
      <c r="L184" s="3">
        <v>85</v>
      </c>
      <c r="M184" s="3">
        <v>115</v>
      </c>
      <c r="N184" s="3">
        <f>AVERAGE($I$2:$I$1168)</f>
        <v>78.907455012853475</v>
      </c>
      <c r="O184" s="3" t="str">
        <f>CONCATENATE(A184,"-",B184)</f>
        <v>121-Starmie</v>
      </c>
    </row>
    <row r="185" spans="1:15">
      <c r="A185" s="63">
        <v>121</v>
      </c>
      <c r="B185" s="2" t="str">
        <f>B184</f>
        <v>Starmie</v>
      </c>
      <c r="C185" t="s">
        <v>94</v>
      </c>
      <c r="D185" s="22">
        <f>COUNTIF($C$2:$C$1168,Tabela1[[#This Row],[Type]])</f>
        <v>83</v>
      </c>
      <c r="E185" s="62" t="str">
        <f>IF(A185&lt;=151,"Kanto",IF(A185&lt;=251,"Johto",IF(A185&lt;=386,"Hoenn",IF(A185&lt;=493,"Sinnoh",IF(A185&lt;=649,"Unova",IF(A185&lt;=721,"Kalos",IF(A185&lt;=809,"Alola",IF(A185&lt;=905,"Galar","Paldea"))))))))</f>
        <v>Kanto</v>
      </c>
      <c r="F185" t="str">
        <f>IF(G185&gt;=600,"Lendário",IF(G185&gt;=500,"Forte","Normal"))</f>
        <v>Forte</v>
      </c>
      <c r="G185" s="3">
        <f>G184</f>
        <v>520</v>
      </c>
      <c r="H185" s="3">
        <f>H184</f>
        <v>60</v>
      </c>
      <c r="I185" s="3">
        <f>I184</f>
        <v>75</v>
      </c>
      <c r="J185" s="3">
        <f>J184</f>
        <v>85</v>
      </c>
      <c r="K185" s="3">
        <f>K184</f>
        <v>100</v>
      </c>
      <c r="L185" s="3">
        <f>L184</f>
        <v>85</v>
      </c>
      <c r="M185" s="3">
        <f>M184</f>
        <v>115</v>
      </c>
      <c r="N185" s="3">
        <f>AVERAGE($I$2:$I$1168)</f>
        <v>78.907455012853475</v>
      </c>
      <c r="O185" s="3" t="str">
        <f>CONCATENATE(A185,"-",B185)</f>
        <v>121-Starmie</v>
      </c>
    </row>
    <row r="186" spans="1:15">
      <c r="A186" s="63">
        <v>122</v>
      </c>
      <c r="B186" s="2" t="s">
        <v>159</v>
      </c>
      <c r="C186" t="s">
        <v>94</v>
      </c>
      <c r="D186" s="22">
        <f>COUNTIF($C$2:$C$1168,Tabela1[[#This Row],[Type]])</f>
        <v>83</v>
      </c>
      <c r="E186" s="62" t="str">
        <f>IF(A186&lt;=151,"Kanto",IF(A186&lt;=251,"Johto",IF(A186&lt;=386,"Hoenn",IF(A186&lt;=493,"Sinnoh",IF(A186&lt;=649,"Unova",IF(A186&lt;=721,"Kalos",IF(A186&lt;=809,"Alola",IF(A186&lt;=905,"Galar","Paldea"))))))))</f>
        <v>Kanto</v>
      </c>
      <c r="F186" t="str">
        <f>IF(G186&gt;=600,"Lendário",IF(G186&gt;=500,"Forte","Normal"))</f>
        <v>Normal</v>
      </c>
      <c r="G186" s="3">
        <v>460</v>
      </c>
      <c r="H186" s="3">
        <v>40</v>
      </c>
      <c r="I186" s="3">
        <v>45</v>
      </c>
      <c r="J186" s="3">
        <v>65</v>
      </c>
      <c r="K186" s="3">
        <v>100</v>
      </c>
      <c r="L186" s="3">
        <v>120</v>
      </c>
      <c r="M186" s="3">
        <v>90</v>
      </c>
      <c r="N186" s="3">
        <f>AVERAGE($I$2:$I$1168)</f>
        <v>78.907455012853475</v>
      </c>
      <c r="O186" s="3" t="str">
        <f>CONCATENATE(A186,"-",B186)</f>
        <v>122-Mr. Mime</v>
      </c>
    </row>
    <row r="187" spans="1:15">
      <c r="A187" s="63">
        <v>122</v>
      </c>
      <c r="B187" s="2" t="str">
        <f>B186</f>
        <v>Mr. Mime</v>
      </c>
      <c r="C187" t="s">
        <v>64</v>
      </c>
      <c r="D187" s="22">
        <f>COUNTIF($C$2:$C$1168,Tabela1[[#This Row],[Type]])</f>
        <v>34</v>
      </c>
      <c r="E187" s="62" t="str">
        <f>IF(A187&lt;=151,"Kanto",IF(A187&lt;=251,"Johto",IF(A187&lt;=386,"Hoenn",IF(A187&lt;=493,"Sinnoh",IF(A187&lt;=649,"Unova",IF(A187&lt;=721,"Kalos",IF(A187&lt;=809,"Alola",IF(A187&lt;=905,"Galar","Paldea"))))))))</f>
        <v>Kanto</v>
      </c>
      <c r="F187" t="str">
        <f>IF(G187&gt;=600,"Lendário",IF(G187&gt;=500,"Forte","Normal"))</f>
        <v>Normal</v>
      </c>
      <c r="G187" s="3">
        <f>G186</f>
        <v>460</v>
      </c>
      <c r="H187" s="3">
        <f>H186</f>
        <v>40</v>
      </c>
      <c r="I187" s="3">
        <f>I186</f>
        <v>45</v>
      </c>
      <c r="J187" s="3">
        <f>J186</f>
        <v>65</v>
      </c>
      <c r="K187" s="3">
        <f>K186</f>
        <v>100</v>
      </c>
      <c r="L187" s="3">
        <f>L186</f>
        <v>120</v>
      </c>
      <c r="M187" s="3">
        <f>M186</f>
        <v>90</v>
      </c>
      <c r="N187" s="3">
        <f>AVERAGE($I$2:$I$1168)</f>
        <v>78.907455012853475</v>
      </c>
      <c r="O187" s="3" t="str">
        <f>CONCATENATE(A187,"-",B187)</f>
        <v>122-Mr. Mime</v>
      </c>
    </row>
    <row r="188" spans="1:15">
      <c r="A188" s="63">
        <v>123</v>
      </c>
      <c r="B188" s="2" t="s">
        <v>160</v>
      </c>
      <c r="C188" t="s">
        <v>35</v>
      </c>
      <c r="D188" s="22">
        <f>COUNTIF($C$2:$C$1168,Tabela1[[#This Row],[Type]])</f>
        <v>71</v>
      </c>
      <c r="E188" s="62" t="str">
        <f>IF(A188&lt;=151,"Kanto",IF(A188&lt;=251,"Johto",IF(A188&lt;=386,"Hoenn",IF(A188&lt;=493,"Sinnoh",IF(A188&lt;=649,"Unova",IF(A188&lt;=721,"Kalos",IF(A188&lt;=809,"Alola",IF(A188&lt;=905,"Galar","Paldea"))))))))</f>
        <v>Kanto</v>
      </c>
      <c r="F188" t="str">
        <f>IF(G188&gt;=600,"Lendário",IF(G188&gt;=500,"Forte","Normal"))</f>
        <v>Forte</v>
      </c>
      <c r="G188" s="3">
        <v>500</v>
      </c>
      <c r="H188" s="3">
        <v>70</v>
      </c>
      <c r="I188" s="3">
        <v>110</v>
      </c>
      <c r="J188" s="3">
        <v>80</v>
      </c>
      <c r="K188" s="3">
        <v>55</v>
      </c>
      <c r="L188" s="3">
        <v>80</v>
      </c>
      <c r="M188" s="3">
        <v>105</v>
      </c>
      <c r="N188" s="3">
        <f>AVERAGE($I$2:$I$1168)</f>
        <v>78.907455012853475</v>
      </c>
      <c r="O188" s="3" t="str">
        <f>CONCATENATE(A188,"-",B188)</f>
        <v>123-Scyther</v>
      </c>
    </row>
    <row r="189" spans="1:15">
      <c r="A189" s="63">
        <v>123</v>
      </c>
      <c r="B189" s="2" t="str">
        <f>B188</f>
        <v>Scyther</v>
      </c>
      <c r="C189" t="s">
        <v>25</v>
      </c>
      <c r="D189" s="22">
        <f>COUNTIF($C$2:$C$1168,Tabela1[[#This Row],[Type]])</f>
        <v>100</v>
      </c>
      <c r="E189" s="62" t="str">
        <f>IF(A189&lt;=151,"Kanto",IF(A189&lt;=251,"Johto",IF(A189&lt;=386,"Hoenn",IF(A189&lt;=493,"Sinnoh",IF(A189&lt;=649,"Unova",IF(A189&lt;=721,"Kalos",IF(A189&lt;=809,"Alola",IF(A189&lt;=905,"Galar","Paldea"))))))))</f>
        <v>Kanto</v>
      </c>
      <c r="F189" t="str">
        <f>IF(G189&gt;=600,"Lendário",IF(G189&gt;=500,"Forte","Normal"))</f>
        <v>Forte</v>
      </c>
      <c r="G189" s="3">
        <f>G188</f>
        <v>500</v>
      </c>
      <c r="H189" s="3">
        <f>H188</f>
        <v>70</v>
      </c>
      <c r="I189" s="3">
        <f>I188</f>
        <v>110</v>
      </c>
      <c r="J189" s="3">
        <f>J188</f>
        <v>80</v>
      </c>
      <c r="K189" s="3">
        <f>K188</f>
        <v>55</v>
      </c>
      <c r="L189" s="3">
        <f>L188</f>
        <v>80</v>
      </c>
      <c r="M189" s="3">
        <f>M188</f>
        <v>105</v>
      </c>
      <c r="N189" s="3">
        <f>AVERAGE($I$2:$I$1168)</f>
        <v>78.907455012853475</v>
      </c>
      <c r="O189" s="3" t="str">
        <f>CONCATENATE(A189,"-",B189)</f>
        <v>123-Scyther</v>
      </c>
    </row>
    <row r="190" spans="1:15">
      <c r="A190" s="63">
        <v>124</v>
      </c>
      <c r="B190" s="2" t="s">
        <v>161</v>
      </c>
      <c r="C190" t="s">
        <v>122</v>
      </c>
      <c r="D190" s="22">
        <f>COUNTIF($C$2:$C$1168,Tabela1[[#This Row],[Type]])</f>
        <v>37</v>
      </c>
      <c r="E190" s="62" t="str">
        <f>IF(A190&lt;=151,"Kanto",IF(A190&lt;=251,"Johto",IF(A190&lt;=386,"Hoenn",IF(A190&lt;=493,"Sinnoh",IF(A190&lt;=649,"Unova",IF(A190&lt;=721,"Kalos",IF(A190&lt;=809,"Alola",IF(A190&lt;=905,"Galar","Paldea"))))))))</f>
        <v>Kanto</v>
      </c>
      <c r="F190" t="str">
        <f>IF(G190&gt;=600,"Lendário",IF(G190&gt;=500,"Forte","Normal"))</f>
        <v>Normal</v>
      </c>
      <c r="G190" s="3">
        <v>455</v>
      </c>
      <c r="H190" s="3">
        <v>65</v>
      </c>
      <c r="I190" s="3">
        <v>50</v>
      </c>
      <c r="J190" s="3">
        <v>35</v>
      </c>
      <c r="K190" s="3">
        <v>115</v>
      </c>
      <c r="L190" s="3">
        <v>95</v>
      </c>
      <c r="M190" s="3">
        <v>95</v>
      </c>
      <c r="N190" s="3">
        <f>AVERAGE($I$2:$I$1168)</f>
        <v>78.907455012853475</v>
      </c>
      <c r="O190" s="3" t="str">
        <f>CONCATENATE(A190,"-",B190)</f>
        <v>124-Jynx</v>
      </c>
    </row>
    <row r="191" spans="1:15">
      <c r="A191" s="63">
        <v>124</v>
      </c>
      <c r="B191" s="2" t="str">
        <f>B190</f>
        <v>Jynx</v>
      </c>
      <c r="C191" t="s">
        <v>94</v>
      </c>
      <c r="D191" s="22">
        <f>COUNTIF($C$2:$C$1168,Tabela1[[#This Row],[Type]])</f>
        <v>83</v>
      </c>
      <c r="E191" s="62" t="str">
        <f>IF(A191&lt;=151,"Kanto",IF(A191&lt;=251,"Johto",IF(A191&lt;=386,"Hoenn",IF(A191&lt;=493,"Sinnoh",IF(A191&lt;=649,"Unova",IF(A191&lt;=721,"Kalos",IF(A191&lt;=809,"Alola",IF(A191&lt;=905,"Galar","Paldea"))))))))</f>
        <v>Kanto</v>
      </c>
      <c r="F191" t="str">
        <f>IF(G191&gt;=600,"Lendário",IF(G191&gt;=500,"Forte","Normal"))</f>
        <v>Normal</v>
      </c>
      <c r="G191" s="3">
        <f>G190</f>
        <v>455</v>
      </c>
      <c r="H191" s="3">
        <f>H190</f>
        <v>65</v>
      </c>
      <c r="I191" s="3">
        <f>I190</f>
        <v>50</v>
      </c>
      <c r="J191" s="3">
        <f>J190</f>
        <v>35</v>
      </c>
      <c r="K191" s="3">
        <f>K190</f>
        <v>115</v>
      </c>
      <c r="L191" s="3">
        <f>L190</f>
        <v>95</v>
      </c>
      <c r="M191" s="3">
        <f>M190</f>
        <v>95</v>
      </c>
      <c r="N191" s="3">
        <f>AVERAGE($I$2:$I$1168)</f>
        <v>78.907455012853475</v>
      </c>
      <c r="O191" s="3" t="str">
        <f>CONCATENATE(A191,"-",B191)</f>
        <v>124-Jynx</v>
      </c>
    </row>
    <row r="192" spans="1:15">
      <c r="A192" s="63">
        <v>125</v>
      </c>
      <c r="B192" s="2" t="s">
        <v>162</v>
      </c>
      <c r="C192" t="s">
        <v>52</v>
      </c>
      <c r="D192" s="22">
        <f>COUNTIF($C$2:$C$1168,Tabela1[[#This Row],[Type]])</f>
        <v>51</v>
      </c>
      <c r="E192" s="62" t="str">
        <f>IF(A192&lt;=151,"Kanto",IF(A192&lt;=251,"Johto",IF(A192&lt;=386,"Hoenn",IF(A192&lt;=493,"Sinnoh",IF(A192&lt;=649,"Unova",IF(A192&lt;=721,"Kalos",IF(A192&lt;=809,"Alola",IF(A192&lt;=905,"Galar","Paldea"))))))))</f>
        <v>Kanto</v>
      </c>
      <c r="F192" t="str">
        <f>IF(G192&gt;=600,"Lendário",IF(G192&gt;=500,"Forte","Normal"))</f>
        <v>Normal</v>
      </c>
      <c r="G192" s="3">
        <v>490</v>
      </c>
      <c r="H192" s="3">
        <v>65</v>
      </c>
      <c r="I192" s="3">
        <v>83</v>
      </c>
      <c r="J192" s="3">
        <v>57</v>
      </c>
      <c r="K192" s="3">
        <v>95</v>
      </c>
      <c r="L192" s="3">
        <v>85</v>
      </c>
      <c r="M192" s="3">
        <v>105</v>
      </c>
      <c r="N192" s="3">
        <f>AVERAGE($I$2:$I$1168)</f>
        <v>78.907455012853475</v>
      </c>
      <c r="O192" s="3" t="str">
        <f>CONCATENATE(A192,"-",B192)</f>
        <v>125-Electabuzz</v>
      </c>
    </row>
    <row r="193" spans="1:15">
      <c r="A193" s="63">
        <v>126</v>
      </c>
      <c r="B193" s="2" t="s">
        <v>163</v>
      </c>
      <c r="C193" t="s">
        <v>22</v>
      </c>
      <c r="D193" s="22">
        <f>COUNTIF($C$2:$C$1168,Tabela1[[#This Row],[Type]])</f>
        <v>62</v>
      </c>
      <c r="E193" s="62" t="str">
        <f>IF(A193&lt;=151,"Kanto",IF(A193&lt;=251,"Johto",IF(A193&lt;=386,"Hoenn",IF(A193&lt;=493,"Sinnoh",IF(A193&lt;=649,"Unova",IF(A193&lt;=721,"Kalos",IF(A193&lt;=809,"Alola",IF(A193&lt;=905,"Galar","Paldea"))))))))</f>
        <v>Kanto</v>
      </c>
      <c r="F193" t="str">
        <f>IF(G193&gt;=600,"Lendário",IF(G193&gt;=500,"Forte","Normal"))</f>
        <v>Normal</v>
      </c>
      <c r="G193" s="3">
        <v>495</v>
      </c>
      <c r="H193" s="3">
        <v>65</v>
      </c>
      <c r="I193" s="3">
        <v>95</v>
      </c>
      <c r="J193" s="3">
        <v>57</v>
      </c>
      <c r="K193" s="3">
        <v>100</v>
      </c>
      <c r="L193" s="3">
        <v>85</v>
      </c>
      <c r="M193" s="3">
        <v>93</v>
      </c>
      <c r="N193" s="3">
        <f>AVERAGE($I$2:$I$1168)</f>
        <v>78.907455012853475</v>
      </c>
      <c r="O193" s="3" t="str">
        <f>CONCATENATE(A193,"-",B193)</f>
        <v>126-Magmar</v>
      </c>
    </row>
    <row r="194" spans="1:15">
      <c r="A194" s="63">
        <v>127</v>
      </c>
      <c r="B194" s="2" t="s">
        <v>164</v>
      </c>
      <c r="C194" t="s">
        <v>35</v>
      </c>
      <c r="D194" s="22">
        <f>COUNTIF($C$2:$C$1168,Tabela1[[#This Row],[Type]])</f>
        <v>71</v>
      </c>
      <c r="E194" s="62" t="str">
        <f>IF(A194&lt;=151,"Kanto",IF(A194&lt;=251,"Johto",IF(A194&lt;=386,"Hoenn",IF(A194&lt;=493,"Sinnoh",IF(A194&lt;=649,"Unova",IF(A194&lt;=721,"Kalos",IF(A194&lt;=809,"Alola",IF(A194&lt;=905,"Galar","Paldea"))))))))</f>
        <v>Kanto</v>
      </c>
      <c r="F194" t="str">
        <f>IF(G194&gt;=600,"Lendário",IF(G194&gt;=500,"Forte","Normal"))</f>
        <v>Forte</v>
      </c>
      <c r="G194" s="3">
        <v>500</v>
      </c>
      <c r="H194" s="3">
        <v>65</v>
      </c>
      <c r="I194" s="3">
        <v>125</v>
      </c>
      <c r="J194" s="3">
        <v>100</v>
      </c>
      <c r="K194" s="3">
        <v>55</v>
      </c>
      <c r="L194" s="3">
        <v>70</v>
      </c>
      <c r="M194" s="3">
        <v>85</v>
      </c>
      <c r="N194" s="3">
        <f>AVERAGE($I$2:$I$1168)</f>
        <v>78.907455012853475</v>
      </c>
      <c r="O194" s="3" t="str">
        <f>CONCATENATE(A194,"-",B194)</f>
        <v>127-Pinsir</v>
      </c>
    </row>
    <row r="195" spans="1:15">
      <c r="A195" s="63">
        <v>127.1</v>
      </c>
      <c r="B195" s="2" t="s">
        <v>165</v>
      </c>
      <c r="C195" t="s">
        <v>35</v>
      </c>
      <c r="D195" s="22">
        <f>COUNTIF($C$2:$C$1168,Tabela1[[#This Row],[Type]])</f>
        <v>71</v>
      </c>
      <c r="E195" s="62" t="str">
        <f>IF(A195&lt;=151,"Kanto",IF(A195&lt;=251,"Johto",IF(A195&lt;=386,"Hoenn",IF(A195&lt;=493,"Sinnoh",IF(A195&lt;=649,"Unova",IF(A195&lt;=721,"Kalos",IF(A195&lt;=809,"Alola",IF(A195&lt;=905,"Galar","Paldea"))))))))</f>
        <v>Kanto</v>
      </c>
      <c r="F195" t="str">
        <f>IF(G195&gt;=600,"Lendário",IF(G195&gt;=500,"Forte","Normal"))</f>
        <v>Lendário</v>
      </c>
      <c r="G195" s="3">
        <v>600</v>
      </c>
      <c r="H195" s="3">
        <v>65</v>
      </c>
      <c r="I195" s="3">
        <v>155</v>
      </c>
      <c r="J195" s="3">
        <v>120</v>
      </c>
      <c r="K195" s="3">
        <v>65</v>
      </c>
      <c r="L195" s="3">
        <v>90</v>
      </c>
      <c r="M195" s="3">
        <v>105</v>
      </c>
      <c r="N195" s="3">
        <f>AVERAGE($I$2:$I$1168)</f>
        <v>78.907455012853475</v>
      </c>
      <c r="O195" s="3" t="str">
        <f>CONCATENATE(A195,"-",B195)</f>
        <v>127,1-Mega Pinsir</v>
      </c>
    </row>
    <row r="196" spans="1:15">
      <c r="A196" s="63">
        <v>127.1</v>
      </c>
      <c r="B196" s="2" t="s">
        <v>165</v>
      </c>
      <c r="C196" t="s">
        <v>25</v>
      </c>
      <c r="D196" s="22">
        <f>COUNTIF($C$2:$C$1168,Tabela1[[#This Row],[Type]])</f>
        <v>100</v>
      </c>
      <c r="E196" s="62" t="str">
        <f>IF(A196&lt;=151,"Kanto",IF(A196&lt;=251,"Johto",IF(A196&lt;=386,"Hoenn",IF(A196&lt;=493,"Sinnoh",IF(A196&lt;=649,"Unova",IF(A196&lt;=721,"Kalos",IF(A196&lt;=809,"Alola",IF(A196&lt;=905,"Galar","Paldea"))))))))</f>
        <v>Kanto</v>
      </c>
      <c r="F196" t="str">
        <f>IF(G196&gt;=600,"Lendário",IF(G196&gt;=500,"Forte","Normal"))</f>
        <v>Lendário</v>
      </c>
      <c r="G196" s="3">
        <f>G195</f>
        <v>600</v>
      </c>
      <c r="H196" s="3">
        <f>H195</f>
        <v>65</v>
      </c>
      <c r="I196" s="3">
        <f>I195</f>
        <v>155</v>
      </c>
      <c r="J196" s="3">
        <f>J195</f>
        <v>120</v>
      </c>
      <c r="K196" s="3">
        <f>K195</f>
        <v>65</v>
      </c>
      <c r="L196" s="3">
        <f>L195</f>
        <v>90</v>
      </c>
      <c r="M196" s="3">
        <f>M195</f>
        <v>105</v>
      </c>
      <c r="N196" s="3">
        <f>AVERAGE($I$2:$I$1168)</f>
        <v>78.907455012853475</v>
      </c>
      <c r="O196" s="3" t="str">
        <f>CONCATENATE(A196,"-",B196)</f>
        <v>127,1-Mega Pinsir</v>
      </c>
    </row>
    <row r="197" spans="1:15">
      <c r="A197" s="63">
        <v>128</v>
      </c>
      <c r="B197" s="2" t="s">
        <v>166</v>
      </c>
      <c r="C197" t="s">
        <v>42</v>
      </c>
      <c r="D197" s="22">
        <f>COUNTIF($C$2:$C$1168,Tabela1[[#This Row],[Type]])</f>
        <v>99</v>
      </c>
      <c r="E197" s="62" t="str">
        <f>IF(A197&lt;=151,"Kanto",IF(A197&lt;=251,"Johto",IF(A197&lt;=386,"Hoenn",IF(A197&lt;=493,"Sinnoh",IF(A197&lt;=649,"Unova",IF(A197&lt;=721,"Kalos",IF(A197&lt;=809,"Alola",IF(A197&lt;=905,"Galar","Paldea"))))))))</f>
        <v>Kanto</v>
      </c>
      <c r="F197" t="str">
        <f>IF(G197&gt;=600,"Lendário",IF(G197&gt;=500,"Forte","Normal"))</f>
        <v>Normal</v>
      </c>
      <c r="G197" s="3">
        <v>490</v>
      </c>
      <c r="H197" s="3">
        <v>75</v>
      </c>
      <c r="I197" s="3">
        <v>100</v>
      </c>
      <c r="J197" s="3">
        <v>95</v>
      </c>
      <c r="K197" s="3">
        <v>40</v>
      </c>
      <c r="L197" s="3">
        <v>70</v>
      </c>
      <c r="M197" s="3">
        <v>110</v>
      </c>
      <c r="N197" s="3">
        <f>AVERAGE($I$2:$I$1168)</f>
        <v>78.907455012853475</v>
      </c>
      <c r="O197" s="3" t="str">
        <f>CONCATENATE(A197,"-",B197)</f>
        <v>128-Tauros</v>
      </c>
    </row>
    <row r="198" spans="1:15">
      <c r="A198" s="63">
        <v>129</v>
      </c>
      <c r="B198" s="2" t="s">
        <v>167</v>
      </c>
      <c r="C198" t="s">
        <v>30</v>
      </c>
      <c r="D198" s="22">
        <f>COUNTIF($C$2:$C$1168,Tabela1[[#This Row],[Type]])</f>
        <v>121</v>
      </c>
      <c r="E198" s="62" t="str">
        <f>IF(A198&lt;=151,"Kanto",IF(A198&lt;=251,"Johto",IF(A198&lt;=386,"Hoenn",IF(A198&lt;=493,"Sinnoh",IF(A198&lt;=649,"Unova",IF(A198&lt;=721,"Kalos",IF(A198&lt;=809,"Alola",IF(A198&lt;=905,"Galar","Paldea"))))))))</f>
        <v>Kanto</v>
      </c>
      <c r="F198" t="str">
        <f>IF(G198&gt;=600,"Lendário",IF(G198&gt;=500,"Forte","Normal"))</f>
        <v>Normal</v>
      </c>
      <c r="G198" s="3">
        <v>200</v>
      </c>
      <c r="H198" s="3">
        <v>20</v>
      </c>
      <c r="I198" s="3">
        <v>10</v>
      </c>
      <c r="J198" s="3">
        <v>55</v>
      </c>
      <c r="K198" s="3">
        <v>15</v>
      </c>
      <c r="L198" s="3">
        <v>20</v>
      </c>
      <c r="M198" s="3">
        <v>80</v>
      </c>
      <c r="N198" s="3">
        <f>AVERAGE($I$2:$I$1168)</f>
        <v>78.907455012853475</v>
      </c>
      <c r="O198" s="3" t="str">
        <f>CONCATENATE(A198,"-",B198)</f>
        <v>129-Magikarp</v>
      </c>
    </row>
    <row r="199" spans="1:15">
      <c r="A199" s="63">
        <v>130</v>
      </c>
      <c r="B199" s="2" t="s">
        <v>168</v>
      </c>
      <c r="C199" t="s">
        <v>30</v>
      </c>
      <c r="D199" s="22">
        <f>COUNTIF($C$2:$C$1168,Tabela1[[#This Row],[Type]])</f>
        <v>121</v>
      </c>
      <c r="E199" s="62" t="str">
        <f>IF(A199&lt;=151,"Kanto",IF(A199&lt;=251,"Johto",IF(A199&lt;=386,"Hoenn",IF(A199&lt;=493,"Sinnoh",IF(A199&lt;=649,"Unova",IF(A199&lt;=721,"Kalos",IF(A199&lt;=809,"Alola",IF(A199&lt;=905,"Galar","Paldea"))))))))</f>
        <v>Kanto</v>
      </c>
      <c r="F199" t="str">
        <f>IF(G199&gt;=600,"Lendário",IF(G199&gt;=500,"Forte","Normal"))</f>
        <v>Forte</v>
      </c>
      <c r="G199" s="3">
        <v>540</v>
      </c>
      <c r="H199" s="3">
        <v>95</v>
      </c>
      <c r="I199" s="3">
        <v>125</v>
      </c>
      <c r="J199" s="3">
        <v>79</v>
      </c>
      <c r="K199" s="3">
        <v>60</v>
      </c>
      <c r="L199" s="3">
        <v>100</v>
      </c>
      <c r="M199" s="3">
        <v>81</v>
      </c>
      <c r="N199" s="3">
        <f>AVERAGE($I$2:$I$1168)</f>
        <v>78.907455012853475</v>
      </c>
      <c r="O199" s="3" t="str">
        <f>CONCATENATE(A199,"-",B199)</f>
        <v>130-Gyarados</v>
      </c>
    </row>
    <row r="200" spans="1:15">
      <c r="A200" s="63">
        <v>130</v>
      </c>
      <c r="B200" s="2" t="str">
        <f>B199</f>
        <v>Gyarados</v>
      </c>
      <c r="C200" t="s">
        <v>25</v>
      </c>
      <c r="D200" s="22">
        <f>COUNTIF($C$2:$C$1168,Tabela1[[#This Row],[Type]])</f>
        <v>100</v>
      </c>
      <c r="E200" s="62" t="str">
        <f>IF(A200&lt;=151,"Kanto",IF(A200&lt;=251,"Johto",IF(A200&lt;=386,"Hoenn",IF(A200&lt;=493,"Sinnoh",IF(A200&lt;=649,"Unova",IF(A200&lt;=721,"Kalos",IF(A200&lt;=809,"Alola",IF(A200&lt;=905,"Galar","Paldea"))))))))</f>
        <v>Kanto</v>
      </c>
      <c r="F200" t="str">
        <f>IF(G200&gt;=600,"Lendário",IF(G200&gt;=500,"Forte","Normal"))</f>
        <v>Forte</v>
      </c>
      <c r="G200" s="3">
        <f>G199</f>
        <v>540</v>
      </c>
      <c r="H200" s="3">
        <f>H199</f>
        <v>95</v>
      </c>
      <c r="I200" s="3">
        <f>I199</f>
        <v>125</v>
      </c>
      <c r="J200" s="3">
        <f>J199</f>
        <v>79</v>
      </c>
      <c r="K200" s="3">
        <f>K199</f>
        <v>60</v>
      </c>
      <c r="L200" s="3">
        <f>L199</f>
        <v>100</v>
      </c>
      <c r="M200" s="3">
        <f>M199</f>
        <v>81</v>
      </c>
      <c r="N200" s="3">
        <f>AVERAGE($I$2:$I$1168)</f>
        <v>78.907455012853475</v>
      </c>
      <c r="O200" s="3" t="str">
        <f>CONCATENATE(A200,"-",B200)</f>
        <v>130-Gyarados</v>
      </c>
    </row>
    <row r="201" spans="1:15">
      <c r="A201" s="63">
        <v>130.1</v>
      </c>
      <c r="B201" s="2" t="s">
        <v>169</v>
      </c>
      <c r="C201" t="s">
        <v>30</v>
      </c>
      <c r="D201" s="22">
        <f>COUNTIF($C$2:$C$1168,Tabela1[[#This Row],[Type]])</f>
        <v>121</v>
      </c>
      <c r="E201" s="62" t="str">
        <f>IF(A201&lt;=151,"Kanto",IF(A201&lt;=251,"Johto",IF(A201&lt;=386,"Hoenn",IF(A201&lt;=493,"Sinnoh",IF(A201&lt;=649,"Unova",IF(A201&lt;=721,"Kalos",IF(A201&lt;=809,"Alola",IF(A201&lt;=905,"Galar","Paldea"))))))))</f>
        <v>Kanto</v>
      </c>
      <c r="F201" t="str">
        <f>IF(G201&gt;=600,"Lendário",IF(G201&gt;=500,"Forte","Normal"))</f>
        <v>Lendário</v>
      </c>
      <c r="G201" s="3">
        <v>640</v>
      </c>
      <c r="H201" s="3">
        <v>95</v>
      </c>
      <c r="I201" s="3">
        <v>155</v>
      </c>
      <c r="J201" s="3">
        <v>109</v>
      </c>
      <c r="K201" s="3">
        <v>70</v>
      </c>
      <c r="L201" s="3">
        <v>130</v>
      </c>
      <c r="M201" s="3">
        <v>81</v>
      </c>
      <c r="N201" s="3">
        <f>AVERAGE($I$2:$I$1168)</f>
        <v>78.907455012853475</v>
      </c>
      <c r="O201" s="3" t="str">
        <f>CONCATENATE(A201,"-",B201)</f>
        <v>130,1-Mega Gyarados</v>
      </c>
    </row>
    <row r="202" spans="1:15">
      <c r="A202" s="63">
        <v>130.1</v>
      </c>
      <c r="B202" s="2" t="s">
        <v>169</v>
      </c>
      <c r="C202" t="s">
        <v>170</v>
      </c>
      <c r="D202" s="22">
        <f>COUNTIF($C$2:$C$1168,Tabela1[[#This Row],[Type]])</f>
        <v>49</v>
      </c>
      <c r="E202" s="62" t="str">
        <f>IF(A202&lt;=151,"Kanto",IF(A202&lt;=251,"Johto",IF(A202&lt;=386,"Hoenn",IF(A202&lt;=493,"Sinnoh",IF(A202&lt;=649,"Unova",IF(A202&lt;=721,"Kalos",IF(A202&lt;=809,"Alola",IF(A202&lt;=905,"Galar","Paldea"))))))))</f>
        <v>Kanto</v>
      </c>
      <c r="F202" t="str">
        <f>IF(G202&gt;=600,"Lendário",IF(G202&gt;=500,"Forte","Normal"))</f>
        <v>Lendário</v>
      </c>
      <c r="G202" s="3">
        <f>G201</f>
        <v>640</v>
      </c>
      <c r="H202" s="3">
        <f>H201</f>
        <v>95</v>
      </c>
      <c r="I202" s="3">
        <f>I201</f>
        <v>155</v>
      </c>
      <c r="J202" s="3">
        <f>J201</f>
        <v>109</v>
      </c>
      <c r="K202" s="3">
        <f>K201</f>
        <v>70</v>
      </c>
      <c r="L202" s="3">
        <f>L201</f>
        <v>130</v>
      </c>
      <c r="M202" s="3">
        <f>M201</f>
        <v>81</v>
      </c>
      <c r="N202" s="3">
        <f>AVERAGE($I$2:$I$1168)</f>
        <v>78.907455012853475</v>
      </c>
      <c r="O202" s="3" t="str">
        <f>CONCATENATE(A202,"-",B202)</f>
        <v>130,1-Mega Gyarados</v>
      </c>
    </row>
    <row r="203" spans="1:15">
      <c r="A203" s="63">
        <v>131</v>
      </c>
      <c r="B203" s="2" t="s">
        <v>171</v>
      </c>
      <c r="C203" t="s">
        <v>30</v>
      </c>
      <c r="D203" s="22">
        <f>COUNTIF($C$2:$C$1168,Tabela1[[#This Row],[Type]])</f>
        <v>121</v>
      </c>
      <c r="E203" s="62" t="str">
        <f>IF(A203&lt;=151,"Kanto",IF(A203&lt;=251,"Johto",IF(A203&lt;=386,"Hoenn",IF(A203&lt;=493,"Sinnoh",IF(A203&lt;=649,"Unova",IF(A203&lt;=721,"Kalos",IF(A203&lt;=809,"Alola",IF(A203&lt;=905,"Galar","Paldea"))))))))</f>
        <v>Kanto</v>
      </c>
      <c r="F203" t="str">
        <f>IF(G203&gt;=600,"Lendário",IF(G203&gt;=500,"Forte","Normal"))</f>
        <v>Forte</v>
      </c>
      <c r="G203" s="3">
        <v>535</v>
      </c>
      <c r="H203" s="3">
        <v>130</v>
      </c>
      <c r="I203" s="3">
        <v>85</v>
      </c>
      <c r="J203" s="3">
        <v>80</v>
      </c>
      <c r="K203" s="3">
        <v>85</v>
      </c>
      <c r="L203" s="3">
        <v>95</v>
      </c>
      <c r="M203" s="3">
        <v>60</v>
      </c>
      <c r="N203" s="3">
        <f>AVERAGE($I$2:$I$1168)</f>
        <v>78.907455012853475</v>
      </c>
      <c r="O203" s="3" t="str">
        <f>CONCATENATE(A203,"-",B203)</f>
        <v>131-Lapras</v>
      </c>
    </row>
    <row r="204" spans="1:15">
      <c r="A204" s="63">
        <v>131</v>
      </c>
      <c r="B204" s="2" t="str">
        <f>B203</f>
        <v>Lapras</v>
      </c>
      <c r="C204" t="s">
        <v>122</v>
      </c>
      <c r="D204" s="22">
        <f>COUNTIF($C$2:$C$1168,Tabela1[[#This Row],[Type]])</f>
        <v>37</v>
      </c>
      <c r="E204" s="62" t="str">
        <f>IF(A204&lt;=151,"Kanto",IF(A204&lt;=251,"Johto",IF(A204&lt;=386,"Hoenn",IF(A204&lt;=493,"Sinnoh",IF(A204&lt;=649,"Unova",IF(A204&lt;=721,"Kalos",IF(A204&lt;=809,"Alola",IF(A204&lt;=905,"Galar","Paldea"))))))))</f>
        <v>Kanto</v>
      </c>
      <c r="F204" t="str">
        <f>IF(G204&gt;=600,"Lendário",IF(G204&gt;=500,"Forte","Normal"))</f>
        <v>Forte</v>
      </c>
      <c r="G204" s="3">
        <f>G203</f>
        <v>535</v>
      </c>
      <c r="H204" s="3">
        <f>H203</f>
        <v>130</v>
      </c>
      <c r="I204" s="3">
        <f>I203</f>
        <v>85</v>
      </c>
      <c r="J204" s="3">
        <f>J203</f>
        <v>80</v>
      </c>
      <c r="K204" s="3">
        <f>K203</f>
        <v>85</v>
      </c>
      <c r="L204" s="3">
        <f>L203</f>
        <v>95</v>
      </c>
      <c r="M204" s="3">
        <f>M203</f>
        <v>60</v>
      </c>
      <c r="N204" s="3">
        <f>AVERAGE($I$2:$I$1168)</f>
        <v>78.907455012853475</v>
      </c>
      <c r="O204" s="3" t="str">
        <f>CONCATENATE(A204,"-",B204)</f>
        <v>131-Lapras</v>
      </c>
    </row>
    <row r="205" spans="1:15">
      <c r="A205" s="63">
        <v>132</v>
      </c>
      <c r="B205" s="2" t="s">
        <v>172</v>
      </c>
      <c r="C205" t="s">
        <v>42</v>
      </c>
      <c r="D205" s="22">
        <f>COUNTIF($C$2:$C$1168,Tabela1[[#This Row],[Type]])</f>
        <v>99</v>
      </c>
      <c r="E205" s="62" t="str">
        <f>IF(A205&lt;=151,"Kanto",IF(A205&lt;=251,"Johto",IF(A205&lt;=386,"Hoenn",IF(A205&lt;=493,"Sinnoh",IF(A205&lt;=649,"Unova",IF(A205&lt;=721,"Kalos",IF(A205&lt;=809,"Alola",IF(A205&lt;=905,"Galar","Paldea"))))))))</f>
        <v>Kanto</v>
      </c>
      <c r="F205" t="str">
        <f>IF(G205&gt;=600,"Lendário",IF(G205&gt;=500,"Forte","Normal"))</f>
        <v>Normal</v>
      </c>
      <c r="G205" s="3">
        <v>288</v>
      </c>
      <c r="H205" s="3">
        <v>48</v>
      </c>
      <c r="I205" s="3">
        <v>48</v>
      </c>
      <c r="J205" s="3">
        <v>48</v>
      </c>
      <c r="K205" s="3">
        <v>48</v>
      </c>
      <c r="L205" s="3">
        <v>48</v>
      </c>
      <c r="M205" s="3">
        <v>48</v>
      </c>
      <c r="N205" s="3">
        <f>AVERAGE($I$2:$I$1168)</f>
        <v>78.907455012853475</v>
      </c>
      <c r="O205" s="3" t="str">
        <f>CONCATENATE(A205,"-",B205)</f>
        <v>132-Ditto</v>
      </c>
    </row>
    <row r="206" spans="1:15">
      <c r="A206" s="63">
        <v>132</v>
      </c>
      <c r="B206" s="2" t="str">
        <f>B205</f>
        <v>Ditto</v>
      </c>
      <c r="C206" t="s">
        <v>25</v>
      </c>
      <c r="D206" s="22">
        <f>COUNTIF($C$2:$C$1168,Tabela1[[#This Row],[Type]])</f>
        <v>100</v>
      </c>
      <c r="E206" s="62" t="str">
        <f>IF(A206&lt;=151,"Kanto",IF(A206&lt;=251,"Johto",IF(A206&lt;=386,"Hoenn",IF(A206&lt;=493,"Sinnoh",IF(A206&lt;=649,"Unova",IF(A206&lt;=721,"Kalos",IF(A206&lt;=809,"Alola",IF(A206&lt;=905,"Galar","Paldea"))))))))</f>
        <v>Kanto</v>
      </c>
      <c r="F206" t="str">
        <f>IF(G206&gt;=600,"Lendário",IF(G206&gt;=500,"Forte","Normal"))</f>
        <v>Normal</v>
      </c>
      <c r="G206" s="3">
        <f>G205</f>
        <v>288</v>
      </c>
      <c r="H206" s="3">
        <f>H205</f>
        <v>48</v>
      </c>
      <c r="I206" s="3">
        <f>I205</f>
        <v>48</v>
      </c>
      <c r="J206" s="3">
        <f>J205</f>
        <v>48</v>
      </c>
      <c r="K206" s="3">
        <f>K205</f>
        <v>48</v>
      </c>
      <c r="L206" s="3">
        <f>L205</f>
        <v>48</v>
      </c>
      <c r="M206" s="3">
        <f>M205</f>
        <v>48</v>
      </c>
      <c r="N206" s="3">
        <f>AVERAGE($I$2:$I$1168)</f>
        <v>78.907455012853475</v>
      </c>
      <c r="O206" s="3" t="str">
        <f>CONCATENATE(A206,"-",B206)</f>
        <v>132-Ditto</v>
      </c>
    </row>
    <row r="207" spans="1:15">
      <c r="A207" s="63">
        <v>133</v>
      </c>
      <c r="B207" s="2" t="s">
        <v>173</v>
      </c>
      <c r="C207" t="s">
        <v>42</v>
      </c>
      <c r="D207" s="22">
        <f>COUNTIF($C$2:$C$1168,Tabela1[[#This Row],[Type]])</f>
        <v>99</v>
      </c>
      <c r="E207" s="62" t="str">
        <f>IF(A207&lt;=151,"Kanto",IF(A207&lt;=251,"Johto",IF(A207&lt;=386,"Hoenn",IF(A207&lt;=493,"Sinnoh",IF(A207&lt;=649,"Unova",IF(A207&lt;=721,"Kalos",IF(A207&lt;=809,"Alola",IF(A207&lt;=905,"Galar","Paldea"))))))))</f>
        <v>Kanto</v>
      </c>
      <c r="F207" t="str">
        <f>IF(G207&gt;=600,"Lendário",IF(G207&gt;=500,"Forte","Normal"))</f>
        <v>Normal</v>
      </c>
      <c r="G207" s="3">
        <v>325</v>
      </c>
      <c r="H207" s="3">
        <v>55</v>
      </c>
      <c r="I207" s="3">
        <v>55</v>
      </c>
      <c r="J207" s="3">
        <v>50</v>
      </c>
      <c r="K207" s="3">
        <v>45</v>
      </c>
      <c r="L207" s="3">
        <v>65</v>
      </c>
      <c r="M207" s="3">
        <v>55</v>
      </c>
      <c r="N207" s="3">
        <f>AVERAGE($I$2:$I$1168)</f>
        <v>78.907455012853475</v>
      </c>
      <c r="O207" s="3" t="str">
        <f>CONCATENATE(A207,"-",B207)</f>
        <v>133-Eevee</v>
      </c>
    </row>
    <row r="208" spans="1:15">
      <c r="A208" s="63">
        <v>133</v>
      </c>
      <c r="B208" s="2" t="str">
        <f>B207</f>
        <v>Eevee</v>
      </c>
      <c r="C208" t="s">
        <v>25</v>
      </c>
      <c r="D208" s="22">
        <f>COUNTIF($C$2:$C$1168,Tabela1[[#This Row],[Type]])</f>
        <v>100</v>
      </c>
      <c r="E208" s="62" t="str">
        <f>IF(A208&lt;=151,"Kanto",IF(A208&lt;=251,"Johto",IF(A208&lt;=386,"Hoenn",IF(A208&lt;=493,"Sinnoh",IF(A208&lt;=649,"Unova",IF(A208&lt;=721,"Kalos",IF(A208&lt;=809,"Alola",IF(A208&lt;=905,"Galar","Paldea"))))))))</f>
        <v>Kanto</v>
      </c>
      <c r="F208" t="str">
        <f>IF(G208&gt;=600,"Lendário",IF(G208&gt;=500,"Forte","Normal"))</f>
        <v>Normal</v>
      </c>
      <c r="G208" s="3">
        <f>G207</f>
        <v>325</v>
      </c>
      <c r="H208" s="3">
        <f>H207</f>
        <v>55</v>
      </c>
      <c r="I208" s="3">
        <f>I207</f>
        <v>55</v>
      </c>
      <c r="J208" s="3">
        <f>J207</f>
        <v>50</v>
      </c>
      <c r="K208" s="3">
        <f>K207</f>
        <v>45</v>
      </c>
      <c r="L208" s="3">
        <f>L207</f>
        <v>65</v>
      </c>
      <c r="M208" s="3">
        <f>M207</f>
        <v>55</v>
      </c>
      <c r="N208" s="3">
        <f>AVERAGE($I$2:$I$1168)</f>
        <v>78.907455012853475</v>
      </c>
      <c r="O208" s="3" t="str">
        <f>CONCATENATE(A208,"-",B208)</f>
        <v>133-Eevee</v>
      </c>
    </row>
    <row r="209" spans="1:15">
      <c r="A209" s="63">
        <v>134</v>
      </c>
      <c r="B209" s="2" t="s">
        <v>174</v>
      </c>
      <c r="C209" t="s">
        <v>30</v>
      </c>
      <c r="D209" s="22">
        <f>COUNTIF($C$2:$C$1168,Tabela1[[#This Row],[Type]])</f>
        <v>121</v>
      </c>
      <c r="E209" s="62" t="str">
        <f>IF(A209&lt;=151,"Kanto",IF(A209&lt;=251,"Johto",IF(A209&lt;=386,"Hoenn",IF(A209&lt;=493,"Sinnoh",IF(A209&lt;=649,"Unova",IF(A209&lt;=721,"Kalos",IF(A209&lt;=809,"Alola",IF(A209&lt;=905,"Galar","Paldea"))))))))</f>
        <v>Kanto</v>
      </c>
      <c r="F209" t="str">
        <f>IF(G209&gt;=600,"Lendário",IF(G209&gt;=500,"Forte","Normal"))</f>
        <v>Forte</v>
      </c>
      <c r="G209" s="3">
        <v>525</v>
      </c>
      <c r="H209" s="3">
        <v>130</v>
      </c>
      <c r="I209" s="3">
        <v>65</v>
      </c>
      <c r="J209" s="3">
        <v>60</v>
      </c>
      <c r="K209" s="3">
        <v>110</v>
      </c>
      <c r="L209" s="3">
        <v>95</v>
      </c>
      <c r="M209" s="3">
        <v>65</v>
      </c>
      <c r="N209" s="3">
        <f>AVERAGE($I$2:$I$1168)</f>
        <v>78.907455012853475</v>
      </c>
      <c r="O209" s="3" t="str">
        <f>CONCATENATE(A209,"-",B209)</f>
        <v>134-Vaporeon</v>
      </c>
    </row>
    <row r="210" spans="1:15">
      <c r="A210" s="63">
        <v>135</v>
      </c>
      <c r="B210" s="2" t="s">
        <v>175</v>
      </c>
      <c r="C210" t="s">
        <v>52</v>
      </c>
      <c r="D210" s="22">
        <f>COUNTIF($C$2:$C$1168,Tabela1[[#This Row],[Type]])</f>
        <v>51</v>
      </c>
      <c r="E210" s="62" t="str">
        <f>IF(A210&lt;=151,"Kanto",IF(A210&lt;=251,"Johto",IF(A210&lt;=386,"Hoenn",IF(A210&lt;=493,"Sinnoh",IF(A210&lt;=649,"Unova",IF(A210&lt;=721,"Kalos",IF(A210&lt;=809,"Alola",IF(A210&lt;=905,"Galar","Paldea"))))))))</f>
        <v>Kanto</v>
      </c>
      <c r="F210" t="str">
        <f>IF(G210&gt;=600,"Lendário",IF(G210&gt;=500,"Forte","Normal"))</f>
        <v>Forte</v>
      </c>
      <c r="G210" s="3">
        <v>525</v>
      </c>
      <c r="H210" s="3">
        <v>65</v>
      </c>
      <c r="I210" s="3">
        <v>65</v>
      </c>
      <c r="J210" s="3">
        <v>60</v>
      </c>
      <c r="K210" s="3">
        <v>110</v>
      </c>
      <c r="L210" s="3">
        <v>95</v>
      </c>
      <c r="M210" s="3">
        <v>130</v>
      </c>
      <c r="N210" s="3">
        <f>AVERAGE($I$2:$I$1168)</f>
        <v>78.907455012853475</v>
      </c>
      <c r="O210" s="3" t="str">
        <f>CONCATENATE(A210,"-",B210)</f>
        <v>135-Jolteon</v>
      </c>
    </row>
    <row r="211" spans="1:15">
      <c r="A211" s="63">
        <v>136</v>
      </c>
      <c r="B211" s="2" t="s">
        <v>176</v>
      </c>
      <c r="C211" t="s">
        <v>22</v>
      </c>
      <c r="D211" s="22">
        <f>COUNTIF($C$2:$C$1168,Tabela1[[#This Row],[Type]])</f>
        <v>62</v>
      </c>
      <c r="E211" s="62" t="str">
        <f>IF(A211&lt;=151,"Kanto",IF(A211&lt;=251,"Johto",IF(A211&lt;=386,"Hoenn",IF(A211&lt;=493,"Sinnoh",IF(A211&lt;=649,"Unova",IF(A211&lt;=721,"Kalos",IF(A211&lt;=809,"Alola",IF(A211&lt;=905,"Galar","Paldea"))))))))</f>
        <v>Kanto</v>
      </c>
      <c r="F211" t="str">
        <f>IF(G211&gt;=600,"Lendário",IF(G211&gt;=500,"Forte","Normal"))</f>
        <v>Forte</v>
      </c>
      <c r="G211" s="3">
        <v>525</v>
      </c>
      <c r="H211" s="3">
        <v>65</v>
      </c>
      <c r="I211" s="3">
        <v>130</v>
      </c>
      <c r="J211" s="3">
        <v>60</v>
      </c>
      <c r="K211" s="3">
        <v>95</v>
      </c>
      <c r="L211" s="3">
        <v>110</v>
      </c>
      <c r="M211" s="3">
        <v>65</v>
      </c>
      <c r="N211" s="3">
        <f>AVERAGE($I$2:$I$1168)</f>
        <v>78.907455012853475</v>
      </c>
      <c r="O211" s="3" t="str">
        <f>CONCATENATE(A211,"-",B211)</f>
        <v>136-Flareon</v>
      </c>
    </row>
    <row r="212" spans="1:15">
      <c r="A212" s="63">
        <v>136</v>
      </c>
      <c r="B212" s="2" t="str">
        <f>B211</f>
        <v>Flareon</v>
      </c>
      <c r="C212" t="s">
        <v>42</v>
      </c>
      <c r="D212" s="22">
        <f>COUNTIF($C$2:$C$1168,Tabela1[[#This Row],[Type]])</f>
        <v>99</v>
      </c>
      <c r="E212" s="62" t="str">
        <f>IF(A212&lt;=151,"Kanto",IF(A212&lt;=251,"Johto",IF(A212&lt;=386,"Hoenn",IF(A212&lt;=493,"Sinnoh",IF(A212&lt;=649,"Unova",IF(A212&lt;=721,"Kalos",IF(A212&lt;=809,"Alola",IF(A212&lt;=905,"Galar","Paldea"))))))))</f>
        <v>Kanto</v>
      </c>
      <c r="F212" t="str">
        <f>IF(G212&gt;=600,"Lendário",IF(G212&gt;=500,"Forte","Normal"))</f>
        <v>Forte</v>
      </c>
      <c r="G212" s="3">
        <f>G211</f>
        <v>525</v>
      </c>
      <c r="H212" s="3">
        <f>H211</f>
        <v>65</v>
      </c>
      <c r="I212" s="3">
        <f>I211</f>
        <v>130</v>
      </c>
      <c r="J212" s="3">
        <f>J211</f>
        <v>60</v>
      </c>
      <c r="K212" s="3">
        <f>K211</f>
        <v>95</v>
      </c>
      <c r="L212" s="3">
        <f>L211</f>
        <v>110</v>
      </c>
      <c r="M212" s="3">
        <f>M211</f>
        <v>65</v>
      </c>
      <c r="N212" s="3">
        <f>AVERAGE($I$2:$I$1168)</f>
        <v>78.907455012853475</v>
      </c>
      <c r="O212" s="3" t="str">
        <f>CONCATENATE(A212,"-",B212)</f>
        <v>136-Flareon</v>
      </c>
    </row>
    <row r="213" spans="1:15">
      <c r="A213" s="63">
        <v>137</v>
      </c>
      <c r="B213" s="2" t="s">
        <v>177</v>
      </c>
      <c r="C213" t="s">
        <v>42</v>
      </c>
      <c r="D213" s="22">
        <f>COUNTIF($C$2:$C$1168,Tabela1[[#This Row],[Type]])</f>
        <v>99</v>
      </c>
      <c r="E213" s="62" t="str">
        <f>IF(A213&lt;=151,"Kanto",IF(A213&lt;=251,"Johto",IF(A213&lt;=386,"Hoenn",IF(A213&lt;=493,"Sinnoh",IF(A213&lt;=649,"Unova",IF(A213&lt;=721,"Kalos",IF(A213&lt;=809,"Alola",IF(A213&lt;=905,"Galar","Paldea"))))))))</f>
        <v>Kanto</v>
      </c>
      <c r="F213" t="str">
        <f>IF(G213&gt;=600,"Lendário",IF(G213&gt;=500,"Forte","Normal"))</f>
        <v>Normal</v>
      </c>
      <c r="G213" s="3">
        <v>395</v>
      </c>
      <c r="H213" s="3">
        <v>65</v>
      </c>
      <c r="I213" s="3">
        <v>60</v>
      </c>
      <c r="J213" s="3">
        <v>70</v>
      </c>
      <c r="K213" s="3">
        <v>85</v>
      </c>
      <c r="L213" s="3">
        <v>75</v>
      </c>
      <c r="M213" s="3">
        <v>40</v>
      </c>
      <c r="N213" s="3">
        <f>AVERAGE($I$2:$I$1168)</f>
        <v>78.907455012853475</v>
      </c>
      <c r="O213" s="3" t="str">
        <f>CONCATENATE(A213,"-",B213)</f>
        <v>137-Porygon</v>
      </c>
    </row>
    <row r="214" spans="1:15">
      <c r="A214" s="63">
        <v>138</v>
      </c>
      <c r="B214" s="2" t="s">
        <v>178</v>
      </c>
      <c r="C214" t="s">
        <v>107</v>
      </c>
      <c r="D214" s="22">
        <f>COUNTIF($C$2:$C$1168,Tabela1[[#This Row],[Type]])</f>
        <v>56</v>
      </c>
      <c r="E214" s="62" t="str">
        <f>IF(A214&lt;=151,"Kanto",IF(A214&lt;=251,"Johto",IF(A214&lt;=386,"Hoenn",IF(A214&lt;=493,"Sinnoh",IF(A214&lt;=649,"Unova",IF(A214&lt;=721,"Kalos",IF(A214&lt;=809,"Alola",IF(A214&lt;=905,"Galar","Paldea"))))))))</f>
        <v>Kanto</v>
      </c>
      <c r="F214" t="str">
        <f>IF(G214&gt;=600,"Lendário",IF(G214&gt;=500,"Forte","Normal"))</f>
        <v>Normal</v>
      </c>
      <c r="G214" s="3">
        <v>355</v>
      </c>
      <c r="H214" s="3">
        <v>35</v>
      </c>
      <c r="I214" s="3">
        <v>40</v>
      </c>
      <c r="J214" s="3">
        <v>100</v>
      </c>
      <c r="K214" s="3">
        <v>90</v>
      </c>
      <c r="L214" s="3">
        <v>55</v>
      </c>
      <c r="M214" s="3">
        <v>35</v>
      </c>
      <c r="N214" s="3">
        <f>AVERAGE($I$2:$I$1168)</f>
        <v>78.907455012853475</v>
      </c>
      <c r="O214" s="3" t="str">
        <f>CONCATENATE(A214,"-",B214)</f>
        <v>138-Omanyte</v>
      </c>
    </row>
    <row r="215" spans="1:15">
      <c r="A215" s="63">
        <v>138</v>
      </c>
      <c r="B215" s="2" t="str">
        <f>B214</f>
        <v>Omanyte</v>
      </c>
      <c r="C215" t="s">
        <v>30</v>
      </c>
      <c r="D215" s="22">
        <f>COUNTIF($C$2:$C$1168,Tabela1[[#This Row],[Type]])</f>
        <v>121</v>
      </c>
      <c r="E215" s="62" t="str">
        <f>IF(A215&lt;=151,"Kanto",IF(A215&lt;=251,"Johto",IF(A215&lt;=386,"Hoenn",IF(A215&lt;=493,"Sinnoh",IF(A215&lt;=649,"Unova",IF(A215&lt;=721,"Kalos",IF(A215&lt;=809,"Alola",IF(A215&lt;=905,"Galar","Paldea"))))))))</f>
        <v>Kanto</v>
      </c>
      <c r="F215" t="str">
        <f>IF(G215&gt;=600,"Lendário",IF(G215&gt;=500,"Forte","Normal"))</f>
        <v>Normal</v>
      </c>
      <c r="G215" s="3">
        <f>G214</f>
        <v>355</v>
      </c>
      <c r="H215" s="3">
        <f>H214</f>
        <v>35</v>
      </c>
      <c r="I215" s="3">
        <f>I214</f>
        <v>40</v>
      </c>
      <c r="J215" s="3">
        <f>J214</f>
        <v>100</v>
      </c>
      <c r="K215" s="3">
        <f>K214</f>
        <v>90</v>
      </c>
      <c r="L215" s="3">
        <f>L214</f>
        <v>55</v>
      </c>
      <c r="M215" s="3">
        <f>M214</f>
        <v>35</v>
      </c>
      <c r="N215" s="3">
        <f>AVERAGE($I$2:$I$1168)</f>
        <v>78.907455012853475</v>
      </c>
      <c r="O215" s="3" t="str">
        <f>CONCATENATE(A215,"-",B215)</f>
        <v>138-Omanyte</v>
      </c>
    </row>
    <row r="216" spans="1:15">
      <c r="A216" s="63">
        <v>139</v>
      </c>
      <c r="B216" s="2" t="s">
        <v>179</v>
      </c>
      <c r="C216" t="s">
        <v>107</v>
      </c>
      <c r="D216" s="22">
        <f>COUNTIF($C$2:$C$1168,Tabela1[[#This Row],[Type]])</f>
        <v>56</v>
      </c>
      <c r="E216" s="62" t="str">
        <f>IF(A216&lt;=151,"Kanto",IF(A216&lt;=251,"Johto",IF(A216&lt;=386,"Hoenn",IF(A216&lt;=493,"Sinnoh",IF(A216&lt;=649,"Unova",IF(A216&lt;=721,"Kalos",IF(A216&lt;=809,"Alola",IF(A216&lt;=905,"Galar","Paldea"))))))))</f>
        <v>Kanto</v>
      </c>
      <c r="F216" t="str">
        <f>IF(G216&gt;=600,"Lendário",IF(G216&gt;=500,"Forte","Normal"))</f>
        <v>Normal</v>
      </c>
      <c r="G216" s="3">
        <v>495</v>
      </c>
      <c r="H216" s="3">
        <v>70</v>
      </c>
      <c r="I216" s="3">
        <v>60</v>
      </c>
      <c r="J216" s="3">
        <v>125</v>
      </c>
      <c r="K216" s="3">
        <v>115</v>
      </c>
      <c r="L216" s="3">
        <v>70</v>
      </c>
      <c r="M216" s="3">
        <v>55</v>
      </c>
      <c r="N216" s="3">
        <f>AVERAGE($I$2:$I$1168)</f>
        <v>78.907455012853475</v>
      </c>
      <c r="O216" s="3" t="str">
        <f>CONCATENATE(A216,"-",B216)</f>
        <v>139-Omastar</v>
      </c>
    </row>
    <row r="217" spans="1:15">
      <c r="A217" s="63">
        <v>139</v>
      </c>
      <c r="B217" s="2" t="str">
        <f>B216</f>
        <v>Omastar</v>
      </c>
      <c r="C217" t="s">
        <v>30</v>
      </c>
      <c r="D217" s="22">
        <f>COUNTIF($C$2:$C$1168,Tabela1[[#This Row],[Type]])</f>
        <v>121</v>
      </c>
      <c r="E217" s="62" t="str">
        <f>IF(A217&lt;=151,"Kanto",IF(A217&lt;=251,"Johto",IF(A217&lt;=386,"Hoenn",IF(A217&lt;=493,"Sinnoh",IF(A217&lt;=649,"Unova",IF(A217&lt;=721,"Kalos",IF(A217&lt;=809,"Alola",IF(A217&lt;=905,"Galar","Paldea"))))))))</f>
        <v>Kanto</v>
      </c>
      <c r="F217" t="str">
        <f>IF(G217&gt;=600,"Lendário",IF(G217&gt;=500,"Forte","Normal"))</f>
        <v>Normal</v>
      </c>
      <c r="G217" s="3">
        <f>G216</f>
        <v>495</v>
      </c>
      <c r="H217" s="3">
        <f>H216</f>
        <v>70</v>
      </c>
      <c r="I217" s="3">
        <f>I216</f>
        <v>60</v>
      </c>
      <c r="J217" s="3">
        <f>J216</f>
        <v>125</v>
      </c>
      <c r="K217" s="3">
        <f>K216</f>
        <v>115</v>
      </c>
      <c r="L217" s="3">
        <f>L216</f>
        <v>70</v>
      </c>
      <c r="M217" s="3">
        <f>M216</f>
        <v>55</v>
      </c>
      <c r="N217" s="3">
        <f>AVERAGE($I$2:$I$1168)</f>
        <v>78.907455012853475</v>
      </c>
      <c r="O217" s="3" t="str">
        <f>CONCATENATE(A217,"-",B217)</f>
        <v>139-Omastar</v>
      </c>
    </row>
    <row r="218" spans="1:15">
      <c r="A218" s="63">
        <v>140</v>
      </c>
      <c r="B218" s="2" t="s">
        <v>180</v>
      </c>
      <c r="C218" t="s">
        <v>107</v>
      </c>
      <c r="D218" s="22">
        <f>COUNTIF($C$2:$C$1168,Tabela1[[#This Row],[Type]])</f>
        <v>56</v>
      </c>
      <c r="E218" s="62" t="str">
        <f>IF(A218&lt;=151,"Kanto",IF(A218&lt;=251,"Johto",IF(A218&lt;=386,"Hoenn",IF(A218&lt;=493,"Sinnoh",IF(A218&lt;=649,"Unova",IF(A218&lt;=721,"Kalos",IF(A218&lt;=809,"Alola",IF(A218&lt;=905,"Galar","Paldea"))))))))</f>
        <v>Kanto</v>
      </c>
      <c r="F218" t="str">
        <f>IF(G218&gt;=600,"Lendário",IF(G218&gt;=500,"Forte","Normal"))</f>
        <v>Normal</v>
      </c>
      <c r="G218" s="3">
        <v>355</v>
      </c>
      <c r="H218" s="3">
        <v>30</v>
      </c>
      <c r="I218" s="3">
        <v>80</v>
      </c>
      <c r="J218" s="3">
        <v>90</v>
      </c>
      <c r="K218" s="3">
        <v>55</v>
      </c>
      <c r="L218" s="3">
        <v>45</v>
      </c>
      <c r="M218" s="3">
        <v>55</v>
      </c>
      <c r="N218" s="3">
        <f>AVERAGE($I$2:$I$1168)</f>
        <v>78.907455012853475</v>
      </c>
      <c r="O218" s="3" t="str">
        <f>CONCATENATE(A218,"-",B218)</f>
        <v>140-Kabuto</v>
      </c>
    </row>
    <row r="219" spans="1:15">
      <c r="A219" s="63">
        <v>140</v>
      </c>
      <c r="B219" s="2" t="str">
        <f>B218</f>
        <v>Kabuto</v>
      </c>
      <c r="C219" t="s">
        <v>30</v>
      </c>
      <c r="D219" s="22">
        <f>COUNTIF($C$2:$C$1168,Tabela1[[#This Row],[Type]])</f>
        <v>121</v>
      </c>
      <c r="E219" s="62" t="str">
        <f>IF(A219&lt;=151,"Kanto",IF(A219&lt;=251,"Johto",IF(A219&lt;=386,"Hoenn",IF(A219&lt;=493,"Sinnoh",IF(A219&lt;=649,"Unova",IF(A219&lt;=721,"Kalos",IF(A219&lt;=809,"Alola",IF(A219&lt;=905,"Galar","Paldea"))))))))</f>
        <v>Kanto</v>
      </c>
      <c r="F219" t="str">
        <f>IF(G219&gt;=600,"Lendário",IF(G219&gt;=500,"Forte","Normal"))</f>
        <v>Normal</v>
      </c>
      <c r="G219" s="3">
        <f>G218</f>
        <v>355</v>
      </c>
      <c r="H219" s="3">
        <f>H218</f>
        <v>30</v>
      </c>
      <c r="I219" s="3">
        <f>I218</f>
        <v>80</v>
      </c>
      <c r="J219" s="3">
        <f>J218</f>
        <v>90</v>
      </c>
      <c r="K219" s="3">
        <f>K218</f>
        <v>55</v>
      </c>
      <c r="L219" s="3">
        <f>L218</f>
        <v>45</v>
      </c>
      <c r="M219" s="3">
        <f>M218</f>
        <v>55</v>
      </c>
      <c r="N219" s="3">
        <f>AVERAGE($I$2:$I$1168)</f>
        <v>78.907455012853475</v>
      </c>
      <c r="O219" s="3" t="str">
        <f>CONCATENATE(A219,"-",B219)</f>
        <v>140-Kabuto</v>
      </c>
    </row>
    <row r="220" spans="1:15">
      <c r="A220" s="63">
        <v>141</v>
      </c>
      <c r="B220" s="2" t="s">
        <v>181</v>
      </c>
      <c r="C220" t="s">
        <v>107</v>
      </c>
      <c r="D220" s="22">
        <f>COUNTIF($C$2:$C$1168,Tabela1[[#This Row],[Type]])</f>
        <v>56</v>
      </c>
      <c r="E220" s="62" t="str">
        <f>IF(A220&lt;=151,"Kanto",IF(A220&lt;=251,"Johto",IF(A220&lt;=386,"Hoenn",IF(A220&lt;=493,"Sinnoh",IF(A220&lt;=649,"Unova",IF(A220&lt;=721,"Kalos",IF(A220&lt;=809,"Alola",IF(A220&lt;=905,"Galar","Paldea"))))))))</f>
        <v>Kanto</v>
      </c>
      <c r="F220" t="str">
        <f>IF(G220&gt;=600,"Lendário",IF(G220&gt;=500,"Forte","Normal"))</f>
        <v>Normal</v>
      </c>
      <c r="G220" s="3">
        <v>495</v>
      </c>
      <c r="H220" s="3">
        <v>60</v>
      </c>
      <c r="I220" s="3">
        <v>115</v>
      </c>
      <c r="J220" s="3">
        <v>105</v>
      </c>
      <c r="K220" s="3">
        <v>65</v>
      </c>
      <c r="L220" s="3">
        <v>70</v>
      </c>
      <c r="M220" s="3">
        <v>80</v>
      </c>
      <c r="N220" s="3">
        <f>AVERAGE($I$2:$I$1168)</f>
        <v>78.907455012853475</v>
      </c>
      <c r="O220" s="3" t="str">
        <f>CONCATENATE(A220,"-",B220)</f>
        <v>141-Kabutops</v>
      </c>
    </row>
    <row r="221" spans="1:15">
      <c r="A221" s="63">
        <v>141</v>
      </c>
      <c r="B221" s="2" t="str">
        <f>B220</f>
        <v>Kabutops</v>
      </c>
      <c r="C221" t="s">
        <v>30</v>
      </c>
      <c r="D221" s="22">
        <f>COUNTIF($C$2:$C$1168,Tabela1[[#This Row],[Type]])</f>
        <v>121</v>
      </c>
      <c r="E221" s="62" t="str">
        <f>IF(A221&lt;=151,"Kanto",IF(A221&lt;=251,"Johto",IF(A221&lt;=386,"Hoenn",IF(A221&lt;=493,"Sinnoh",IF(A221&lt;=649,"Unova",IF(A221&lt;=721,"Kalos",IF(A221&lt;=809,"Alola",IF(A221&lt;=905,"Galar","Paldea"))))))))</f>
        <v>Kanto</v>
      </c>
      <c r="F221" t="str">
        <f>IF(G221&gt;=600,"Lendário",IF(G221&gt;=500,"Forte","Normal"))</f>
        <v>Normal</v>
      </c>
      <c r="G221" s="3">
        <f>G220</f>
        <v>495</v>
      </c>
      <c r="H221" s="3">
        <f>H220</f>
        <v>60</v>
      </c>
      <c r="I221" s="3">
        <f>I220</f>
        <v>115</v>
      </c>
      <c r="J221" s="3">
        <f>J220</f>
        <v>105</v>
      </c>
      <c r="K221" s="3">
        <f>K220</f>
        <v>65</v>
      </c>
      <c r="L221" s="3">
        <f>L220</f>
        <v>70</v>
      </c>
      <c r="M221" s="3">
        <f>M220</f>
        <v>80</v>
      </c>
      <c r="N221" s="3">
        <f>AVERAGE($I$2:$I$1168)</f>
        <v>78.907455012853475</v>
      </c>
      <c r="O221" s="3" t="str">
        <f>CONCATENATE(A221,"-",B221)</f>
        <v>141-Kabutops</v>
      </c>
    </row>
    <row r="222" spans="1:15">
      <c r="A222" s="63">
        <v>142</v>
      </c>
      <c r="B222" s="2" t="s">
        <v>182</v>
      </c>
      <c r="C222" t="s">
        <v>107</v>
      </c>
      <c r="D222" s="22">
        <f>COUNTIF($C$2:$C$1168,Tabela1[[#This Row],[Type]])</f>
        <v>56</v>
      </c>
      <c r="E222" s="62" t="str">
        <f>IF(A222&lt;=151,"Kanto",IF(A222&lt;=251,"Johto",IF(A222&lt;=386,"Hoenn",IF(A222&lt;=493,"Sinnoh",IF(A222&lt;=649,"Unova",IF(A222&lt;=721,"Kalos",IF(A222&lt;=809,"Alola",IF(A222&lt;=905,"Galar","Paldea"))))))))</f>
        <v>Kanto</v>
      </c>
      <c r="F222" t="str">
        <f>IF(G222&gt;=600,"Lendário",IF(G222&gt;=500,"Forte","Normal"))</f>
        <v>Forte</v>
      </c>
      <c r="G222" s="3">
        <v>515</v>
      </c>
      <c r="H222" s="3">
        <v>80</v>
      </c>
      <c r="I222" s="3">
        <v>105</v>
      </c>
      <c r="J222" s="3">
        <v>65</v>
      </c>
      <c r="K222" s="3">
        <v>60</v>
      </c>
      <c r="L222" s="3">
        <v>75</v>
      </c>
      <c r="M222" s="3">
        <v>130</v>
      </c>
      <c r="N222" s="3">
        <f>AVERAGE($I$2:$I$1168)</f>
        <v>78.907455012853475</v>
      </c>
      <c r="O222" s="3" t="str">
        <f>CONCATENATE(A222,"-",B222)</f>
        <v>142-Aerodactyl</v>
      </c>
    </row>
    <row r="223" spans="1:15">
      <c r="A223" s="63">
        <v>142</v>
      </c>
      <c r="B223" s="2" t="str">
        <f>B222</f>
        <v>Aerodactyl</v>
      </c>
      <c r="C223" t="s">
        <v>25</v>
      </c>
      <c r="D223" s="22">
        <f>COUNTIF($C$2:$C$1168,Tabela1[[#This Row],[Type]])</f>
        <v>100</v>
      </c>
      <c r="E223" s="62" t="str">
        <f>IF(A223&lt;=151,"Kanto",IF(A223&lt;=251,"Johto",IF(A223&lt;=386,"Hoenn",IF(A223&lt;=493,"Sinnoh",IF(A223&lt;=649,"Unova",IF(A223&lt;=721,"Kalos",IF(A223&lt;=809,"Alola",IF(A223&lt;=905,"Galar","Paldea"))))))))</f>
        <v>Kanto</v>
      </c>
      <c r="F223" t="str">
        <f>IF(G223&gt;=600,"Lendário",IF(G223&gt;=500,"Forte","Normal"))</f>
        <v>Forte</v>
      </c>
      <c r="G223" s="3">
        <f>G222</f>
        <v>515</v>
      </c>
      <c r="H223" s="3">
        <f>H222</f>
        <v>80</v>
      </c>
      <c r="I223" s="3">
        <f>I222</f>
        <v>105</v>
      </c>
      <c r="J223" s="3">
        <f>J222</f>
        <v>65</v>
      </c>
      <c r="K223" s="3">
        <f>K222</f>
        <v>60</v>
      </c>
      <c r="L223" s="3">
        <f>L222</f>
        <v>75</v>
      </c>
      <c r="M223" s="3">
        <f>M222</f>
        <v>130</v>
      </c>
      <c r="N223" s="3">
        <f>AVERAGE($I$2:$I$1168)</f>
        <v>78.907455012853475</v>
      </c>
      <c r="O223" s="3" t="str">
        <f>CONCATENATE(A223,"-",B223)</f>
        <v>142-Aerodactyl</v>
      </c>
    </row>
    <row r="224" spans="1:15">
      <c r="A224" s="63">
        <v>142.1</v>
      </c>
      <c r="B224" s="2" t="s">
        <v>183</v>
      </c>
      <c r="C224" t="s">
        <v>107</v>
      </c>
      <c r="D224" s="22">
        <f>COUNTIF($C$2:$C$1168,Tabela1[[#This Row],[Type]])</f>
        <v>56</v>
      </c>
      <c r="E224" s="62" t="str">
        <f>IF(A224&lt;=151,"Kanto",IF(A224&lt;=251,"Johto",IF(A224&lt;=386,"Hoenn",IF(A224&lt;=493,"Sinnoh",IF(A224&lt;=649,"Unova",IF(A224&lt;=721,"Kalos",IF(A224&lt;=809,"Alola",IF(A224&lt;=905,"Galar","Paldea"))))))))</f>
        <v>Kanto</v>
      </c>
      <c r="F224" t="str">
        <f>IF(G224&gt;=600,"Lendário",IF(G224&gt;=500,"Forte","Normal"))</f>
        <v>Lendário</v>
      </c>
      <c r="G224" s="3">
        <v>615</v>
      </c>
      <c r="H224" s="3">
        <v>80</v>
      </c>
      <c r="I224" s="3">
        <v>135</v>
      </c>
      <c r="J224" s="3">
        <v>85</v>
      </c>
      <c r="K224" s="3">
        <v>70</v>
      </c>
      <c r="L224" s="3">
        <v>95</v>
      </c>
      <c r="M224" s="3">
        <v>150</v>
      </c>
      <c r="N224" s="3">
        <f>AVERAGE($I$2:$I$1168)</f>
        <v>78.907455012853475</v>
      </c>
      <c r="O224" s="3" t="str">
        <f>CONCATENATE(A224,"-",B224)</f>
        <v>142,1-Mega Aerodactyl</v>
      </c>
    </row>
    <row r="225" spans="1:15">
      <c r="A225" s="63">
        <v>142.1</v>
      </c>
      <c r="B225" s="2" t="s">
        <v>183</v>
      </c>
      <c r="C225" t="s">
        <v>25</v>
      </c>
      <c r="D225" s="22">
        <f>COUNTIF($C$2:$C$1168,Tabela1[[#This Row],[Type]])</f>
        <v>100</v>
      </c>
      <c r="E225" s="62" t="str">
        <f>IF(A225&lt;=151,"Kanto",IF(A225&lt;=251,"Johto",IF(A225&lt;=386,"Hoenn",IF(A225&lt;=493,"Sinnoh",IF(A225&lt;=649,"Unova",IF(A225&lt;=721,"Kalos",IF(A225&lt;=809,"Alola",IF(A225&lt;=905,"Galar","Paldea"))))))))</f>
        <v>Kanto</v>
      </c>
      <c r="F225" t="str">
        <f>IF(G225&gt;=600,"Lendário",IF(G225&gt;=500,"Forte","Normal"))</f>
        <v>Lendário</v>
      </c>
      <c r="G225" s="3">
        <f>G224</f>
        <v>615</v>
      </c>
      <c r="H225" s="3">
        <f>H224</f>
        <v>80</v>
      </c>
      <c r="I225" s="3">
        <f>I224</f>
        <v>135</v>
      </c>
      <c r="J225" s="3">
        <f>J224</f>
        <v>85</v>
      </c>
      <c r="K225" s="3">
        <f>K224</f>
        <v>70</v>
      </c>
      <c r="L225" s="3">
        <f>L224</f>
        <v>95</v>
      </c>
      <c r="M225" s="3">
        <f>M224</f>
        <v>150</v>
      </c>
      <c r="N225" s="3">
        <f>AVERAGE($I$2:$I$1168)</f>
        <v>78.907455012853475</v>
      </c>
      <c r="O225" s="3" t="str">
        <f>CONCATENATE(A225,"-",B225)</f>
        <v>142,1-Mega Aerodactyl</v>
      </c>
    </row>
    <row r="226" spans="1:15">
      <c r="A226" s="63">
        <v>143</v>
      </c>
      <c r="B226" s="2" t="s">
        <v>184</v>
      </c>
      <c r="C226" t="s">
        <v>42</v>
      </c>
      <c r="D226" s="22">
        <f>COUNTIF($C$2:$C$1168,Tabela1[[#This Row],[Type]])</f>
        <v>99</v>
      </c>
      <c r="E226" s="62" t="str">
        <f>IF(A226&lt;=151,"Kanto",IF(A226&lt;=251,"Johto",IF(A226&lt;=386,"Hoenn",IF(A226&lt;=493,"Sinnoh",IF(A226&lt;=649,"Unova",IF(A226&lt;=721,"Kalos",IF(A226&lt;=809,"Alola",IF(A226&lt;=905,"Galar","Paldea"))))))))</f>
        <v>Kanto</v>
      </c>
      <c r="F226" t="str">
        <f>IF(G226&gt;=600,"Lendário",IF(G226&gt;=500,"Forte","Normal"))</f>
        <v>Forte</v>
      </c>
      <c r="G226" s="3">
        <v>540</v>
      </c>
      <c r="H226" s="3">
        <v>160</v>
      </c>
      <c r="I226" s="3">
        <v>110</v>
      </c>
      <c r="J226" s="3">
        <v>65</v>
      </c>
      <c r="K226" s="3">
        <v>65</v>
      </c>
      <c r="L226" s="3">
        <v>110</v>
      </c>
      <c r="M226" s="3">
        <v>30</v>
      </c>
      <c r="N226" s="3">
        <f>AVERAGE($I$2:$I$1168)</f>
        <v>78.907455012853475</v>
      </c>
      <c r="O226" s="3" t="str">
        <f>CONCATENATE(A226,"-",B226)</f>
        <v>143-Snorlax</v>
      </c>
    </row>
    <row r="227" spans="1:15">
      <c r="A227" s="63">
        <v>143</v>
      </c>
      <c r="B227" s="2" t="str">
        <f>B226</f>
        <v>Snorlax</v>
      </c>
      <c r="C227" t="s">
        <v>25</v>
      </c>
      <c r="D227" s="22">
        <f>COUNTIF($C$2:$C$1168,Tabela1[[#This Row],[Type]])</f>
        <v>100</v>
      </c>
      <c r="E227" s="62" t="str">
        <f>IF(A227&lt;=151,"Kanto",IF(A227&lt;=251,"Johto",IF(A227&lt;=386,"Hoenn",IF(A227&lt;=493,"Sinnoh",IF(A227&lt;=649,"Unova",IF(A227&lt;=721,"Kalos",IF(A227&lt;=809,"Alola",IF(A227&lt;=905,"Galar","Paldea"))))))))</f>
        <v>Kanto</v>
      </c>
      <c r="F227" t="str">
        <f>IF(G227&gt;=600,"Lendário",IF(G227&gt;=500,"Forte","Normal"))</f>
        <v>Forte</v>
      </c>
      <c r="G227" s="3">
        <f>G226</f>
        <v>540</v>
      </c>
      <c r="H227" s="3">
        <f>H226</f>
        <v>160</v>
      </c>
      <c r="I227" s="3">
        <f>I226</f>
        <v>110</v>
      </c>
      <c r="J227" s="3">
        <f>J226</f>
        <v>65</v>
      </c>
      <c r="K227" s="3">
        <f>K226</f>
        <v>65</v>
      </c>
      <c r="L227" s="3">
        <f>L226</f>
        <v>110</v>
      </c>
      <c r="M227" s="3">
        <f>M226</f>
        <v>30</v>
      </c>
      <c r="N227" s="3">
        <f>AVERAGE($I$2:$I$1168)</f>
        <v>78.907455012853475</v>
      </c>
      <c r="O227" s="3" t="str">
        <f>CONCATENATE(A227,"-",B227)</f>
        <v>143-Snorlax</v>
      </c>
    </row>
    <row r="228" spans="1:15">
      <c r="A228" s="63">
        <v>144</v>
      </c>
      <c r="B228" s="2" t="s">
        <v>185</v>
      </c>
      <c r="C228" t="s">
        <v>122</v>
      </c>
      <c r="D228" s="22">
        <f>COUNTIF($C$2:$C$1168,Tabela1[[#This Row],[Type]])</f>
        <v>37</v>
      </c>
      <c r="E228" s="62" t="str">
        <f>IF(A228&lt;=151,"Kanto",IF(A228&lt;=251,"Johto",IF(A228&lt;=386,"Hoenn",IF(A228&lt;=493,"Sinnoh",IF(A228&lt;=649,"Unova",IF(A228&lt;=721,"Kalos",IF(A228&lt;=809,"Alola",IF(A228&lt;=905,"Galar","Paldea"))))))))</f>
        <v>Kanto</v>
      </c>
      <c r="F228" t="str">
        <f>IF(G228&gt;=600,"Lendário",IF(G228&gt;=500,"Forte","Normal"))</f>
        <v>Forte</v>
      </c>
      <c r="G228" s="3">
        <v>580</v>
      </c>
      <c r="H228" s="3">
        <v>90</v>
      </c>
      <c r="I228" s="3">
        <v>85</v>
      </c>
      <c r="J228" s="3">
        <v>100</v>
      </c>
      <c r="K228" s="3">
        <v>95</v>
      </c>
      <c r="L228" s="3">
        <v>125</v>
      </c>
      <c r="M228" s="3">
        <v>85</v>
      </c>
      <c r="N228" s="3">
        <f>AVERAGE($I$2:$I$1168)</f>
        <v>78.907455012853475</v>
      </c>
      <c r="O228" s="3" t="str">
        <f>CONCATENATE(A228,"-",B228)</f>
        <v>144-Articuno</v>
      </c>
    </row>
    <row r="229" spans="1:15">
      <c r="A229" s="63">
        <v>144</v>
      </c>
      <c r="B229" s="2" t="str">
        <f>B228</f>
        <v>Articuno</v>
      </c>
      <c r="C229" t="s">
        <v>25</v>
      </c>
      <c r="D229" s="22">
        <f>COUNTIF($C$2:$C$1168,Tabela1[[#This Row],[Type]])</f>
        <v>100</v>
      </c>
      <c r="E229" s="62" t="str">
        <f>IF(A229&lt;=151,"Kanto",IF(A229&lt;=251,"Johto",IF(A229&lt;=386,"Hoenn",IF(A229&lt;=493,"Sinnoh",IF(A229&lt;=649,"Unova",IF(A229&lt;=721,"Kalos",IF(A229&lt;=809,"Alola",IF(A229&lt;=905,"Galar","Paldea"))))))))</f>
        <v>Kanto</v>
      </c>
      <c r="F229" t="str">
        <f>IF(G229&gt;=600,"Lendário",IF(G229&gt;=500,"Forte","Normal"))</f>
        <v>Forte</v>
      </c>
      <c r="G229" s="3">
        <f>G228</f>
        <v>580</v>
      </c>
      <c r="H229" s="3">
        <f>H228</f>
        <v>90</v>
      </c>
      <c r="I229" s="3">
        <f>I228</f>
        <v>85</v>
      </c>
      <c r="J229" s="3">
        <f>J228</f>
        <v>100</v>
      </c>
      <c r="K229" s="3">
        <f>K228</f>
        <v>95</v>
      </c>
      <c r="L229" s="3">
        <f>L228</f>
        <v>125</v>
      </c>
      <c r="M229" s="3">
        <f>M228</f>
        <v>85</v>
      </c>
      <c r="N229" s="3">
        <f>AVERAGE($I$2:$I$1168)</f>
        <v>78.907455012853475</v>
      </c>
      <c r="O229" s="3" t="str">
        <f>CONCATENATE(A229,"-",B229)</f>
        <v>144-Articuno</v>
      </c>
    </row>
    <row r="230" spans="1:15">
      <c r="A230" s="63">
        <v>145</v>
      </c>
      <c r="B230" s="2" t="s">
        <v>186</v>
      </c>
      <c r="C230" t="s">
        <v>52</v>
      </c>
      <c r="D230" s="22">
        <f>COUNTIF($C$2:$C$1168,Tabela1[[#This Row],[Type]])</f>
        <v>51</v>
      </c>
      <c r="E230" s="62" t="str">
        <f>IF(A230&lt;=151,"Kanto",IF(A230&lt;=251,"Johto",IF(A230&lt;=386,"Hoenn",IF(A230&lt;=493,"Sinnoh",IF(A230&lt;=649,"Unova",IF(A230&lt;=721,"Kalos",IF(A230&lt;=809,"Alola",IF(A230&lt;=905,"Galar","Paldea"))))))))</f>
        <v>Kanto</v>
      </c>
      <c r="F230" t="str">
        <f>IF(G230&gt;=600,"Lendário",IF(G230&gt;=500,"Forte","Normal"))</f>
        <v>Forte</v>
      </c>
      <c r="G230" s="3">
        <v>580</v>
      </c>
      <c r="H230" s="3">
        <v>90</v>
      </c>
      <c r="I230" s="3">
        <v>90</v>
      </c>
      <c r="J230" s="3">
        <v>85</v>
      </c>
      <c r="K230" s="3">
        <v>125</v>
      </c>
      <c r="L230" s="3">
        <v>90</v>
      </c>
      <c r="M230" s="3">
        <v>100</v>
      </c>
      <c r="N230" s="3">
        <f>AVERAGE($I$2:$I$1168)</f>
        <v>78.907455012853475</v>
      </c>
      <c r="O230" s="3" t="str">
        <f>CONCATENATE(A230,"-",B230)</f>
        <v>145-Zapdos</v>
      </c>
    </row>
    <row r="231" spans="1:15">
      <c r="A231" s="63">
        <v>145</v>
      </c>
      <c r="B231" s="2" t="str">
        <f>B230</f>
        <v>Zapdos</v>
      </c>
      <c r="C231" t="s">
        <v>25</v>
      </c>
      <c r="D231" s="22">
        <f>COUNTIF($C$2:$C$1168,Tabela1[[#This Row],[Type]])</f>
        <v>100</v>
      </c>
      <c r="E231" s="62" t="str">
        <f>IF(A231&lt;=151,"Kanto",IF(A231&lt;=251,"Johto",IF(A231&lt;=386,"Hoenn",IF(A231&lt;=493,"Sinnoh",IF(A231&lt;=649,"Unova",IF(A231&lt;=721,"Kalos",IF(A231&lt;=809,"Alola",IF(A231&lt;=905,"Galar","Paldea"))))))))</f>
        <v>Kanto</v>
      </c>
      <c r="F231" t="str">
        <f>IF(G231&gt;=600,"Lendário",IF(G231&gt;=500,"Forte","Normal"))</f>
        <v>Forte</v>
      </c>
      <c r="G231" s="3">
        <f>G230</f>
        <v>580</v>
      </c>
      <c r="H231" s="3">
        <f>H230</f>
        <v>90</v>
      </c>
      <c r="I231" s="3">
        <f>I230</f>
        <v>90</v>
      </c>
      <c r="J231" s="3">
        <f>J230</f>
        <v>85</v>
      </c>
      <c r="K231" s="3">
        <f>K230</f>
        <v>125</v>
      </c>
      <c r="L231" s="3">
        <f>L230</f>
        <v>90</v>
      </c>
      <c r="M231" s="3">
        <f>M230</f>
        <v>100</v>
      </c>
      <c r="N231" s="3">
        <f>AVERAGE($I$2:$I$1168)</f>
        <v>78.907455012853475</v>
      </c>
      <c r="O231" s="3" t="str">
        <f>CONCATENATE(A231,"-",B231)</f>
        <v>145-Zapdos</v>
      </c>
    </row>
    <row r="232" spans="1:15">
      <c r="A232" s="63">
        <v>146</v>
      </c>
      <c r="B232" s="2" t="s">
        <v>187</v>
      </c>
      <c r="C232" t="s">
        <v>22</v>
      </c>
      <c r="D232" s="22">
        <f>COUNTIF($C$2:$C$1168,Tabela1[[#This Row],[Type]])</f>
        <v>62</v>
      </c>
      <c r="E232" s="62" t="str">
        <f>IF(A232&lt;=151,"Kanto",IF(A232&lt;=251,"Johto",IF(A232&lt;=386,"Hoenn",IF(A232&lt;=493,"Sinnoh",IF(A232&lt;=649,"Unova",IF(A232&lt;=721,"Kalos",IF(A232&lt;=809,"Alola",IF(A232&lt;=905,"Galar","Paldea"))))))))</f>
        <v>Kanto</v>
      </c>
      <c r="F232" t="str">
        <f>IF(G232&gt;=600,"Lendário",IF(G232&gt;=500,"Forte","Normal"))</f>
        <v>Forte</v>
      </c>
      <c r="G232" s="3">
        <v>580</v>
      </c>
      <c r="H232" s="3">
        <v>90</v>
      </c>
      <c r="I232" s="3">
        <v>100</v>
      </c>
      <c r="J232" s="3">
        <v>90</v>
      </c>
      <c r="K232" s="3">
        <v>125</v>
      </c>
      <c r="L232" s="3">
        <v>85</v>
      </c>
      <c r="M232" s="3">
        <v>90</v>
      </c>
      <c r="N232" s="3">
        <f>AVERAGE($I$2:$I$1168)</f>
        <v>78.907455012853475</v>
      </c>
      <c r="O232" s="3" t="str">
        <f>CONCATENATE(A232,"-",B232)</f>
        <v>146-Moltres</v>
      </c>
    </row>
    <row r="233" spans="1:15">
      <c r="A233" s="63">
        <v>146</v>
      </c>
      <c r="B233" s="2" t="str">
        <f>B232</f>
        <v>Moltres</v>
      </c>
      <c r="C233" t="s">
        <v>25</v>
      </c>
      <c r="D233" s="22">
        <f>COUNTIF($C$2:$C$1168,Tabela1[[#This Row],[Type]])</f>
        <v>100</v>
      </c>
      <c r="E233" s="62" t="str">
        <f>IF(A233&lt;=151,"Kanto",IF(A233&lt;=251,"Johto",IF(A233&lt;=386,"Hoenn",IF(A233&lt;=493,"Sinnoh",IF(A233&lt;=649,"Unova",IF(A233&lt;=721,"Kalos",IF(A233&lt;=809,"Alola",IF(A233&lt;=905,"Galar","Paldea"))))))))</f>
        <v>Kanto</v>
      </c>
      <c r="F233" t="str">
        <f>IF(G233&gt;=600,"Lendário",IF(G233&gt;=500,"Forte","Normal"))</f>
        <v>Forte</v>
      </c>
      <c r="G233" s="3">
        <f>G232</f>
        <v>580</v>
      </c>
      <c r="H233" s="3">
        <f>H232</f>
        <v>90</v>
      </c>
      <c r="I233" s="3">
        <f>I232</f>
        <v>100</v>
      </c>
      <c r="J233" s="3">
        <f>J232</f>
        <v>90</v>
      </c>
      <c r="K233" s="3">
        <f>K232</f>
        <v>125</v>
      </c>
      <c r="L233" s="3">
        <f>L232</f>
        <v>85</v>
      </c>
      <c r="M233" s="3">
        <f>M232</f>
        <v>90</v>
      </c>
      <c r="N233" s="3">
        <f>AVERAGE($I$2:$I$1168)</f>
        <v>78.907455012853475</v>
      </c>
      <c r="O233" s="3" t="str">
        <f>CONCATENATE(A233,"-",B233)</f>
        <v>146-Moltres</v>
      </c>
    </row>
    <row r="234" spans="1:15">
      <c r="A234" s="63">
        <v>147</v>
      </c>
      <c r="B234" s="2" t="s">
        <v>188</v>
      </c>
      <c r="C234" t="s">
        <v>27</v>
      </c>
      <c r="D234" s="22">
        <f>COUNTIF($C$2:$C$1168,Tabela1[[#This Row],[Type]])</f>
        <v>44</v>
      </c>
      <c r="E234" s="62" t="str">
        <f>IF(A234&lt;=151,"Kanto",IF(A234&lt;=251,"Johto",IF(A234&lt;=386,"Hoenn",IF(A234&lt;=493,"Sinnoh",IF(A234&lt;=649,"Unova",IF(A234&lt;=721,"Kalos",IF(A234&lt;=809,"Alola",IF(A234&lt;=905,"Galar","Paldea"))))))))</f>
        <v>Kanto</v>
      </c>
      <c r="F234" t="str">
        <f>IF(G234&gt;=600,"Lendário",IF(G234&gt;=500,"Forte","Normal"))</f>
        <v>Normal</v>
      </c>
      <c r="G234" s="3">
        <v>300</v>
      </c>
      <c r="H234" s="3">
        <v>41</v>
      </c>
      <c r="I234" s="3">
        <v>64</v>
      </c>
      <c r="J234" s="3">
        <v>45</v>
      </c>
      <c r="K234" s="3">
        <v>50</v>
      </c>
      <c r="L234" s="3">
        <v>50</v>
      </c>
      <c r="M234" s="3">
        <v>50</v>
      </c>
      <c r="N234" s="3">
        <f>AVERAGE($I$2:$I$1168)</f>
        <v>78.907455012853475</v>
      </c>
      <c r="O234" s="3" t="str">
        <f>CONCATENATE(A234,"-",B234)</f>
        <v>147-Dratini</v>
      </c>
    </row>
    <row r="235" spans="1:15">
      <c r="A235" s="63">
        <v>148</v>
      </c>
      <c r="B235" s="2" t="s">
        <v>189</v>
      </c>
      <c r="C235" t="s">
        <v>27</v>
      </c>
      <c r="D235" s="22">
        <f>COUNTIF($C$2:$C$1168,Tabela1[[#This Row],[Type]])</f>
        <v>44</v>
      </c>
      <c r="E235" s="62" t="str">
        <f>IF(A235&lt;=151,"Kanto",IF(A235&lt;=251,"Johto",IF(A235&lt;=386,"Hoenn",IF(A235&lt;=493,"Sinnoh",IF(A235&lt;=649,"Unova",IF(A235&lt;=721,"Kalos",IF(A235&lt;=809,"Alola",IF(A235&lt;=905,"Galar","Paldea"))))))))</f>
        <v>Kanto</v>
      </c>
      <c r="F235" t="str">
        <f>IF(G235&gt;=600,"Lendário",IF(G235&gt;=500,"Forte","Normal"))</f>
        <v>Normal</v>
      </c>
      <c r="G235" s="3">
        <v>420</v>
      </c>
      <c r="H235" s="3">
        <v>61</v>
      </c>
      <c r="I235" s="3">
        <v>84</v>
      </c>
      <c r="J235" s="3">
        <v>65</v>
      </c>
      <c r="K235" s="3">
        <v>70</v>
      </c>
      <c r="L235" s="3">
        <v>70</v>
      </c>
      <c r="M235" s="3">
        <v>70</v>
      </c>
      <c r="N235" s="3">
        <f>AVERAGE($I$2:$I$1168)</f>
        <v>78.907455012853475</v>
      </c>
      <c r="O235" s="3" t="str">
        <f>CONCATENATE(A235,"-",B235)</f>
        <v>148-Dragonair</v>
      </c>
    </row>
    <row r="236" spans="1:15">
      <c r="A236" s="63">
        <v>149</v>
      </c>
      <c r="B236" s="2" t="s">
        <v>190</v>
      </c>
      <c r="C236" t="s">
        <v>27</v>
      </c>
      <c r="D236" s="22">
        <f>COUNTIF($C$2:$C$1168,Tabela1[[#This Row],[Type]])</f>
        <v>44</v>
      </c>
      <c r="E236" s="62" t="str">
        <f>IF(A236&lt;=151,"Kanto",IF(A236&lt;=251,"Johto",IF(A236&lt;=386,"Hoenn",IF(A236&lt;=493,"Sinnoh",IF(A236&lt;=649,"Unova",IF(A236&lt;=721,"Kalos",IF(A236&lt;=809,"Alola",IF(A236&lt;=905,"Galar","Paldea"))))))))</f>
        <v>Kanto</v>
      </c>
      <c r="F236" t="str">
        <f>IF(G236&gt;=600,"Lendário",IF(G236&gt;=500,"Forte","Normal"))</f>
        <v>Lendário</v>
      </c>
      <c r="G236" s="3">
        <v>600</v>
      </c>
      <c r="H236" s="3">
        <v>91</v>
      </c>
      <c r="I236" s="3">
        <v>134</v>
      </c>
      <c r="J236" s="3">
        <v>95</v>
      </c>
      <c r="K236" s="3">
        <v>100</v>
      </c>
      <c r="L236" s="3">
        <v>100</v>
      </c>
      <c r="M236" s="3">
        <v>80</v>
      </c>
      <c r="N236" s="3">
        <f>AVERAGE($I$2:$I$1168)</f>
        <v>78.907455012853475</v>
      </c>
      <c r="O236" s="3" t="str">
        <f>CONCATENATE(A236,"-",B236)</f>
        <v>149-Dragonite</v>
      </c>
    </row>
    <row r="237" spans="1:15">
      <c r="A237" s="63">
        <v>149</v>
      </c>
      <c r="B237" s="2" t="str">
        <f>B236</f>
        <v>Dragonite</v>
      </c>
      <c r="C237" t="s">
        <v>25</v>
      </c>
      <c r="D237" s="22">
        <f>COUNTIF($C$2:$C$1168,Tabela1[[#This Row],[Type]])</f>
        <v>100</v>
      </c>
      <c r="E237" s="62" t="str">
        <f>IF(A237&lt;=151,"Kanto",IF(A237&lt;=251,"Johto",IF(A237&lt;=386,"Hoenn",IF(A237&lt;=493,"Sinnoh",IF(A237&lt;=649,"Unova",IF(A237&lt;=721,"Kalos",IF(A237&lt;=809,"Alola",IF(A237&lt;=905,"Galar","Paldea"))))))))</f>
        <v>Kanto</v>
      </c>
      <c r="F237" t="str">
        <f>IF(G237&gt;=600,"Lendário",IF(G237&gt;=500,"Forte","Normal"))</f>
        <v>Lendário</v>
      </c>
      <c r="G237" s="3">
        <f>G236</f>
        <v>600</v>
      </c>
      <c r="H237" s="3">
        <f>H236</f>
        <v>91</v>
      </c>
      <c r="I237" s="3">
        <f>I236</f>
        <v>134</v>
      </c>
      <c r="J237" s="3">
        <f>J236</f>
        <v>95</v>
      </c>
      <c r="K237" s="3">
        <f>K236</f>
        <v>100</v>
      </c>
      <c r="L237" s="3">
        <f>L236</f>
        <v>100</v>
      </c>
      <c r="M237" s="3">
        <f>M236</f>
        <v>80</v>
      </c>
      <c r="N237" s="3">
        <f>AVERAGE($I$2:$I$1168)</f>
        <v>78.907455012853475</v>
      </c>
      <c r="O237" s="3" t="str">
        <f>CONCATENATE(A237,"-",B237)</f>
        <v>149-Dragonite</v>
      </c>
    </row>
    <row r="238" spans="1:15">
      <c r="A238" s="63">
        <v>150</v>
      </c>
      <c r="B238" s="2" t="s">
        <v>191</v>
      </c>
      <c r="C238" t="s">
        <v>94</v>
      </c>
      <c r="D238" s="22">
        <f>COUNTIF($C$2:$C$1168,Tabela1[[#This Row],[Type]])</f>
        <v>83</v>
      </c>
      <c r="E238" s="62" t="str">
        <f>IF(A238&lt;=151,"Kanto",IF(A238&lt;=251,"Johto",IF(A238&lt;=386,"Hoenn",IF(A238&lt;=493,"Sinnoh",IF(A238&lt;=649,"Unova",IF(A238&lt;=721,"Kalos",IF(A238&lt;=809,"Alola",IF(A238&lt;=905,"Galar","Paldea"))))))))</f>
        <v>Kanto</v>
      </c>
      <c r="F238" t="str">
        <f>IF(G238&gt;=600,"Lendário",IF(G238&gt;=500,"Forte","Normal"))</f>
        <v>Lendário</v>
      </c>
      <c r="G238" s="3">
        <v>680</v>
      </c>
      <c r="H238" s="3">
        <v>106</v>
      </c>
      <c r="I238" s="3">
        <v>110</v>
      </c>
      <c r="J238" s="3">
        <v>90</v>
      </c>
      <c r="K238" s="3">
        <v>154</v>
      </c>
      <c r="L238" s="3">
        <v>90</v>
      </c>
      <c r="M238" s="3">
        <v>130</v>
      </c>
      <c r="N238" s="3">
        <f>AVERAGE($I$2:$I$1168)</f>
        <v>78.907455012853475</v>
      </c>
      <c r="O238" s="3" t="str">
        <f>CONCATENATE(A238,"-",B238)</f>
        <v>150-Mewtwo</v>
      </c>
    </row>
    <row r="239" spans="1:15">
      <c r="A239" s="63">
        <v>150.1</v>
      </c>
      <c r="B239" s="2" t="s">
        <v>192</v>
      </c>
      <c r="C239" t="s">
        <v>94</v>
      </c>
      <c r="D239" s="22">
        <f>COUNTIF($C$2:$C$1168,Tabela1[[#This Row],[Type]])</f>
        <v>83</v>
      </c>
      <c r="E239" s="62" t="str">
        <f>IF(A239&lt;=151,"Kanto",IF(A239&lt;=251,"Johto",IF(A239&lt;=386,"Hoenn",IF(A239&lt;=493,"Sinnoh",IF(A239&lt;=649,"Unova",IF(A239&lt;=721,"Kalos",IF(A239&lt;=809,"Alola",IF(A239&lt;=905,"Galar","Paldea"))))))))</f>
        <v>Kanto</v>
      </c>
      <c r="F239" t="str">
        <f>IF(G239&gt;=600,"Lendário",IF(G239&gt;=500,"Forte","Normal"))</f>
        <v>Lendário</v>
      </c>
      <c r="G239" s="3">
        <v>780</v>
      </c>
      <c r="H239" s="3">
        <v>106</v>
      </c>
      <c r="I239" s="3">
        <v>190</v>
      </c>
      <c r="J239" s="3">
        <v>100</v>
      </c>
      <c r="K239" s="3">
        <v>154</v>
      </c>
      <c r="L239" s="3">
        <v>100</v>
      </c>
      <c r="M239" s="3">
        <v>130</v>
      </c>
      <c r="N239" s="3">
        <f>AVERAGE($I$2:$I$1168)</f>
        <v>78.907455012853475</v>
      </c>
      <c r="O239" s="3" t="str">
        <f>CONCATENATE(A239,"-",B239)</f>
        <v>150,1-Mega Mewtwo X</v>
      </c>
    </row>
    <row r="240" spans="1:15">
      <c r="A240" s="63">
        <v>150.1</v>
      </c>
      <c r="B240" s="2" t="s">
        <v>192</v>
      </c>
      <c r="C240" t="s">
        <v>86</v>
      </c>
      <c r="D240" s="22">
        <f>COUNTIF($C$2:$C$1168,Tabela1[[#This Row],[Type]])</f>
        <v>51</v>
      </c>
      <c r="E240" s="62" t="str">
        <f>IF(A240&lt;=151,"Kanto",IF(A240&lt;=251,"Johto",IF(A240&lt;=386,"Hoenn",IF(A240&lt;=493,"Sinnoh",IF(A240&lt;=649,"Unova",IF(A240&lt;=721,"Kalos",IF(A240&lt;=809,"Alola",IF(A240&lt;=905,"Galar","Paldea"))))))))</f>
        <v>Kanto</v>
      </c>
      <c r="F240" t="str">
        <f>IF(G240&gt;=600,"Lendário",IF(G240&gt;=500,"Forte","Normal"))</f>
        <v>Lendário</v>
      </c>
      <c r="G240" s="3">
        <f>G239</f>
        <v>780</v>
      </c>
      <c r="H240" s="3">
        <f>H239</f>
        <v>106</v>
      </c>
      <c r="I240" s="3">
        <f>I239</f>
        <v>190</v>
      </c>
      <c r="J240" s="3">
        <f>J239</f>
        <v>100</v>
      </c>
      <c r="K240" s="3">
        <f>K239</f>
        <v>154</v>
      </c>
      <c r="L240" s="3">
        <f>L239</f>
        <v>100</v>
      </c>
      <c r="M240" s="3">
        <f>M239</f>
        <v>130</v>
      </c>
      <c r="N240" s="3">
        <f>AVERAGE($I$2:$I$1168)</f>
        <v>78.907455012853475</v>
      </c>
      <c r="O240" s="3" t="str">
        <f>CONCATENATE(A240,"-",B240)</f>
        <v>150,1-Mega Mewtwo X</v>
      </c>
    </row>
    <row r="241" spans="1:15">
      <c r="A241" s="63">
        <v>150.19999999999999</v>
      </c>
      <c r="B241" s="2" t="s">
        <v>193</v>
      </c>
      <c r="C241" t="s">
        <v>94</v>
      </c>
      <c r="D241" s="22">
        <f>COUNTIF($C$2:$C$1168,Tabela1[[#This Row],[Type]])</f>
        <v>83</v>
      </c>
      <c r="E241" s="62" t="str">
        <f>IF(A241&lt;=151,"Kanto",IF(A241&lt;=251,"Johto",IF(A241&lt;=386,"Hoenn",IF(A241&lt;=493,"Sinnoh",IF(A241&lt;=649,"Unova",IF(A241&lt;=721,"Kalos",IF(A241&lt;=809,"Alola",IF(A241&lt;=905,"Galar","Paldea"))))))))</f>
        <v>Kanto</v>
      </c>
      <c r="F241" t="str">
        <f>IF(G241&gt;=600,"Lendário",IF(G241&gt;=500,"Forte","Normal"))</f>
        <v>Lendário</v>
      </c>
      <c r="G241" s="3">
        <v>780</v>
      </c>
      <c r="H241" s="3">
        <v>106</v>
      </c>
      <c r="I241" s="3">
        <v>150</v>
      </c>
      <c r="J241" s="3">
        <v>70</v>
      </c>
      <c r="K241" s="3">
        <v>194</v>
      </c>
      <c r="L241" s="3">
        <v>120</v>
      </c>
      <c r="M241" s="3">
        <v>140</v>
      </c>
      <c r="N241" s="3">
        <f>AVERAGE($I$2:$I$1168)</f>
        <v>78.907455012853475</v>
      </c>
      <c r="O241" s="3" t="str">
        <f>CONCATENATE(A241,"-",B241)</f>
        <v>150,2-Mega Mewtwo Y</v>
      </c>
    </row>
    <row r="242" spans="1:15">
      <c r="A242" s="63">
        <v>150.19999999999999</v>
      </c>
      <c r="B242" s="2" t="s">
        <v>193</v>
      </c>
      <c r="C242" t="str">
        <f>C241</f>
        <v>PSYCHIC</v>
      </c>
      <c r="D242" s="22">
        <f>COUNTIF($C$2:$C$1168,Tabela1[[#This Row],[Type]])</f>
        <v>83</v>
      </c>
      <c r="E242" s="62" t="str">
        <f>IF(A242&lt;=151,"Kanto",IF(A242&lt;=251,"Johto",IF(A242&lt;=386,"Hoenn",IF(A242&lt;=493,"Sinnoh",IF(A242&lt;=649,"Unova",IF(A242&lt;=721,"Kalos",IF(A242&lt;=809,"Alola",IF(A242&lt;=905,"Galar","Paldea"))))))))</f>
        <v>Kanto</v>
      </c>
      <c r="F242" t="str">
        <f>IF(G242&gt;=600,"Lendário",IF(G242&gt;=500,"Forte","Normal"))</f>
        <v>Lendário</v>
      </c>
      <c r="G242" s="3">
        <f>G241</f>
        <v>780</v>
      </c>
      <c r="H242" s="3">
        <f>H241</f>
        <v>106</v>
      </c>
      <c r="I242" s="3">
        <f>I241</f>
        <v>150</v>
      </c>
      <c r="J242" s="3">
        <f>J241</f>
        <v>70</v>
      </c>
      <c r="K242" s="3">
        <f>K241</f>
        <v>194</v>
      </c>
      <c r="L242" s="3">
        <f>L241</f>
        <v>120</v>
      </c>
      <c r="M242" s="3">
        <f>M241</f>
        <v>140</v>
      </c>
      <c r="N242" s="3">
        <f>AVERAGE($I$2:$I$1168)</f>
        <v>78.907455012853475</v>
      </c>
      <c r="O242" s="3" t="str">
        <f>CONCATENATE(A242,"-",B242)</f>
        <v>150,2-Mega Mewtwo Y</v>
      </c>
    </row>
    <row r="243" spans="1:15">
      <c r="A243" s="63">
        <v>151</v>
      </c>
      <c r="B243" s="2" t="s">
        <v>194</v>
      </c>
      <c r="C243" t="s">
        <v>94</v>
      </c>
      <c r="D243" s="22">
        <f>COUNTIF($C$2:$C$1168,Tabela1[[#This Row],[Type]])</f>
        <v>83</v>
      </c>
      <c r="E243" s="62" t="str">
        <f>IF(A243&lt;=151,"Kanto",IF(A243&lt;=251,"Johto",IF(A243&lt;=386,"Hoenn",IF(A243&lt;=493,"Sinnoh",IF(A243&lt;=649,"Unova",IF(A243&lt;=721,"Kalos",IF(A243&lt;=809,"Alola",IF(A243&lt;=905,"Galar","Paldea"))))))))</f>
        <v>Kanto</v>
      </c>
      <c r="F243" t="str">
        <f>IF(G243&gt;=600,"Lendário",IF(G243&gt;=500,"Forte","Normal"))</f>
        <v>Lendário</v>
      </c>
      <c r="G243" s="3">
        <v>600</v>
      </c>
      <c r="H243" s="3">
        <v>100</v>
      </c>
      <c r="I243" s="3">
        <v>100</v>
      </c>
      <c r="J243" s="3">
        <v>100</v>
      </c>
      <c r="K243" s="3">
        <v>100</v>
      </c>
      <c r="L243" s="3">
        <v>100</v>
      </c>
      <c r="M243" s="3">
        <v>100</v>
      </c>
      <c r="N243" s="3">
        <f>AVERAGE($I$2:$I$1168)</f>
        <v>78.907455012853475</v>
      </c>
      <c r="O243" s="3" t="str">
        <f>CONCATENATE(A243,"-",B243)</f>
        <v>151-Mew</v>
      </c>
    </row>
    <row r="244" spans="1:15">
      <c r="A244" s="63">
        <v>152</v>
      </c>
      <c r="B244" s="2" t="s">
        <v>195</v>
      </c>
      <c r="C244" t="s">
        <v>16</v>
      </c>
      <c r="D244" s="22">
        <f>COUNTIF($C$2:$C$1168,Tabela1[[#This Row],[Type]])</f>
        <v>93</v>
      </c>
      <c r="E244" s="62" t="str">
        <f>IF(A244&lt;=151,"Kanto",IF(A244&lt;=251,"Johto",IF(A244&lt;=386,"Hoenn",IF(A244&lt;=493,"Sinnoh",IF(A244&lt;=649,"Unova",IF(A244&lt;=721,"Kalos",IF(A244&lt;=809,"Alola",IF(A244&lt;=905,"Galar","Paldea"))))))))</f>
        <v>Johto</v>
      </c>
      <c r="F244" t="str">
        <f>IF(G244&gt;=600,"Lendário",IF(G244&gt;=500,"Forte","Normal"))</f>
        <v>Normal</v>
      </c>
      <c r="G244" s="3">
        <v>318</v>
      </c>
      <c r="H244" s="3">
        <v>45</v>
      </c>
      <c r="I244" s="3">
        <v>49</v>
      </c>
      <c r="J244" s="3">
        <v>65</v>
      </c>
      <c r="K244" s="3">
        <v>49</v>
      </c>
      <c r="L244" s="3">
        <v>65</v>
      </c>
      <c r="M244" s="3">
        <v>45</v>
      </c>
      <c r="N244" s="3">
        <f>AVERAGE($I$2:$I$1168)</f>
        <v>78.907455012853475</v>
      </c>
      <c r="O244" s="3" t="str">
        <f>CONCATENATE(A244,"-",B244)</f>
        <v>152-Chikorita</v>
      </c>
    </row>
    <row r="245" spans="1:15">
      <c r="A245" s="63">
        <v>153</v>
      </c>
      <c r="B245" s="2" t="s">
        <v>196</v>
      </c>
      <c r="C245" t="s">
        <v>16</v>
      </c>
      <c r="D245" s="22">
        <f>COUNTIF($C$2:$C$1168,Tabela1[[#This Row],[Type]])</f>
        <v>93</v>
      </c>
      <c r="E245" s="62" t="str">
        <f>IF(A245&lt;=151,"Kanto",IF(A245&lt;=251,"Johto",IF(A245&lt;=386,"Hoenn",IF(A245&lt;=493,"Sinnoh",IF(A245&lt;=649,"Unova",IF(A245&lt;=721,"Kalos",IF(A245&lt;=809,"Alola",IF(A245&lt;=905,"Galar","Paldea"))))))))</f>
        <v>Johto</v>
      </c>
      <c r="F245" t="str">
        <f>IF(G245&gt;=600,"Lendário",IF(G245&gt;=500,"Forte","Normal"))</f>
        <v>Normal</v>
      </c>
      <c r="G245" s="3">
        <v>405</v>
      </c>
      <c r="H245" s="3">
        <v>60</v>
      </c>
      <c r="I245" s="3">
        <v>62</v>
      </c>
      <c r="J245" s="3">
        <v>80</v>
      </c>
      <c r="K245" s="3">
        <v>63</v>
      </c>
      <c r="L245" s="3">
        <v>80</v>
      </c>
      <c r="M245" s="3">
        <v>60</v>
      </c>
      <c r="N245" s="3">
        <f>AVERAGE($I$2:$I$1168)</f>
        <v>78.907455012853475</v>
      </c>
      <c r="O245" s="3" t="str">
        <f>CONCATENATE(A245,"-",B245)</f>
        <v>153-Bayleef</v>
      </c>
    </row>
    <row r="246" spans="1:15">
      <c r="A246" s="63">
        <v>154</v>
      </c>
      <c r="B246" s="2" t="s">
        <v>197</v>
      </c>
      <c r="C246" t="s">
        <v>16</v>
      </c>
      <c r="D246" s="22">
        <f>COUNTIF($C$2:$C$1168,Tabela1[[#This Row],[Type]])</f>
        <v>93</v>
      </c>
      <c r="E246" s="62" t="str">
        <f>IF(A246&lt;=151,"Kanto",IF(A246&lt;=251,"Johto",IF(A246&lt;=386,"Hoenn",IF(A246&lt;=493,"Sinnoh",IF(A246&lt;=649,"Unova",IF(A246&lt;=721,"Kalos",IF(A246&lt;=809,"Alola",IF(A246&lt;=905,"Galar","Paldea"))))))))</f>
        <v>Johto</v>
      </c>
      <c r="F246" t="str">
        <f>IF(G246&gt;=600,"Lendário",IF(G246&gt;=500,"Forte","Normal"))</f>
        <v>Forte</v>
      </c>
      <c r="G246" s="3">
        <v>525</v>
      </c>
      <c r="H246" s="3">
        <v>80</v>
      </c>
      <c r="I246" s="3">
        <v>82</v>
      </c>
      <c r="J246" s="3">
        <v>100</v>
      </c>
      <c r="K246" s="3">
        <v>83</v>
      </c>
      <c r="L246" s="3">
        <v>100</v>
      </c>
      <c r="M246" s="3">
        <v>80</v>
      </c>
      <c r="N246" s="3">
        <f>AVERAGE($I$2:$I$1168)</f>
        <v>78.907455012853475</v>
      </c>
      <c r="O246" s="3" t="str">
        <f>CONCATENATE(A246,"-",B246)</f>
        <v>154-Meganium</v>
      </c>
    </row>
    <row r="247" spans="1:15">
      <c r="A247" s="63">
        <v>155</v>
      </c>
      <c r="B247" s="2" t="s">
        <v>198</v>
      </c>
      <c r="C247" t="s">
        <v>22</v>
      </c>
      <c r="D247" s="22">
        <f>COUNTIF($C$2:$C$1168,Tabela1[[#This Row],[Type]])</f>
        <v>62</v>
      </c>
      <c r="E247" s="62" t="str">
        <f>IF(A247&lt;=151,"Kanto",IF(A247&lt;=251,"Johto",IF(A247&lt;=386,"Hoenn",IF(A247&lt;=493,"Sinnoh",IF(A247&lt;=649,"Unova",IF(A247&lt;=721,"Kalos",IF(A247&lt;=809,"Alola",IF(A247&lt;=905,"Galar","Paldea"))))))))</f>
        <v>Johto</v>
      </c>
      <c r="F247" t="str">
        <f>IF(G247&gt;=600,"Lendário",IF(G247&gt;=500,"Forte","Normal"))</f>
        <v>Normal</v>
      </c>
      <c r="G247" s="3">
        <v>309</v>
      </c>
      <c r="H247" s="3">
        <v>39</v>
      </c>
      <c r="I247" s="3">
        <v>52</v>
      </c>
      <c r="J247" s="3">
        <v>43</v>
      </c>
      <c r="K247" s="3">
        <v>60</v>
      </c>
      <c r="L247" s="3">
        <v>50</v>
      </c>
      <c r="M247" s="3">
        <v>65</v>
      </c>
      <c r="N247" s="3">
        <f>AVERAGE($I$2:$I$1168)</f>
        <v>78.907455012853475</v>
      </c>
      <c r="O247" s="3" t="str">
        <f>CONCATENATE(A247,"-",B247)</f>
        <v>155-Cyndaquil</v>
      </c>
    </row>
    <row r="248" spans="1:15">
      <c r="A248" s="63">
        <v>156</v>
      </c>
      <c r="B248" s="2" t="s">
        <v>199</v>
      </c>
      <c r="C248" t="s">
        <v>22</v>
      </c>
      <c r="D248" s="22">
        <f>COUNTIF($C$2:$C$1168,Tabela1[[#This Row],[Type]])</f>
        <v>62</v>
      </c>
      <c r="E248" s="62" t="str">
        <f>IF(A248&lt;=151,"Kanto",IF(A248&lt;=251,"Johto",IF(A248&lt;=386,"Hoenn",IF(A248&lt;=493,"Sinnoh",IF(A248&lt;=649,"Unova",IF(A248&lt;=721,"Kalos",IF(A248&lt;=809,"Alola",IF(A248&lt;=905,"Galar","Paldea"))))))))</f>
        <v>Johto</v>
      </c>
      <c r="F248" t="str">
        <f>IF(G248&gt;=600,"Lendário",IF(G248&gt;=500,"Forte","Normal"))</f>
        <v>Normal</v>
      </c>
      <c r="G248" s="3">
        <v>405</v>
      </c>
      <c r="H248" s="3">
        <v>58</v>
      </c>
      <c r="I248" s="3">
        <v>64</v>
      </c>
      <c r="J248" s="3">
        <v>58</v>
      </c>
      <c r="K248" s="3">
        <v>80</v>
      </c>
      <c r="L248" s="3">
        <v>65</v>
      </c>
      <c r="M248" s="3">
        <v>80</v>
      </c>
      <c r="N248" s="3">
        <f>AVERAGE($I$2:$I$1168)</f>
        <v>78.907455012853475</v>
      </c>
      <c r="O248" s="3" t="str">
        <f>CONCATENATE(A248,"-",B248)</f>
        <v>156-Quilava</v>
      </c>
    </row>
    <row r="249" spans="1:15">
      <c r="A249" s="63">
        <v>157</v>
      </c>
      <c r="B249" s="2" t="s">
        <v>200</v>
      </c>
      <c r="C249" t="s">
        <v>22</v>
      </c>
      <c r="D249" s="22">
        <f>COUNTIF($C$2:$C$1168,Tabela1[[#This Row],[Type]])</f>
        <v>62</v>
      </c>
      <c r="E249" s="62" t="str">
        <f>IF(A249&lt;=151,"Kanto",IF(A249&lt;=251,"Johto",IF(A249&lt;=386,"Hoenn",IF(A249&lt;=493,"Sinnoh",IF(A249&lt;=649,"Unova",IF(A249&lt;=721,"Kalos",IF(A249&lt;=809,"Alola",IF(A249&lt;=905,"Galar","Paldea"))))))))</f>
        <v>Johto</v>
      </c>
      <c r="F249" t="str">
        <f>IF(G249&gt;=600,"Lendário",IF(G249&gt;=500,"Forte","Normal"))</f>
        <v>Forte</v>
      </c>
      <c r="G249" s="3">
        <v>534</v>
      </c>
      <c r="H249" s="3">
        <v>78</v>
      </c>
      <c r="I249" s="3">
        <v>84</v>
      </c>
      <c r="J249" s="3">
        <v>78</v>
      </c>
      <c r="K249" s="3">
        <v>109</v>
      </c>
      <c r="L249" s="3">
        <v>85</v>
      </c>
      <c r="M249" s="3">
        <v>100</v>
      </c>
      <c r="N249" s="3">
        <f>AVERAGE($I$2:$I$1168)</f>
        <v>78.907455012853475</v>
      </c>
      <c r="O249" s="3" t="str">
        <f>CONCATENATE(A249,"-",B249)</f>
        <v>157-Typhlosion</v>
      </c>
    </row>
    <row r="250" spans="1:15">
      <c r="A250" s="63">
        <v>158</v>
      </c>
      <c r="B250" s="2" t="s">
        <v>201</v>
      </c>
      <c r="C250" t="s">
        <v>30</v>
      </c>
      <c r="D250" s="22">
        <f>COUNTIF($C$2:$C$1168,Tabela1[[#This Row],[Type]])</f>
        <v>121</v>
      </c>
      <c r="E250" s="62" t="str">
        <f>IF(A250&lt;=151,"Kanto",IF(A250&lt;=251,"Johto",IF(A250&lt;=386,"Hoenn",IF(A250&lt;=493,"Sinnoh",IF(A250&lt;=649,"Unova",IF(A250&lt;=721,"Kalos",IF(A250&lt;=809,"Alola",IF(A250&lt;=905,"Galar","Paldea"))))))))</f>
        <v>Johto</v>
      </c>
      <c r="F250" t="str">
        <f>IF(G250&gt;=600,"Lendário",IF(G250&gt;=500,"Forte","Normal"))</f>
        <v>Normal</v>
      </c>
      <c r="G250" s="3">
        <v>314</v>
      </c>
      <c r="H250" s="3">
        <v>50</v>
      </c>
      <c r="I250" s="3">
        <v>65</v>
      </c>
      <c r="J250" s="3">
        <v>64</v>
      </c>
      <c r="K250" s="3">
        <v>44</v>
      </c>
      <c r="L250" s="3">
        <v>48</v>
      </c>
      <c r="M250" s="3">
        <v>43</v>
      </c>
      <c r="N250" s="3">
        <f>AVERAGE($I$2:$I$1168)</f>
        <v>78.907455012853475</v>
      </c>
      <c r="O250" s="3" t="str">
        <f>CONCATENATE(A250,"-",B250)</f>
        <v>158-Totodile</v>
      </c>
    </row>
    <row r="251" spans="1:15">
      <c r="A251" s="63">
        <v>159</v>
      </c>
      <c r="B251" s="2" t="s">
        <v>202</v>
      </c>
      <c r="C251" t="s">
        <v>30</v>
      </c>
      <c r="D251" s="22">
        <f>COUNTIF($C$2:$C$1168,Tabela1[[#This Row],[Type]])</f>
        <v>121</v>
      </c>
      <c r="E251" s="62" t="str">
        <f>IF(A251&lt;=151,"Kanto",IF(A251&lt;=251,"Johto",IF(A251&lt;=386,"Hoenn",IF(A251&lt;=493,"Sinnoh",IF(A251&lt;=649,"Unova",IF(A251&lt;=721,"Kalos",IF(A251&lt;=809,"Alola",IF(A251&lt;=905,"Galar","Paldea"))))))))</f>
        <v>Johto</v>
      </c>
      <c r="F251" t="str">
        <f>IF(G251&gt;=600,"Lendário",IF(G251&gt;=500,"Forte","Normal"))</f>
        <v>Normal</v>
      </c>
      <c r="G251" s="3">
        <v>405</v>
      </c>
      <c r="H251" s="3">
        <v>65</v>
      </c>
      <c r="I251" s="3">
        <v>80</v>
      </c>
      <c r="J251" s="3">
        <v>80</v>
      </c>
      <c r="K251" s="3">
        <v>59</v>
      </c>
      <c r="L251" s="3">
        <v>63</v>
      </c>
      <c r="M251" s="3">
        <v>58</v>
      </c>
      <c r="N251" s="3">
        <f>AVERAGE($I$2:$I$1168)</f>
        <v>78.907455012853475</v>
      </c>
      <c r="O251" s="3" t="str">
        <f>CONCATENATE(A251,"-",B251)</f>
        <v>159-Croconaw</v>
      </c>
    </row>
    <row r="252" spans="1:15">
      <c r="A252" s="63">
        <v>160</v>
      </c>
      <c r="B252" s="2" t="s">
        <v>203</v>
      </c>
      <c r="C252" t="s">
        <v>30</v>
      </c>
      <c r="D252" s="22">
        <f>COUNTIF($C$2:$C$1168,Tabela1[[#This Row],[Type]])</f>
        <v>121</v>
      </c>
      <c r="E252" s="62" t="str">
        <f>IF(A252&lt;=151,"Kanto",IF(A252&lt;=251,"Johto",IF(A252&lt;=386,"Hoenn",IF(A252&lt;=493,"Sinnoh",IF(A252&lt;=649,"Unova",IF(A252&lt;=721,"Kalos",IF(A252&lt;=809,"Alola",IF(A252&lt;=905,"Galar","Paldea"))))))))</f>
        <v>Johto</v>
      </c>
      <c r="F252" t="str">
        <f>IF(G252&gt;=600,"Lendário",IF(G252&gt;=500,"Forte","Normal"))</f>
        <v>Forte</v>
      </c>
      <c r="G252" s="3">
        <v>530</v>
      </c>
      <c r="H252" s="3">
        <v>85</v>
      </c>
      <c r="I252" s="3">
        <v>105</v>
      </c>
      <c r="J252" s="3">
        <v>100</v>
      </c>
      <c r="K252" s="3">
        <v>79</v>
      </c>
      <c r="L252" s="3">
        <v>83</v>
      </c>
      <c r="M252" s="3">
        <v>78</v>
      </c>
      <c r="N252" s="3">
        <f>AVERAGE($I$2:$I$1168)</f>
        <v>78.907455012853475</v>
      </c>
      <c r="O252" s="3" t="str">
        <f>CONCATENATE(A252,"-",B252)</f>
        <v>160-Feraligatr</v>
      </c>
    </row>
    <row r="253" spans="1:15">
      <c r="A253" s="63">
        <v>161</v>
      </c>
      <c r="B253" s="2" t="s">
        <v>204</v>
      </c>
      <c r="C253" t="s">
        <v>42</v>
      </c>
      <c r="D253" s="22">
        <f>COUNTIF($C$2:$C$1168,Tabela1[[#This Row],[Type]])</f>
        <v>99</v>
      </c>
      <c r="E253" s="62" t="str">
        <f>IF(A253&lt;=151,"Kanto",IF(A253&lt;=251,"Johto",IF(A253&lt;=386,"Hoenn",IF(A253&lt;=493,"Sinnoh",IF(A253&lt;=649,"Unova",IF(A253&lt;=721,"Kalos",IF(A253&lt;=809,"Alola",IF(A253&lt;=905,"Galar","Paldea"))))))))</f>
        <v>Johto</v>
      </c>
      <c r="F253" t="str">
        <f>IF(G253&gt;=600,"Lendário",IF(G253&gt;=500,"Forte","Normal"))</f>
        <v>Normal</v>
      </c>
      <c r="G253" s="3">
        <v>215</v>
      </c>
      <c r="H253" s="3">
        <v>35</v>
      </c>
      <c r="I253" s="3">
        <v>46</v>
      </c>
      <c r="J253" s="3">
        <v>34</v>
      </c>
      <c r="K253" s="3">
        <v>35</v>
      </c>
      <c r="L253" s="3">
        <v>45</v>
      </c>
      <c r="M253" s="3">
        <v>20</v>
      </c>
      <c r="N253" s="3">
        <f>AVERAGE($I$2:$I$1168)</f>
        <v>78.907455012853475</v>
      </c>
      <c r="O253" s="3" t="str">
        <f>CONCATENATE(A253,"-",B253)</f>
        <v>161-Sentret</v>
      </c>
    </row>
    <row r="254" spans="1:15">
      <c r="A254" s="63">
        <v>162</v>
      </c>
      <c r="B254" s="2" t="s">
        <v>205</v>
      </c>
      <c r="C254" t="s">
        <v>42</v>
      </c>
      <c r="D254" s="22">
        <f>COUNTIF($C$2:$C$1168,Tabela1[[#This Row],[Type]])</f>
        <v>99</v>
      </c>
      <c r="E254" s="62" t="str">
        <f>IF(A254&lt;=151,"Kanto",IF(A254&lt;=251,"Johto",IF(A254&lt;=386,"Hoenn",IF(A254&lt;=493,"Sinnoh",IF(A254&lt;=649,"Unova",IF(A254&lt;=721,"Kalos",IF(A254&lt;=809,"Alola",IF(A254&lt;=905,"Galar","Paldea"))))))))</f>
        <v>Johto</v>
      </c>
      <c r="F254" t="str">
        <f>IF(G254&gt;=600,"Lendário",IF(G254&gt;=500,"Forte","Normal"))</f>
        <v>Normal</v>
      </c>
      <c r="G254" s="3">
        <v>415</v>
      </c>
      <c r="H254" s="3">
        <v>85</v>
      </c>
      <c r="I254" s="3">
        <v>76</v>
      </c>
      <c r="J254" s="3">
        <v>64</v>
      </c>
      <c r="K254" s="3">
        <v>45</v>
      </c>
      <c r="L254" s="3">
        <v>55</v>
      </c>
      <c r="M254" s="3">
        <v>90</v>
      </c>
      <c r="N254" s="3">
        <f>AVERAGE($I$2:$I$1168)</f>
        <v>78.907455012853475</v>
      </c>
      <c r="O254" s="3" t="str">
        <f>CONCATENATE(A254,"-",B254)</f>
        <v>162-Furret</v>
      </c>
    </row>
    <row r="255" spans="1:15">
      <c r="A255" s="63">
        <v>163</v>
      </c>
      <c r="B255" s="2" t="s">
        <v>206</v>
      </c>
      <c r="C255" t="s">
        <v>42</v>
      </c>
      <c r="D255" s="22">
        <f>COUNTIF($C$2:$C$1168,Tabela1[[#This Row],[Type]])</f>
        <v>99</v>
      </c>
      <c r="E255" s="62" t="str">
        <f>IF(A255&lt;=151,"Kanto",IF(A255&lt;=251,"Johto",IF(A255&lt;=386,"Hoenn",IF(A255&lt;=493,"Sinnoh",IF(A255&lt;=649,"Unova",IF(A255&lt;=721,"Kalos",IF(A255&lt;=809,"Alola",IF(A255&lt;=905,"Galar","Paldea"))))))))</f>
        <v>Johto</v>
      </c>
      <c r="F255" t="str">
        <f>IF(G255&gt;=600,"Lendário",IF(G255&gt;=500,"Forte","Normal"))</f>
        <v>Normal</v>
      </c>
      <c r="G255" s="3">
        <v>262</v>
      </c>
      <c r="H255" s="3">
        <v>60</v>
      </c>
      <c r="I255" s="3">
        <v>30</v>
      </c>
      <c r="J255" s="3">
        <v>30</v>
      </c>
      <c r="K255" s="3">
        <v>36</v>
      </c>
      <c r="L255" s="3">
        <v>56</v>
      </c>
      <c r="M255" s="3">
        <v>50</v>
      </c>
      <c r="N255" s="3">
        <f>AVERAGE($I$2:$I$1168)</f>
        <v>78.907455012853475</v>
      </c>
      <c r="O255" s="3" t="str">
        <f>CONCATENATE(A255,"-",B255)</f>
        <v>163-Hoothoot</v>
      </c>
    </row>
    <row r="256" spans="1:15">
      <c r="A256" s="63">
        <v>164</v>
      </c>
      <c r="B256" s="2" t="s">
        <v>207</v>
      </c>
      <c r="C256" t="s">
        <v>42</v>
      </c>
      <c r="D256" s="22">
        <f>COUNTIF($C$2:$C$1168,Tabela1[[#This Row],[Type]])</f>
        <v>99</v>
      </c>
      <c r="E256" s="62" t="str">
        <f>IF(A256&lt;=151,"Kanto",IF(A256&lt;=251,"Johto",IF(A256&lt;=386,"Hoenn",IF(A256&lt;=493,"Sinnoh",IF(A256&lt;=649,"Unova",IF(A256&lt;=721,"Kalos",IF(A256&lt;=809,"Alola",IF(A256&lt;=905,"Galar","Paldea"))))))))</f>
        <v>Johto</v>
      </c>
      <c r="F256" t="str">
        <f>IF(G256&gt;=600,"Lendário",IF(G256&gt;=500,"Forte","Normal"))</f>
        <v>Normal</v>
      </c>
      <c r="G256" s="3">
        <v>442</v>
      </c>
      <c r="H256" s="3">
        <v>100</v>
      </c>
      <c r="I256" s="3">
        <v>50</v>
      </c>
      <c r="J256" s="3">
        <v>50</v>
      </c>
      <c r="K256" s="3">
        <v>76</v>
      </c>
      <c r="L256" s="3">
        <v>96</v>
      </c>
      <c r="M256" s="3">
        <v>70</v>
      </c>
      <c r="N256" s="3">
        <f>AVERAGE($I$2:$I$1168)</f>
        <v>78.907455012853475</v>
      </c>
      <c r="O256" s="3" t="str">
        <f>CONCATENATE(A256,"-",B256)</f>
        <v>164-Noctowl</v>
      </c>
    </row>
    <row r="257" spans="1:15">
      <c r="A257" s="63">
        <v>164</v>
      </c>
      <c r="B257" s="2" t="str">
        <f>B256</f>
        <v>Noctowl</v>
      </c>
      <c r="C257" t="s">
        <v>25</v>
      </c>
      <c r="D257" s="22">
        <f>COUNTIF($C$2:$C$1168,Tabela1[[#This Row],[Type]])</f>
        <v>100</v>
      </c>
      <c r="E257" s="62" t="str">
        <f>IF(A257&lt;=151,"Kanto",IF(A257&lt;=251,"Johto",IF(A257&lt;=386,"Hoenn",IF(A257&lt;=493,"Sinnoh",IF(A257&lt;=649,"Unova",IF(A257&lt;=721,"Kalos",IF(A257&lt;=809,"Alola",IF(A257&lt;=905,"Galar","Paldea"))))))))</f>
        <v>Johto</v>
      </c>
      <c r="F257" t="str">
        <f>IF(G257&gt;=600,"Lendário",IF(G257&gt;=500,"Forte","Normal"))</f>
        <v>Normal</v>
      </c>
      <c r="G257" s="3">
        <f>G256</f>
        <v>442</v>
      </c>
      <c r="H257" s="3">
        <f>H256</f>
        <v>100</v>
      </c>
      <c r="I257" s="3">
        <f>I256</f>
        <v>50</v>
      </c>
      <c r="J257" s="3">
        <f>J256</f>
        <v>50</v>
      </c>
      <c r="K257" s="3">
        <f>K256</f>
        <v>76</v>
      </c>
      <c r="L257" s="3">
        <f>L256</f>
        <v>96</v>
      </c>
      <c r="M257" s="3">
        <f>M256</f>
        <v>70</v>
      </c>
      <c r="N257" s="3">
        <f>AVERAGE($I$2:$I$1168)</f>
        <v>78.907455012853475</v>
      </c>
      <c r="O257" s="3" t="str">
        <f>CONCATENATE(A257,"-",B257)</f>
        <v>164-Noctowl</v>
      </c>
    </row>
    <row r="258" spans="1:15">
      <c r="A258" s="63">
        <v>165</v>
      </c>
      <c r="B258" s="2" t="s">
        <v>208</v>
      </c>
      <c r="C258" t="s">
        <v>35</v>
      </c>
      <c r="D258" s="22">
        <f>COUNTIF($C$2:$C$1168,Tabela1[[#This Row],[Type]])</f>
        <v>71</v>
      </c>
      <c r="E258" s="62" t="str">
        <f>IF(A258&lt;=151,"Kanto",IF(A258&lt;=251,"Johto",IF(A258&lt;=386,"Hoenn",IF(A258&lt;=493,"Sinnoh",IF(A258&lt;=649,"Unova",IF(A258&lt;=721,"Kalos",IF(A258&lt;=809,"Alola",IF(A258&lt;=905,"Galar","Paldea"))))))))</f>
        <v>Johto</v>
      </c>
      <c r="F258" t="str">
        <f>IF(G258&gt;=600,"Lendário",IF(G258&gt;=500,"Forte","Normal"))</f>
        <v>Normal</v>
      </c>
      <c r="G258" s="3">
        <v>265</v>
      </c>
      <c r="H258" s="3">
        <v>40</v>
      </c>
      <c r="I258" s="3">
        <v>20</v>
      </c>
      <c r="J258" s="3">
        <v>30</v>
      </c>
      <c r="K258" s="3">
        <v>40</v>
      </c>
      <c r="L258" s="3">
        <v>80</v>
      </c>
      <c r="M258" s="3">
        <v>55</v>
      </c>
      <c r="N258" s="3">
        <f>AVERAGE($I$2:$I$1168)</f>
        <v>78.907455012853475</v>
      </c>
      <c r="O258" s="3" t="str">
        <f>CONCATENATE(A258,"-",B258)</f>
        <v>165-Ledyba</v>
      </c>
    </row>
    <row r="259" spans="1:15">
      <c r="A259" s="63">
        <v>165</v>
      </c>
      <c r="B259" s="2" t="str">
        <f>B258</f>
        <v>Ledyba</v>
      </c>
      <c r="C259" t="s">
        <v>25</v>
      </c>
      <c r="D259" s="22">
        <f>COUNTIF($C$2:$C$1168,Tabela1[[#This Row],[Type]])</f>
        <v>100</v>
      </c>
      <c r="E259" s="62" t="str">
        <f>IF(A259&lt;=151,"Kanto",IF(A259&lt;=251,"Johto",IF(A259&lt;=386,"Hoenn",IF(A259&lt;=493,"Sinnoh",IF(A259&lt;=649,"Unova",IF(A259&lt;=721,"Kalos",IF(A259&lt;=809,"Alola",IF(A259&lt;=905,"Galar","Paldea"))))))))</f>
        <v>Johto</v>
      </c>
      <c r="F259" t="str">
        <f>IF(G259&gt;=600,"Lendário",IF(G259&gt;=500,"Forte","Normal"))</f>
        <v>Normal</v>
      </c>
      <c r="G259" s="3">
        <f>G258</f>
        <v>265</v>
      </c>
      <c r="H259" s="3">
        <f>H258</f>
        <v>40</v>
      </c>
      <c r="I259" s="3">
        <f>I258</f>
        <v>20</v>
      </c>
      <c r="J259" s="3">
        <f>J258</f>
        <v>30</v>
      </c>
      <c r="K259" s="3">
        <f>K258</f>
        <v>40</v>
      </c>
      <c r="L259" s="3">
        <f>L258</f>
        <v>80</v>
      </c>
      <c r="M259" s="3">
        <f>M258</f>
        <v>55</v>
      </c>
      <c r="N259" s="3">
        <f>AVERAGE($I$2:$I$1168)</f>
        <v>78.907455012853475</v>
      </c>
      <c r="O259" s="3" t="str">
        <f>CONCATENATE(A259,"-",B259)</f>
        <v>165-Ledyba</v>
      </c>
    </row>
    <row r="260" spans="1:15">
      <c r="A260" s="63">
        <v>166</v>
      </c>
      <c r="B260" s="2" t="s">
        <v>209</v>
      </c>
      <c r="C260" t="s">
        <v>35</v>
      </c>
      <c r="D260" s="22">
        <f>COUNTIF($C$2:$C$1168,Tabela1[[#This Row],[Type]])</f>
        <v>71</v>
      </c>
      <c r="E260" s="62" t="str">
        <f>IF(A260&lt;=151,"Kanto",IF(A260&lt;=251,"Johto",IF(A260&lt;=386,"Hoenn",IF(A260&lt;=493,"Sinnoh",IF(A260&lt;=649,"Unova",IF(A260&lt;=721,"Kalos",IF(A260&lt;=809,"Alola",IF(A260&lt;=905,"Galar","Paldea"))))))))</f>
        <v>Johto</v>
      </c>
      <c r="F260" t="str">
        <f>IF(G260&gt;=600,"Lendário",IF(G260&gt;=500,"Forte","Normal"))</f>
        <v>Normal</v>
      </c>
      <c r="G260" s="3">
        <v>390</v>
      </c>
      <c r="H260" s="3">
        <v>55</v>
      </c>
      <c r="I260" s="3">
        <v>35</v>
      </c>
      <c r="J260" s="3">
        <v>50</v>
      </c>
      <c r="K260" s="3">
        <v>55</v>
      </c>
      <c r="L260" s="3">
        <v>110</v>
      </c>
      <c r="M260" s="3">
        <v>85</v>
      </c>
      <c r="N260" s="3">
        <f>AVERAGE($I$2:$I$1168)</f>
        <v>78.907455012853475</v>
      </c>
      <c r="O260" s="3" t="str">
        <f>CONCATENATE(A260,"-",B260)</f>
        <v>166-Ledian</v>
      </c>
    </row>
    <row r="261" spans="1:15">
      <c r="A261" s="63">
        <v>166</v>
      </c>
      <c r="B261" s="2" t="str">
        <f>B260</f>
        <v>Ledian</v>
      </c>
      <c r="C261" t="s">
        <v>25</v>
      </c>
      <c r="D261" s="22">
        <f>COUNTIF($C$2:$C$1168,Tabela1[[#This Row],[Type]])</f>
        <v>100</v>
      </c>
      <c r="E261" s="62" t="str">
        <f>IF(A261&lt;=151,"Kanto",IF(A261&lt;=251,"Johto",IF(A261&lt;=386,"Hoenn",IF(A261&lt;=493,"Sinnoh",IF(A261&lt;=649,"Unova",IF(A261&lt;=721,"Kalos",IF(A261&lt;=809,"Alola",IF(A261&lt;=905,"Galar","Paldea"))))))))</f>
        <v>Johto</v>
      </c>
      <c r="F261" t="str">
        <f>IF(G261&gt;=600,"Lendário",IF(G261&gt;=500,"Forte","Normal"))</f>
        <v>Normal</v>
      </c>
      <c r="G261" s="3">
        <f>G260</f>
        <v>390</v>
      </c>
      <c r="H261" s="3">
        <f>H260</f>
        <v>55</v>
      </c>
      <c r="I261" s="3">
        <f>I260</f>
        <v>35</v>
      </c>
      <c r="J261" s="3">
        <f>J260</f>
        <v>50</v>
      </c>
      <c r="K261" s="3">
        <f>K260</f>
        <v>55</v>
      </c>
      <c r="L261" s="3">
        <f>L260</f>
        <v>110</v>
      </c>
      <c r="M261" s="3">
        <f>M260</f>
        <v>85</v>
      </c>
      <c r="N261" s="3">
        <f>AVERAGE($I$2:$I$1168)</f>
        <v>78.907455012853475</v>
      </c>
      <c r="O261" s="3" t="str">
        <f>CONCATENATE(A261,"-",B261)</f>
        <v>166-Ledian</v>
      </c>
    </row>
    <row r="262" spans="1:15">
      <c r="A262" s="63">
        <v>167</v>
      </c>
      <c r="B262" s="2" t="s">
        <v>210</v>
      </c>
      <c r="C262" t="s">
        <v>35</v>
      </c>
      <c r="D262" s="22">
        <f>COUNTIF($C$2:$C$1168,Tabela1[[#This Row],[Type]])</f>
        <v>71</v>
      </c>
      <c r="E262" s="62" t="str">
        <f>IF(A262&lt;=151,"Kanto",IF(A262&lt;=251,"Johto",IF(A262&lt;=386,"Hoenn",IF(A262&lt;=493,"Sinnoh",IF(A262&lt;=649,"Unova",IF(A262&lt;=721,"Kalos",IF(A262&lt;=809,"Alola",IF(A262&lt;=905,"Galar","Paldea"))))))))</f>
        <v>Johto</v>
      </c>
      <c r="F262" t="str">
        <f>IF(G262&gt;=600,"Lendário",IF(G262&gt;=500,"Forte","Normal"))</f>
        <v>Normal</v>
      </c>
      <c r="G262" s="3">
        <v>250</v>
      </c>
      <c r="H262" s="3">
        <v>40</v>
      </c>
      <c r="I262" s="3">
        <v>60</v>
      </c>
      <c r="J262" s="3">
        <v>40</v>
      </c>
      <c r="K262" s="3">
        <v>40</v>
      </c>
      <c r="L262" s="3">
        <v>40</v>
      </c>
      <c r="M262" s="3">
        <v>30</v>
      </c>
      <c r="N262" s="3">
        <f>AVERAGE($I$2:$I$1168)</f>
        <v>78.907455012853475</v>
      </c>
      <c r="O262" s="3" t="str">
        <f>CONCATENATE(A262,"-",B262)</f>
        <v>167-Spinarak</v>
      </c>
    </row>
    <row r="263" spans="1:15">
      <c r="A263" s="63">
        <v>167</v>
      </c>
      <c r="B263" s="2" t="str">
        <f>B262</f>
        <v>Spinarak</v>
      </c>
      <c r="C263" t="s">
        <v>17</v>
      </c>
      <c r="D263" s="22">
        <f>COUNTIF($C$2:$C$1168,Tabela1[[#This Row],[Type]])</f>
        <v>61</v>
      </c>
      <c r="E263" s="62" t="str">
        <f>IF(A263&lt;=151,"Kanto",IF(A263&lt;=251,"Johto",IF(A263&lt;=386,"Hoenn",IF(A263&lt;=493,"Sinnoh",IF(A263&lt;=649,"Unova",IF(A263&lt;=721,"Kalos",IF(A263&lt;=809,"Alola",IF(A263&lt;=905,"Galar","Paldea"))))))))</f>
        <v>Johto</v>
      </c>
      <c r="F263" t="str">
        <f>IF(G263&gt;=600,"Lendário",IF(G263&gt;=500,"Forte","Normal"))</f>
        <v>Normal</v>
      </c>
      <c r="G263" s="3">
        <f>G262</f>
        <v>250</v>
      </c>
      <c r="H263" s="3">
        <f>H262</f>
        <v>40</v>
      </c>
      <c r="I263" s="3">
        <f>I262</f>
        <v>60</v>
      </c>
      <c r="J263" s="3">
        <f>J262</f>
        <v>40</v>
      </c>
      <c r="K263" s="3">
        <f>K262</f>
        <v>40</v>
      </c>
      <c r="L263" s="3">
        <f>L262</f>
        <v>40</v>
      </c>
      <c r="M263" s="3">
        <f>M262</f>
        <v>30</v>
      </c>
      <c r="N263" s="3">
        <f>AVERAGE($I$2:$I$1168)</f>
        <v>78.907455012853475</v>
      </c>
      <c r="O263" s="3" t="str">
        <f>CONCATENATE(A263,"-",B263)</f>
        <v>167-Spinarak</v>
      </c>
    </row>
    <row r="264" spans="1:15">
      <c r="A264" s="63">
        <v>168</v>
      </c>
      <c r="B264" s="2" t="s">
        <v>211</v>
      </c>
      <c r="C264" t="s">
        <v>35</v>
      </c>
      <c r="D264" s="22">
        <f>COUNTIF($C$2:$C$1168,Tabela1[[#This Row],[Type]])</f>
        <v>71</v>
      </c>
      <c r="E264" s="62" t="str">
        <f>IF(A264&lt;=151,"Kanto",IF(A264&lt;=251,"Johto",IF(A264&lt;=386,"Hoenn",IF(A264&lt;=493,"Sinnoh",IF(A264&lt;=649,"Unova",IF(A264&lt;=721,"Kalos",IF(A264&lt;=809,"Alola",IF(A264&lt;=905,"Galar","Paldea"))))))))</f>
        <v>Johto</v>
      </c>
      <c r="F264" t="str">
        <f>IF(G264&gt;=600,"Lendário",IF(G264&gt;=500,"Forte","Normal"))</f>
        <v>Normal</v>
      </c>
      <c r="G264" s="3">
        <v>390</v>
      </c>
      <c r="H264" s="3">
        <v>70</v>
      </c>
      <c r="I264" s="3">
        <v>90</v>
      </c>
      <c r="J264" s="3">
        <v>70</v>
      </c>
      <c r="K264" s="3">
        <v>60</v>
      </c>
      <c r="L264" s="3">
        <v>60</v>
      </c>
      <c r="M264" s="3">
        <v>40</v>
      </c>
      <c r="N264" s="3">
        <f>AVERAGE($I$2:$I$1168)</f>
        <v>78.907455012853475</v>
      </c>
      <c r="O264" s="3" t="str">
        <f>CONCATENATE(A264,"-",B264)</f>
        <v>168-Ariados</v>
      </c>
    </row>
    <row r="265" spans="1:15">
      <c r="A265" s="63">
        <v>168</v>
      </c>
      <c r="B265" s="2" t="str">
        <f>B264</f>
        <v>Ariados</v>
      </c>
      <c r="C265" t="s">
        <v>17</v>
      </c>
      <c r="D265" s="22">
        <f>COUNTIF($C$2:$C$1168,Tabela1[[#This Row],[Type]])</f>
        <v>61</v>
      </c>
      <c r="E265" s="62" t="str">
        <f>IF(A265&lt;=151,"Kanto",IF(A265&lt;=251,"Johto",IF(A265&lt;=386,"Hoenn",IF(A265&lt;=493,"Sinnoh",IF(A265&lt;=649,"Unova",IF(A265&lt;=721,"Kalos",IF(A265&lt;=809,"Alola",IF(A265&lt;=905,"Galar","Paldea"))))))))</f>
        <v>Johto</v>
      </c>
      <c r="F265" t="str">
        <f>IF(G265&gt;=600,"Lendário",IF(G265&gt;=500,"Forte","Normal"))</f>
        <v>Normal</v>
      </c>
      <c r="G265" s="3">
        <f>G264</f>
        <v>390</v>
      </c>
      <c r="H265" s="3">
        <f>H264</f>
        <v>70</v>
      </c>
      <c r="I265" s="3">
        <f>I264</f>
        <v>90</v>
      </c>
      <c r="J265" s="3">
        <f>J264</f>
        <v>70</v>
      </c>
      <c r="K265" s="3">
        <f>K264</f>
        <v>60</v>
      </c>
      <c r="L265" s="3">
        <f>L264</f>
        <v>60</v>
      </c>
      <c r="M265" s="3">
        <f>M264</f>
        <v>40</v>
      </c>
      <c r="N265" s="3">
        <f>AVERAGE($I$2:$I$1168)</f>
        <v>78.907455012853475</v>
      </c>
      <c r="O265" s="3" t="str">
        <f>CONCATENATE(A265,"-",B265)</f>
        <v>168-Ariados</v>
      </c>
    </row>
    <row r="266" spans="1:15">
      <c r="A266" s="63">
        <v>169</v>
      </c>
      <c r="B266" s="2" t="s">
        <v>212</v>
      </c>
      <c r="C266" t="s">
        <v>17</v>
      </c>
      <c r="D266" s="22">
        <f>COUNTIF($C$2:$C$1168,Tabela1[[#This Row],[Type]])</f>
        <v>61</v>
      </c>
      <c r="E266" s="62" t="str">
        <f>IF(A266&lt;=151,"Kanto",IF(A266&lt;=251,"Johto",IF(A266&lt;=386,"Hoenn",IF(A266&lt;=493,"Sinnoh",IF(A266&lt;=649,"Unova",IF(A266&lt;=721,"Kalos",IF(A266&lt;=809,"Alola",IF(A266&lt;=905,"Galar","Paldea"))))))))</f>
        <v>Johto</v>
      </c>
      <c r="F266" t="str">
        <f>IF(G266&gt;=600,"Lendário",IF(G266&gt;=500,"Forte","Normal"))</f>
        <v>Forte</v>
      </c>
      <c r="G266" s="3">
        <v>535</v>
      </c>
      <c r="H266" s="3">
        <v>85</v>
      </c>
      <c r="I266" s="3">
        <v>90</v>
      </c>
      <c r="J266" s="3">
        <v>80</v>
      </c>
      <c r="K266" s="3">
        <v>70</v>
      </c>
      <c r="L266" s="3">
        <v>80</v>
      </c>
      <c r="M266" s="3">
        <v>130</v>
      </c>
      <c r="N266" s="3">
        <f>AVERAGE($I$2:$I$1168)</f>
        <v>78.907455012853475</v>
      </c>
      <c r="O266" s="3" t="str">
        <f>CONCATENATE(A266,"-",B266)</f>
        <v>169-Crobat</v>
      </c>
    </row>
    <row r="267" spans="1:15">
      <c r="A267" s="63">
        <v>169</v>
      </c>
      <c r="B267" s="2" t="str">
        <f>B266</f>
        <v>Crobat</v>
      </c>
      <c r="C267" t="s">
        <v>25</v>
      </c>
      <c r="D267" s="22">
        <f>COUNTIF($C$2:$C$1168,Tabela1[[#This Row],[Type]])</f>
        <v>100</v>
      </c>
      <c r="E267" s="62" t="str">
        <f>IF(A267&lt;=151,"Kanto",IF(A267&lt;=251,"Johto",IF(A267&lt;=386,"Hoenn",IF(A267&lt;=493,"Sinnoh",IF(A267&lt;=649,"Unova",IF(A267&lt;=721,"Kalos",IF(A267&lt;=809,"Alola",IF(A267&lt;=905,"Galar","Paldea"))))))))</f>
        <v>Johto</v>
      </c>
      <c r="F267" t="str">
        <f>IF(G267&gt;=600,"Lendário",IF(G267&gt;=500,"Forte","Normal"))</f>
        <v>Forte</v>
      </c>
      <c r="G267" s="3">
        <f>G266</f>
        <v>535</v>
      </c>
      <c r="H267" s="3">
        <f>H266</f>
        <v>85</v>
      </c>
      <c r="I267" s="3">
        <f>I266</f>
        <v>90</v>
      </c>
      <c r="J267" s="3">
        <f>J266</f>
        <v>80</v>
      </c>
      <c r="K267" s="3">
        <f>K266</f>
        <v>70</v>
      </c>
      <c r="L267" s="3">
        <f>L266</f>
        <v>80</v>
      </c>
      <c r="M267" s="3">
        <f>M266</f>
        <v>130</v>
      </c>
      <c r="N267" s="3">
        <f>AVERAGE($I$2:$I$1168)</f>
        <v>78.907455012853475</v>
      </c>
      <c r="O267" s="3" t="str">
        <f>CONCATENATE(A267,"-",B267)</f>
        <v>169-Crobat</v>
      </c>
    </row>
    <row r="268" spans="1:15">
      <c r="A268" s="63">
        <v>170</v>
      </c>
      <c r="B268" s="2" t="s">
        <v>213</v>
      </c>
      <c r="C268" t="s">
        <v>30</v>
      </c>
      <c r="D268" s="22">
        <f>COUNTIF($C$2:$C$1168,Tabela1[[#This Row],[Type]])</f>
        <v>121</v>
      </c>
      <c r="E268" s="62" t="str">
        <f>IF(A268&lt;=151,"Kanto",IF(A268&lt;=251,"Johto",IF(A268&lt;=386,"Hoenn",IF(A268&lt;=493,"Sinnoh",IF(A268&lt;=649,"Unova",IF(A268&lt;=721,"Kalos",IF(A268&lt;=809,"Alola",IF(A268&lt;=905,"Galar","Paldea"))))))))</f>
        <v>Johto</v>
      </c>
      <c r="F268" t="str">
        <f>IF(G268&gt;=600,"Lendário",IF(G268&gt;=500,"Forte","Normal"))</f>
        <v>Normal</v>
      </c>
      <c r="G268" s="3">
        <v>330</v>
      </c>
      <c r="H268" s="3">
        <v>75</v>
      </c>
      <c r="I268" s="3">
        <v>38</v>
      </c>
      <c r="J268" s="3">
        <v>38</v>
      </c>
      <c r="K268" s="3">
        <v>56</v>
      </c>
      <c r="L268" s="3">
        <v>56</v>
      </c>
      <c r="M268" s="3">
        <v>67</v>
      </c>
      <c r="N268" s="3">
        <f>AVERAGE($I$2:$I$1168)</f>
        <v>78.907455012853475</v>
      </c>
      <c r="O268" s="3" t="str">
        <f>CONCATENATE(A268,"-",B268)</f>
        <v>170-Chinchou</v>
      </c>
    </row>
    <row r="269" spans="1:15">
      <c r="A269" s="63">
        <v>170</v>
      </c>
      <c r="B269" s="2" t="str">
        <f>B268</f>
        <v>Chinchou</v>
      </c>
      <c r="C269" t="s">
        <v>52</v>
      </c>
      <c r="D269" s="22">
        <f>COUNTIF($C$2:$C$1168,Tabela1[[#This Row],[Type]])</f>
        <v>51</v>
      </c>
      <c r="E269" s="62" t="str">
        <f>IF(A269&lt;=151,"Kanto",IF(A269&lt;=251,"Johto",IF(A269&lt;=386,"Hoenn",IF(A269&lt;=493,"Sinnoh",IF(A269&lt;=649,"Unova",IF(A269&lt;=721,"Kalos",IF(A269&lt;=809,"Alola",IF(A269&lt;=905,"Galar","Paldea"))))))))</f>
        <v>Johto</v>
      </c>
      <c r="F269" t="str">
        <f>IF(G269&gt;=600,"Lendário",IF(G269&gt;=500,"Forte","Normal"))</f>
        <v>Normal</v>
      </c>
      <c r="G269" s="3">
        <f>G268</f>
        <v>330</v>
      </c>
      <c r="H269" s="3">
        <f>H268</f>
        <v>75</v>
      </c>
      <c r="I269" s="3">
        <f>I268</f>
        <v>38</v>
      </c>
      <c r="J269" s="3">
        <f>J268</f>
        <v>38</v>
      </c>
      <c r="K269" s="3">
        <f>K268</f>
        <v>56</v>
      </c>
      <c r="L269" s="3">
        <f>L268</f>
        <v>56</v>
      </c>
      <c r="M269" s="3">
        <f>M268</f>
        <v>67</v>
      </c>
      <c r="N269" s="3">
        <f>AVERAGE($I$2:$I$1168)</f>
        <v>78.907455012853475</v>
      </c>
      <c r="O269" s="3" t="str">
        <f>CONCATENATE(A269,"-",B269)</f>
        <v>170-Chinchou</v>
      </c>
    </row>
    <row r="270" spans="1:15">
      <c r="A270" s="63">
        <v>171</v>
      </c>
      <c r="B270" s="2" t="s">
        <v>214</v>
      </c>
      <c r="C270" t="s">
        <v>30</v>
      </c>
      <c r="D270" s="22">
        <f>COUNTIF($C$2:$C$1168,Tabela1[[#This Row],[Type]])</f>
        <v>121</v>
      </c>
      <c r="E270" s="62" t="str">
        <f>IF(A270&lt;=151,"Kanto",IF(A270&lt;=251,"Johto",IF(A270&lt;=386,"Hoenn",IF(A270&lt;=493,"Sinnoh",IF(A270&lt;=649,"Unova",IF(A270&lt;=721,"Kalos",IF(A270&lt;=809,"Alola",IF(A270&lt;=905,"Galar","Paldea"))))))))</f>
        <v>Johto</v>
      </c>
      <c r="F270" t="str">
        <f>IF(G270&gt;=600,"Lendário",IF(G270&gt;=500,"Forte","Normal"))</f>
        <v>Normal</v>
      </c>
      <c r="G270" s="3">
        <v>460</v>
      </c>
      <c r="H270" s="3">
        <v>125</v>
      </c>
      <c r="I270" s="3">
        <v>58</v>
      </c>
      <c r="J270" s="3">
        <v>58</v>
      </c>
      <c r="K270" s="3">
        <v>76</v>
      </c>
      <c r="L270" s="3">
        <v>76</v>
      </c>
      <c r="M270" s="3">
        <v>67</v>
      </c>
      <c r="N270" s="3">
        <f>AVERAGE($I$2:$I$1168)</f>
        <v>78.907455012853475</v>
      </c>
      <c r="O270" s="3" t="str">
        <f>CONCATENATE(A270,"-",B270)</f>
        <v>171-Lanturn</v>
      </c>
    </row>
    <row r="271" spans="1:15">
      <c r="A271" s="63">
        <v>171</v>
      </c>
      <c r="B271" s="2" t="str">
        <f>B270</f>
        <v>Lanturn</v>
      </c>
      <c r="C271" t="s">
        <v>52</v>
      </c>
      <c r="D271" s="22">
        <f>COUNTIF($C$2:$C$1168,Tabela1[[#This Row],[Type]])</f>
        <v>51</v>
      </c>
      <c r="E271" s="62" t="str">
        <f>IF(A271&lt;=151,"Kanto",IF(A271&lt;=251,"Johto",IF(A271&lt;=386,"Hoenn",IF(A271&lt;=493,"Sinnoh",IF(A271&lt;=649,"Unova",IF(A271&lt;=721,"Kalos",IF(A271&lt;=809,"Alola",IF(A271&lt;=905,"Galar","Paldea"))))))))</f>
        <v>Johto</v>
      </c>
      <c r="F271" t="str">
        <f>IF(G271&gt;=600,"Lendário",IF(G271&gt;=500,"Forte","Normal"))</f>
        <v>Normal</v>
      </c>
      <c r="G271" s="3">
        <f>G270</f>
        <v>460</v>
      </c>
      <c r="H271" s="3">
        <f>H270</f>
        <v>125</v>
      </c>
      <c r="I271" s="3">
        <f>I270</f>
        <v>58</v>
      </c>
      <c r="J271" s="3">
        <f>J270</f>
        <v>58</v>
      </c>
      <c r="K271" s="3">
        <f>K270</f>
        <v>76</v>
      </c>
      <c r="L271" s="3">
        <f>L270</f>
        <v>76</v>
      </c>
      <c r="M271" s="3">
        <f>M270</f>
        <v>67</v>
      </c>
      <c r="N271" s="3">
        <f>AVERAGE($I$2:$I$1168)</f>
        <v>78.907455012853475</v>
      </c>
      <c r="O271" s="3" t="str">
        <f>CONCATENATE(A271,"-",B271)</f>
        <v>171-Lanturn</v>
      </c>
    </row>
    <row r="272" spans="1:15">
      <c r="A272" s="63">
        <v>172</v>
      </c>
      <c r="B272" s="2" t="s">
        <v>215</v>
      </c>
      <c r="C272" t="s">
        <v>52</v>
      </c>
      <c r="D272" s="22">
        <f>COUNTIF($C$2:$C$1168,Tabela1[[#This Row],[Type]])</f>
        <v>51</v>
      </c>
      <c r="E272" s="62" t="str">
        <f>IF(A272&lt;=151,"Kanto",IF(A272&lt;=251,"Johto",IF(A272&lt;=386,"Hoenn",IF(A272&lt;=493,"Sinnoh",IF(A272&lt;=649,"Unova",IF(A272&lt;=721,"Kalos",IF(A272&lt;=809,"Alola",IF(A272&lt;=905,"Galar","Paldea"))))))))</f>
        <v>Johto</v>
      </c>
      <c r="F272" t="str">
        <f>IF(G272&gt;=600,"Lendário",IF(G272&gt;=500,"Forte","Normal"))</f>
        <v>Normal</v>
      </c>
      <c r="G272" s="3">
        <v>205</v>
      </c>
      <c r="H272" s="3">
        <v>20</v>
      </c>
      <c r="I272" s="3">
        <v>40</v>
      </c>
      <c r="J272" s="3">
        <v>15</v>
      </c>
      <c r="K272" s="3">
        <v>35</v>
      </c>
      <c r="L272" s="3">
        <v>35</v>
      </c>
      <c r="M272" s="3">
        <v>60</v>
      </c>
      <c r="N272" s="3">
        <f>AVERAGE($I$2:$I$1168)</f>
        <v>78.907455012853475</v>
      </c>
      <c r="O272" s="3" t="str">
        <f>CONCATENATE(A272,"-",B272)</f>
        <v>172-Pichu</v>
      </c>
    </row>
    <row r="273" spans="1:15">
      <c r="A273" s="63">
        <v>173</v>
      </c>
      <c r="B273" s="2" t="s">
        <v>216</v>
      </c>
      <c r="C273" t="s">
        <v>64</v>
      </c>
      <c r="D273" s="22">
        <f>COUNTIF($C$2:$C$1168,Tabela1[[#This Row],[Type]])</f>
        <v>34</v>
      </c>
      <c r="E273" s="62" t="str">
        <f>IF(A273&lt;=151,"Kanto",IF(A273&lt;=251,"Johto",IF(A273&lt;=386,"Hoenn",IF(A273&lt;=493,"Sinnoh",IF(A273&lt;=649,"Unova",IF(A273&lt;=721,"Kalos",IF(A273&lt;=809,"Alola",IF(A273&lt;=905,"Galar","Paldea"))))))))</f>
        <v>Johto</v>
      </c>
      <c r="F273" t="str">
        <f>IF(G273&gt;=600,"Lendário",IF(G273&gt;=500,"Forte","Normal"))</f>
        <v>Normal</v>
      </c>
      <c r="G273" s="3">
        <v>218</v>
      </c>
      <c r="H273" s="3">
        <v>50</v>
      </c>
      <c r="I273" s="3">
        <v>25</v>
      </c>
      <c r="J273" s="3">
        <v>28</v>
      </c>
      <c r="K273" s="3">
        <v>45</v>
      </c>
      <c r="L273" s="3">
        <v>55</v>
      </c>
      <c r="M273" s="3">
        <v>15</v>
      </c>
      <c r="N273" s="3">
        <f>AVERAGE($I$2:$I$1168)</f>
        <v>78.907455012853475</v>
      </c>
      <c r="O273" s="3" t="str">
        <f>CONCATENATE(A273,"-",B273)</f>
        <v>173-Cleffa</v>
      </c>
    </row>
    <row r="274" spans="1:15">
      <c r="A274" s="63">
        <v>173</v>
      </c>
      <c r="B274" s="2" t="str">
        <f>B273</f>
        <v>Cleffa</v>
      </c>
      <c r="C274" t="s">
        <v>64</v>
      </c>
      <c r="D274" s="22">
        <f>COUNTIF($C$2:$C$1168,Tabela1[[#This Row],[Type]])</f>
        <v>34</v>
      </c>
      <c r="E274" s="62" t="str">
        <f>IF(A274&lt;=151,"Kanto",IF(A274&lt;=251,"Johto",IF(A274&lt;=386,"Hoenn",IF(A274&lt;=493,"Sinnoh",IF(A274&lt;=649,"Unova",IF(A274&lt;=721,"Kalos",IF(A274&lt;=809,"Alola",IF(A274&lt;=905,"Galar","Paldea"))))))))</f>
        <v>Johto</v>
      </c>
      <c r="F274" t="str">
        <f>IF(G274&gt;=600,"Lendário",IF(G274&gt;=500,"Forte","Normal"))</f>
        <v>Normal</v>
      </c>
      <c r="G274" s="3">
        <f>G273</f>
        <v>218</v>
      </c>
      <c r="H274" s="3">
        <f>H273</f>
        <v>50</v>
      </c>
      <c r="I274" s="3">
        <f>I273</f>
        <v>25</v>
      </c>
      <c r="J274" s="3">
        <f>J273</f>
        <v>28</v>
      </c>
      <c r="K274" s="3">
        <f>K273</f>
        <v>45</v>
      </c>
      <c r="L274" s="3">
        <f>L273</f>
        <v>55</v>
      </c>
      <c r="M274" s="3">
        <f>M273</f>
        <v>15</v>
      </c>
      <c r="N274" s="3">
        <f>AVERAGE($I$2:$I$1168)</f>
        <v>78.907455012853475</v>
      </c>
      <c r="O274" s="3" t="str">
        <f>CONCATENATE(A274,"-",B274)</f>
        <v>173-Cleffa</v>
      </c>
    </row>
    <row r="275" spans="1:15">
      <c r="A275" s="63">
        <v>174</v>
      </c>
      <c r="B275" s="2" t="s">
        <v>217</v>
      </c>
      <c r="C275" t="s">
        <v>42</v>
      </c>
      <c r="D275" s="22">
        <f>COUNTIF($C$2:$C$1168,Tabela1[[#This Row],[Type]])</f>
        <v>99</v>
      </c>
      <c r="E275" s="62" t="str">
        <f>IF(A275&lt;=151,"Kanto",IF(A275&lt;=251,"Johto",IF(A275&lt;=386,"Hoenn",IF(A275&lt;=493,"Sinnoh",IF(A275&lt;=649,"Unova",IF(A275&lt;=721,"Kalos",IF(A275&lt;=809,"Alola",IF(A275&lt;=905,"Galar","Paldea"))))))))</f>
        <v>Johto</v>
      </c>
      <c r="F275" t="str">
        <f>IF(G275&gt;=600,"Lendário",IF(G275&gt;=500,"Forte","Normal"))</f>
        <v>Normal</v>
      </c>
      <c r="G275" s="3">
        <v>210</v>
      </c>
      <c r="H275" s="3">
        <v>90</v>
      </c>
      <c r="I275" s="3">
        <v>30</v>
      </c>
      <c r="J275" s="3">
        <v>15</v>
      </c>
      <c r="K275" s="3">
        <v>40</v>
      </c>
      <c r="L275" s="3">
        <v>20</v>
      </c>
      <c r="M275" s="3">
        <v>15</v>
      </c>
      <c r="N275" s="3">
        <f>AVERAGE($I$2:$I$1168)</f>
        <v>78.907455012853475</v>
      </c>
      <c r="O275" s="3" t="str">
        <f>CONCATENATE(A275,"-",B275)</f>
        <v>174-Igglybuff</v>
      </c>
    </row>
    <row r="276" spans="1:15">
      <c r="A276" s="63">
        <v>175</v>
      </c>
      <c r="B276" s="2" t="s">
        <v>218</v>
      </c>
      <c r="C276" t="s">
        <v>64</v>
      </c>
      <c r="D276" s="22">
        <f>COUNTIF($C$2:$C$1168,Tabela1[[#This Row],[Type]])</f>
        <v>34</v>
      </c>
      <c r="E276" s="62" t="str">
        <f>IF(A276&lt;=151,"Kanto",IF(A276&lt;=251,"Johto",IF(A276&lt;=386,"Hoenn",IF(A276&lt;=493,"Sinnoh",IF(A276&lt;=649,"Unova",IF(A276&lt;=721,"Kalos",IF(A276&lt;=809,"Alola",IF(A276&lt;=905,"Galar","Paldea"))))))))</f>
        <v>Johto</v>
      </c>
      <c r="F276" t="str">
        <f>IF(G276&gt;=600,"Lendário",IF(G276&gt;=500,"Forte","Normal"))</f>
        <v>Normal</v>
      </c>
      <c r="G276" s="3">
        <v>245</v>
      </c>
      <c r="H276" s="3">
        <v>35</v>
      </c>
      <c r="I276" s="3">
        <v>20</v>
      </c>
      <c r="J276" s="3">
        <v>65</v>
      </c>
      <c r="K276" s="3">
        <v>40</v>
      </c>
      <c r="L276" s="3">
        <v>65</v>
      </c>
      <c r="M276" s="3">
        <v>20</v>
      </c>
      <c r="N276" s="3">
        <f>AVERAGE($I$2:$I$1168)</f>
        <v>78.907455012853475</v>
      </c>
      <c r="O276" s="3" t="str">
        <f>CONCATENATE(A276,"-",B276)</f>
        <v>175-Togepi</v>
      </c>
    </row>
    <row r="277" spans="1:15">
      <c r="A277" s="63">
        <v>176</v>
      </c>
      <c r="B277" s="2" t="s">
        <v>219</v>
      </c>
      <c r="C277" t="s">
        <v>64</v>
      </c>
      <c r="D277" s="22">
        <f>COUNTIF($C$2:$C$1168,Tabela1[[#This Row],[Type]])</f>
        <v>34</v>
      </c>
      <c r="E277" s="62" t="str">
        <f>IF(A277&lt;=151,"Kanto",IF(A277&lt;=251,"Johto",IF(A277&lt;=386,"Hoenn",IF(A277&lt;=493,"Sinnoh",IF(A277&lt;=649,"Unova",IF(A277&lt;=721,"Kalos",IF(A277&lt;=809,"Alola",IF(A277&lt;=905,"Galar","Paldea"))))))))</f>
        <v>Johto</v>
      </c>
      <c r="F277" t="str">
        <f>IF(G277&gt;=600,"Lendário",IF(G277&gt;=500,"Forte","Normal"))</f>
        <v>Normal</v>
      </c>
      <c r="G277" s="3">
        <v>405</v>
      </c>
      <c r="H277" s="3">
        <v>55</v>
      </c>
      <c r="I277" s="3">
        <v>40</v>
      </c>
      <c r="J277" s="3">
        <v>85</v>
      </c>
      <c r="K277" s="3">
        <v>80</v>
      </c>
      <c r="L277" s="3">
        <v>105</v>
      </c>
      <c r="M277" s="3">
        <v>40</v>
      </c>
      <c r="N277" s="3">
        <f>AVERAGE($I$2:$I$1168)</f>
        <v>78.907455012853475</v>
      </c>
      <c r="O277" s="3" t="str">
        <f>CONCATENATE(A277,"-",B277)</f>
        <v>176-Togetic</v>
      </c>
    </row>
    <row r="278" spans="1:15">
      <c r="A278" s="63">
        <v>177</v>
      </c>
      <c r="B278" s="2" t="s">
        <v>220</v>
      </c>
      <c r="C278" t="s">
        <v>94</v>
      </c>
      <c r="D278" s="22">
        <f>COUNTIF($C$2:$C$1168,Tabela1[[#This Row],[Type]])</f>
        <v>83</v>
      </c>
      <c r="E278" s="62" t="str">
        <f>IF(A278&lt;=151,"Kanto",IF(A278&lt;=251,"Johto",IF(A278&lt;=386,"Hoenn",IF(A278&lt;=493,"Sinnoh",IF(A278&lt;=649,"Unova",IF(A278&lt;=721,"Kalos",IF(A278&lt;=809,"Alola",IF(A278&lt;=905,"Galar","Paldea"))))))))</f>
        <v>Johto</v>
      </c>
      <c r="F278" t="str">
        <f>IF(G278&gt;=600,"Lendário",IF(G278&gt;=500,"Forte","Normal"))</f>
        <v>Normal</v>
      </c>
      <c r="G278" s="3">
        <v>320</v>
      </c>
      <c r="H278" s="3">
        <v>40</v>
      </c>
      <c r="I278" s="3">
        <v>50</v>
      </c>
      <c r="J278" s="3">
        <v>45</v>
      </c>
      <c r="K278" s="3">
        <v>70</v>
      </c>
      <c r="L278" s="3">
        <v>45</v>
      </c>
      <c r="M278" s="3">
        <v>70</v>
      </c>
      <c r="N278" s="3">
        <f>AVERAGE($I$2:$I$1168)</f>
        <v>78.907455012853475</v>
      </c>
      <c r="O278" s="3" t="str">
        <f>CONCATENATE(A278,"-",B278)</f>
        <v>177-Natu</v>
      </c>
    </row>
    <row r="279" spans="1:15">
      <c r="A279" s="63">
        <v>177</v>
      </c>
      <c r="B279" s="2" t="str">
        <f>B278</f>
        <v>Natu</v>
      </c>
      <c r="C279" t="s">
        <v>25</v>
      </c>
      <c r="D279" s="22">
        <f>COUNTIF($C$2:$C$1168,Tabela1[[#This Row],[Type]])</f>
        <v>100</v>
      </c>
      <c r="E279" s="62" t="str">
        <f>IF(A279&lt;=151,"Kanto",IF(A279&lt;=251,"Johto",IF(A279&lt;=386,"Hoenn",IF(A279&lt;=493,"Sinnoh",IF(A279&lt;=649,"Unova",IF(A279&lt;=721,"Kalos",IF(A279&lt;=809,"Alola",IF(A279&lt;=905,"Galar","Paldea"))))))))</f>
        <v>Johto</v>
      </c>
      <c r="F279" t="str">
        <f>IF(G279&gt;=600,"Lendário",IF(G279&gt;=500,"Forte","Normal"))</f>
        <v>Normal</v>
      </c>
      <c r="G279" s="3">
        <f>G278</f>
        <v>320</v>
      </c>
      <c r="H279" s="3">
        <f>H278</f>
        <v>40</v>
      </c>
      <c r="I279" s="3">
        <f>I278</f>
        <v>50</v>
      </c>
      <c r="J279" s="3">
        <f>J278</f>
        <v>45</v>
      </c>
      <c r="K279" s="3">
        <f>K278</f>
        <v>70</v>
      </c>
      <c r="L279" s="3">
        <f>L278</f>
        <v>45</v>
      </c>
      <c r="M279" s="3">
        <f>M278</f>
        <v>70</v>
      </c>
      <c r="N279" s="3">
        <f>AVERAGE($I$2:$I$1168)</f>
        <v>78.907455012853475</v>
      </c>
      <c r="O279" s="3" t="str">
        <f>CONCATENATE(A279,"-",B279)</f>
        <v>177-Natu</v>
      </c>
    </row>
    <row r="280" spans="1:15">
      <c r="A280" s="63">
        <v>178</v>
      </c>
      <c r="B280" s="2" t="s">
        <v>221</v>
      </c>
      <c r="C280" t="s">
        <v>94</v>
      </c>
      <c r="D280" s="22">
        <f>COUNTIF($C$2:$C$1168,Tabela1[[#This Row],[Type]])</f>
        <v>83</v>
      </c>
      <c r="E280" s="62" t="str">
        <f>IF(A280&lt;=151,"Kanto",IF(A280&lt;=251,"Johto",IF(A280&lt;=386,"Hoenn",IF(A280&lt;=493,"Sinnoh",IF(A280&lt;=649,"Unova",IF(A280&lt;=721,"Kalos",IF(A280&lt;=809,"Alola",IF(A280&lt;=905,"Galar","Paldea"))))))))</f>
        <v>Johto</v>
      </c>
      <c r="F280" t="str">
        <f>IF(G280&gt;=600,"Lendário",IF(G280&gt;=500,"Forte","Normal"))</f>
        <v>Normal</v>
      </c>
      <c r="G280" s="3">
        <v>470</v>
      </c>
      <c r="H280" s="3">
        <v>65</v>
      </c>
      <c r="I280" s="3">
        <v>75</v>
      </c>
      <c r="J280" s="3">
        <v>70</v>
      </c>
      <c r="K280" s="3">
        <v>95</v>
      </c>
      <c r="L280" s="3">
        <v>70</v>
      </c>
      <c r="M280" s="3">
        <v>95</v>
      </c>
      <c r="N280" s="3">
        <f>AVERAGE($I$2:$I$1168)</f>
        <v>78.907455012853475</v>
      </c>
      <c r="O280" s="3" t="str">
        <f>CONCATENATE(A280,"-",B280)</f>
        <v>178-Xatu</v>
      </c>
    </row>
    <row r="281" spans="1:15">
      <c r="A281" s="63">
        <v>178</v>
      </c>
      <c r="B281" s="2" t="str">
        <f>B280</f>
        <v>Xatu</v>
      </c>
      <c r="C281" t="s">
        <v>25</v>
      </c>
      <c r="D281" s="22">
        <f>COUNTIF($C$2:$C$1168,Tabela1[[#This Row],[Type]])</f>
        <v>100</v>
      </c>
      <c r="E281" s="62" t="str">
        <f>IF(A281&lt;=151,"Kanto",IF(A281&lt;=251,"Johto",IF(A281&lt;=386,"Hoenn",IF(A281&lt;=493,"Sinnoh",IF(A281&lt;=649,"Unova",IF(A281&lt;=721,"Kalos",IF(A281&lt;=809,"Alola",IF(A281&lt;=905,"Galar","Paldea"))))))))</f>
        <v>Johto</v>
      </c>
      <c r="F281" t="str">
        <f>IF(G281&gt;=600,"Lendário",IF(G281&gt;=500,"Forte","Normal"))</f>
        <v>Normal</v>
      </c>
      <c r="G281" s="3">
        <f>G280</f>
        <v>470</v>
      </c>
      <c r="H281" s="3">
        <f>H280</f>
        <v>65</v>
      </c>
      <c r="I281" s="3">
        <f>I280</f>
        <v>75</v>
      </c>
      <c r="J281" s="3">
        <f>J280</f>
        <v>70</v>
      </c>
      <c r="K281" s="3">
        <f>K280</f>
        <v>95</v>
      </c>
      <c r="L281" s="3">
        <f>L280</f>
        <v>70</v>
      </c>
      <c r="M281" s="3">
        <f>M280</f>
        <v>95</v>
      </c>
      <c r="N281" s="3">
        <f>AVERAGE($I$2:$I$1168)</f>
        <v>78.907455012853475</v>
      </c>
      <c r="O281" s="3" t="str">
        <f>CONCATENATE(A281,"-",B281)</f>
        <v>178-Xatu</v>
      </c>
    </row>
    <row r="282" spans="1:15">
      <c r="A282" s="63">
        <v>179</v>
      </c>
      <c r="B282" s="2" t="s">
        <v>222</v>
      </c>
      <c r="C282" t="s">
        <v>52</v>
      </c>
      <c r="D282" s="22">
        <f>COUNTIF($C$2:$C$1168,Tabela1[[#This Row],[Type]])</f>
        <v>51</v>
      </c>
      <c r="E282" s="62" t="str">
        <f>IF(A282&lt;=151,"Kanto",IF(A282&lt;=251,"Johto",IF(A282&lt;=386,"Hoenn",IF(A282&lt;=493,"Sinnoh",IF(A282&lt;=649,"Unova",IF(A282&lt;=721,"Kalos",IF(A282&lt;=809,"Alola",IF(A282&lt;=905,"Galar","Paldea"))))))))</f>
        <v>Johto</v>
      </c>
      <c r="F282" t="str">
        <f>IF(G282&gt;=600,"Lendário",IF(G282&gt;=500,"Forte","Normal"))</f>
        <v>Normal</v>
      </c>
      <c r="G282" s="3">
        <v>280</v>
      </c>
      <c r="H282" s="3">
        <v>55</v>
      </c>
      <c r="I282" s="3">
        <v>40</v>
      </c>
      <c r="J282" s="3">
        <v>40</v>
      </c>
      <c r="K282" s="3">
        <v>65</v>
      </c>
      <c r="L282" s="3">
        <v>45</v>
      </c>
      <c r="M282" s="3">
        <v>35</v>
      </c>
      <c r="N282" s="3">
        <f>AVERAGE($I$2:$I$1168)</f>
        <v>78.907455012853475</v>
      </c>
      <c r="O282" s="3" t="str">
        <f>CONCATENATE(A282,"-",B282)</f>
        <v>179-Mareep</v>
      </c>
    </row>
    <row r="283" spans="1:15">
      <c r="A283" s="63">
        <v>180</v>
      </c>
      <c r="B283" s="2" t="s">
        <v>223</v>
      </c>
      <c r="C283" t="s">
        <v>52</v>
      </c>
      <c r="D283" s="22">
        <f>COUNTIF($C$2:$C$1168,Tabela1[[#This Row],[Type]])</f>
        <v>51</v>
      </c>
      <c r="E283" s="62" t="str">
        <f>IF(A283&lt;=151,"Kanto",IF(A283&lt;=251,"Johto",IF(A283&lt;=386,"Hoenn",IF(A283&lt;=493,"Sinnoh",IF(A283&lt;=649,"Unova",IF(A283&lt;=721,"Kalos",IF(A283&lt;=809,"Alola",IF(A283&lt;=905,"Galar","Paldea"))))))))</f>
        <v>Johto</v>
      </c>
      <c r="F283" t="str">
        <f>IF(G283&gt;=600,"Lendário",IF(G283&gt;=500,"Forte","Normal"))</f>
        <v>Normal</v>
      </c>
      <c r="G283" s="3">
        <v>365</v>
      </c>
      <c r="H283" s="3">
        <v>70</v>
      </c>
      <c r="I283" s="3">
        <v>55</v>
      </c>
      <c r="J283" s="3">
        <v>55</v>
      </c>
      <c r="K283" s="3">
        <v>80</v>
      </c>
      <c r="L283" s="3">
        <v>60</v>
      </c>
      <c r="M283" s="3">
        <v>45</v>
      </c>
      <c r="N283" s="3">
        <f>AVERAGE($I$2:$I$1168)</f>
        <v>78.907455012853475</v>
      </c>
      <c r="O283" s="3" t="str">
        <f>CONCATENATE(A283,"-",B283)</f>
        <v>180-Flaaffy</v>
      </c>
    </row>
    <row r="284" spans="1:15">
      <c r="A284" s="63">
        <v>181</v>
      </c>
      <c r="B284" s="2" t="s">
        <v>224</v>
      </c>
      <c r="C284" t="s">
        <v>52</v>
      </c>
      <c r="D284" s="22">
        <f>COUNTIF($C$2:$C$1168,Tabela1[[#This Row],[Type]])</f>
        <v>51</v>
      </c>
      <c r="E284" s="62" t="str">
        <f>IF(A284&lt;=151,"Kanto",IF(A284&lt;=251,"Johto",IF(A284&lt;=386,"Hoenn",IF(A284&lt;=493,"Sinnoh",IF(A284&lt;=649,"Unova",IF(A284&lt;=721,"Kalos",IF(A284&lt;=809,"Alola",IF(A284&lt;=905,"Galar","Paldea"))))))))</f>
        <v>Johto</v>
      </c>
      <c r="F284" t="str">
        <f>IF(G284&gt;=600,"Lendário",IF(G284&gt;=500,"Forte","Normal"))</f>
        <v>Forte</v>
      </c>
      <c r="G284" s="3">
        <v>500</v>
      </c>
      <c r="H284" s="3">
        <v>90</v>
      </c>
      <c r="I284" s="3">
        <v>75</v>
      </c>
      <c r="J284" s="3">
        <v>75</v>
      </c>
      <c r="K284" s="3">
        <v>115</v>
      </c>
      <c r="L284" s="3">
        <v>90</v>
      </c>
      <c r="M284" s="3">
        <v>55</v>
      </c>
      <c r="N284" s="3">
        <f>AVERAGE($I$2:$I$1168)</f>
        <v>78.907455012853475</v>
      </c>
      <c r="O284" s="3" t="str">
        <f>CONCATENATE(A284,"-",B284)</f>
        <v>181-Ampharos</v>
      </c>
    </row>
    <row r="285" spans="1:15">
      <c r="A285" s="63">
        <v>181.1</v>
      </c>
      <c r="B285" s="2" t="s">
        <v>225</v>
      </c>
      <c r="C285" t="s">
        <v>52</v>
      </c>
      <c r="D285" s="22">
        <f>COUNTIF($C$2:$C$1168,Tabela1[[#This Row],[Type]])</f>
        <v>51</v>
      </c>
      <c r="E285" s="62" t="str">
        <f>IF(A285&lt;=151,"Kanto",IF(A285&lt;=251,"Johto",IF(A285&lt;=386,"Hoenn",IF(A285&lt;=493,"Sinnoh",IF(A285&lt;=649,"Unova",IF(A285&lt;=721,"Kalos",IF(A285&lt;=809,"Alola",IF(A285&lt;=905,"Galar","Paldea"))))))))</f>
        <v>Johto</v>
      </c>
      <c r="F285" t="str">
        <f>IF(G285&gt;=600,"Lendário",IF(G285&gt;=500,"Forte","Normal"))</f>
        <v>Lendário</v>
      </c>
      <c r="G285" s="3">
        <v>610</v>
      </c>
      <c r="H285" s="3">
        <v>90</v>
      </c>
      <c r="I285" s="3">
        <v>95</v>
      </c>
      <c r="J285" s="3">
        <v>105</v>
      </c>
      <c r="K285" s="3">
        <v>165</v>
      </c>
      <c r="L285" s="3">
        <v>110</v>
      </c>
      <c r="M285" s="3">
        <v>45</v>
      </c>
      <c r="N285" s="3">
        <f>AVERAGE($I$2:$I$1168)</f>
        <v>78.907455012853475</v>
      </c>
      <c r="O285" s="3" t="str">
        <f>CONCATENATE(A285,"-",B285)</f>
        <v>181,1-Mega Ampharos</v>
      </c>
    </row>
    <row r="286" spans="1:15">
      <c r="A286" s="63">
        <v>181.1</v>
      </c>
      <c r="B286" s="2" t="s">
        <v>225</v>
      </c>
      <c r="C286" t="s">
        <v>27</v>
      </c>
      <c r="D286" s="22">
        <f>COUNTIF($C$2:$C$1168,Tabela1[[#This Row],[Type]])</f>
        <v>44</v>
      </c>
      <c r="E286" s="62" t="str">
        <f>IF(A286&lt;=151,"Kanto",IF(A286&lt;=251,"Johto",IF(A286&lt;=386,"Hoenn",IF(A286&lt;=493,"Sinnoh",IF(A286&lt;=649,"Unova",IF(A286&lt;=721,"Kalos",IF(A286&lt;=809,"Alola",IF(A286&lt;=905,"Galar","Paldea"))))))))</f>
        <v>Johto</v>
      </c>
      <c r="F286" t="str">
        <f>IF(G286&gt;=600,"Lendário",IF(G286&gt;=500,"Forte","Normal"))</f>
        <v>Lendário</v>
      </c>
      <c r="G286" s="3">
        <f>G285</f>
        <v>610</v>
      </c>
      <c r="H286" s="3">
        <f>H285</f>
        <v>90</v>
      </c>
      <c r="I286" s="3">
        <f>I285</f>
        <v>95</v>
      </c>
      <c r="J286" s="3">
        <f>J285</f>
        <v>105</v>
      </c>
      <c r="K286" s="3">
        <f>K285</f>
        <v>165</v>
      </c>
      <c r="L286" s="3">
        <f>L285</f>
        <v>110</v>
      </c>
      <c r="M286" s="3">
        <f>M285</f>
        <v>45</v>
      </c>
      <c r="N286" s="3">
        <f>AVERAGE($I$2:$I$1168)</f>
        <v>78.907455012853475</v>
      </c>
      <c r="O286" s="3" t="str">
        <f>CONCATENATE(A286,"-",B286)</f>
        <v>181,1-Mega Ampharos</v>
      </c>
    </row>
    <row r="287" spans="1:15">
      <c r="A287" s="63">
        <v>182</v>
      </c>
      <c r="B287" s="2" t="s">
        <v>226</v>
      </c>
      <c r="C287" t="s">
        <v>16</v>
      </c>
      <c r="D287" s="22">
        <f>COUNTIF($C$2:$C$1168,Tabela1[[#This Row],[Type]])</f>
        <v>93</v>
      </c>
      <c r="E287" s="62" t="str">
        <f>IF(A287&lt;=151,"Kanto",IF(A287&lt;=251,"Johto",IF(A287&lt;=386,"Hoenn",IF(A287&lt;=493,"Sinnoh",IF(A287&lt;=649,"Unova",IF(A287&lt;=721,"Kalos",IF(A287&lt;=809,"Alola",IF(A287&lt;=905,"Galar","Paldea"))))))))</f>
        <v>Johto</v>
      </c>
      <c r="F287" t="str">
        <f>IF(G287&gt;=600,"Lendário",IF(G287&gt;=500,"Forte","Normal"))</f>
        <v>Normal</v>
      </c>
      <c r="G287" s="3">
        <v>480</v>
      </c>
      <c r="H287" s="3">
        <v>75</v>
      </c>
      <c r="I287" s="3">
        <v>80</v>
      </c>
      <c r="J287" s="3">
        <v>85</v>
      </c>
      <c r="K287" s="3">
        <v>90</v>
      </c>
      <c r="L287" s="3">
        <v>100</v>
      </c>
      <c r="M287" s="3">
        <v>50</v>
      </c>
      <c r="N287" s="3">
        <f>AVERAGE($I$2:$I$1168)</f>
        <v>78.907455012853475</v>
      </c>
      <c r="O287" s="3" t="str">
        <f>CONCATENATE(A287,"-",B287)</f>
        <v>182-Bellossom</v>
      </c>
    </row>
    <row r="288" spans="1:15">
      <c r="A288" s="63">
        <v>183</v>
      </c>
      <c r="B288" s="2" t="s">
        <v>227</v>
      </c>
      <c r="C288" t="s">
        <v>30</v>
      </c>
      <c r="D288" s="22">
        <f>COUNTIF($C$2:$C$1168,Tabela1[[#This Row],[Type]])</f>
        <v>121</v>
      </c>
      <c r="E288" s="62" t="str">
        <f>IF(A288&lt;=151,"Kanto",IF(A288&lt;=251,"Johto",IF(A288&lt;=386,"Hoenn",IF(A288&lt;=493,"Sinnoh",IF(A288&lt;=649,"Unova",IF(A288&lt;=721,"Kalos",IF(A288&lt;=809,"Alola",IF(A288&lt;=905,"Galar","Paldea"))))))))</f>
        <v>Johto</v>
      </c>
      <c r="F288" t="str">
        <f>IF(G288&gt;=600,"Lendário",IF(G288&gt;=500,"Forte","Normal"))</f>
        <v>Normal</v>
      </c>
      <c r="G288" s="3">
        <v>250</v>
      </c>
      <c r="H288" s="3">
        <v>70</v>
      </c>
      <c r="I288" s="3">
        <v>20</v>
      </c>
      <c r="J288" s="3">
        <v>50</v>
      </c>
      <c r="K288" s="3">
        <v>20</v>
      </c>
      <c r="L288" s="3">
        <v>50</v>
      </c>
      <c r="M288" s="3">
        <v>40</v>
      </c>
      <c r="N288" s="3">
        <f>AVERAGE($I$2:$I$1168)</f>
        <v>78.907455012853475</v>
      </c>
      <c r="O288" s="3" t="str">
        <f>CONCATENATE(A288,"-",B288)</f>
        <v>183-Marill</v>
      </c>
    </row>
    <row r="289" spans="1:15">
      <c r="A289" s="63">
        <v>184</v>
      </c>
      <c r="B289" s="2" t="s">
        <v>228</v>
      </c>
      <c r="C289" t="s">
        <v>30</v>
      </c>
      <c r="D289" s="22">
        <f>COUNTIF($C$2:$C$1168,Tabela1[[#This Row],[Type]])</f>
        <v>121</v>
      </c>
      <c r="E289" s="62" t="str">
        <f>IF(A289&lt;=151,"Kanto",IF(A289&lt;=251,"Johto",IF(A289&lt;=386,"Hoenn",IF(A289&lt;=493,"Sinnoh",IF(A289&lt;=649,"Unova",IF(A289&lt;=721,"Kalos",IF(A289&lt;=809,"Alola",IF(A289&lt;=905,"Galar","Paldea"))))))))</f>
        <v>Johto</v>
      </c>
      <c r="F289" t="str">
        <f>IF(G289&gt;=600,"Lendário",IF(G289&gt;=500,"Forte","Normal"))</f>
        <v>Normal</v>
      </c>
      <c r="G289" s="3">
        <v>410</v>
      </c>
      <c r="H289" s="3">
        <v>100</v>
      </c>
      <c r="I289" s="3">
        <v>50</v>
      </c>
      <c r="J289" s="3">
        <v>80</v>
      </c>
      <c r="K289" s="3">
        <v>50</v>
      </c>
      <c r="L289" s="3">
        <v>80</v>
      </c>
      <c r="M289" s="3">
        <v>50</v>
      </c>
      <c r="N289" s="3">
        <f>AVERAGE($I$2:$I$1168)</f>
        <v>78.907455012853475</v>
      </c>
      <c r="O289" s="3" t="str">
        <f>CONCATENATE(A289,"-",B289)</f>
        <v>184-Azumarill</v>
      </c>
    </row>
    <row r="290" spans="1:15">
      <c r="A290" s="63">
        <v>185</v>
      </c>
      <c r="B290" s="2" t="s">
        <v>229</v>
      </c>
      <c r="C290" t="s">
        <v>107</v>
      </c>
      <c r="D290" s="22">
        <f>COUNTIF($C$2:$C$1168,Tabela1[[#This Row],[Type]])</f>
        <v>56</v>
      </c>
      <c r="E290" s="62" t="str">
        <f>IF(A290&lt;=151,"Kanto",IF(A290&lt;=251,"Johto",IF(A290&lt;=386,"Hoenn",IF(A290&lt;=493,"Sinnoh",IF(A290&lt;=649,"Unova",IF(A290&lt;=721,"Kalos",IF(A290&lt;=809,"Alola",IF(A290&lt;=905,"Galar","Paldea"))))))))</f>
        <v>Johto</v>
      </c>
      <c r="F290" t="str">
        <f>IF(G290&gt;=600,"Lendário",IF(G290&gt;=500,"Forte","Normal"))</f>
        <v>Normal</v>
      </c>
      <c r="G290" s="3">
        <v>410</v>
      </c>
      <c r="H290" s="3">
        <v>70</v>
      </c>
      <c r="I290" s="3">
        <v>100</v>
      </c>
      <c r="J290" s="3">
        <v>115</v>
      </c>
      <c r="K290" s="3">
        <v>30</v>
      </c>
      <c r="L290" s="3">
        <v>65</v>
      </c>
      <c r="M290" s="3">
        <v>30</v>
      </c>
      <c r="N290" s="3">
        <f>AVERAGE($I$2:$I$1168)</f>
        <v>78.907455012853475</v>
      </c>
      <c r="O290" s="3" t="str">
        <f>CONCATENATE(A290,"-",B290)</f>
        <v>185-Sudowoodo</v>
      </c>
    </row>
    <row r="291" spans="1:15">
      <c r="A291" s="63">
        <v>186</v>
      </c>
      <c r="B291" s="2" t="s">
        <v>230</v>
      </c>
      <c r="C291" t="s">
        <v>30</v>
      </c>
      <c r="D291" s="22">
        <f>COUNTIF($C$2:$C$1168,Tabela1[[#This Row],[Type]])</f>
        <v>121</v>
      </c>
      <c r="E291" s="62" t="str">
        <f>IF(A291&lt;=151,"Kanto",IF(A291&lt;=251,"Johto",IF(A291&lt;=386,"Hoenn",IF(A291&lt;=493,"Sinnoh",IF(A291&lt;=649,"Unova",IF(A291&lt;=721,"Kalos",IF(A291&lt;=809,"Alola",IF(A291&lt;=905,"Galar","Paldea"))))))))</f>
        <v>Johto</v>
      </c>
      <c r="F291" t="str">
        <f>IF(G291&gt;=600,"Lendário",IF(G291&gt;=500,"Forte","Normal"))</f>
        <v>Forte</v>
      </c>
      <c r="G291" s="3">
        <v>500</v>
      </c>
      <c r="H291" s="3">
        <v>90</v>
      </c>
      <c r="I291" s="3">
        <v>75</v>
      </c>
      <c r="J291" s="3">
        <v>75</v>
      </c>
      <c r="K291" s="3">
        <v>90</v>
      </c>
      <c r="L291" s="3">
        <v>100</v>
      </c>
      <c r="M291" s="3">
        <v>70</v>
      </c>
      <c r="N291" s="3">
        <f>AVERAGE($I$2:$I$1168)</f>
        <v>78.907455012853475</v>
      </c>
      <c r="O291" s="3" t="str">
        <f>CONCATENATE(A291,"-",B291)</f>
        <v>186-Politoed</v>
      </c>
    </row>
    <row r="292" spans="1:15">
      <c r="A292" s="63">
        <v>187</v>
      </c>
      <c r="B292" s="2" t="s">
        <v>231</v>
      </c>
      <c r="C292" t="s">
        <v>16</v>
      </c>
      <c r="D292" s="22">
        <f>COUNTIF($C$2:$C$1168,Tabela1[[#This Row],[Type]])</f>
        <v>93</v>
      </c>
      <c r="E292" s="62" t="str">
        <f>IF(A292&lt;=151,"Kanto",IF(A292&lt;=251,"Johto",IF(A292&lt;=386,"Hoenn",IF(A292&lt;=493,"Sinnoh",IF(A292&lt;=649,"Unova",IF(A292&lt;=721,"Kalos",IF(A292&lt;=809,"Alola",IF(A292&lt;=905,"Galar","Paldea"))))))))</f>
        <v>Johto</v>
      </c>
      <c r="F292" t="str">
        <f>IF(G292&gt;=600,"Lendário",IF(G292&gt;=500,"Forte","Normal"))</f>
        <v>Normal</v>
      </c>
      <c r="G292" s="3">
        <v>250</v>
      </c>
      <c r="H292" s="3">
        <v>35</v>
      </c>
      <c r="I292" s="3">
        <v>35</v>
      </c>
      <c r="J292" s="3">
        <v>40</v>
      </c>
      <c r="K292" s="3">
        <v>35</v>
      </c>
      <c r="L292" s="3">
        <v>55</v>
      </c>
      <c r="M292" s="3">
        <v>50</v>
      </c>
      <c r="N292" s="3">
        <f>AVERAGE($I$2:$I$1168)</f>
        <v>78.907455012853475</v>
      </c>
      <c r="O292" s="3" t="str">
        <f>CONCATENATE(A292,"-",B292)</f>
        <v>187-Hoppip</v>
      </c>
    </row>
    <row r="293" spans="1:15">
      <c r="A293" s="63">
        <v>187</v>
      </c>
      <c r="B293" s="2" t="str">
        <f>B292</f>
        <v>Hoppip</v>
      </c>
      <c r="C293" t="s">
        <v>25</v>
      </c>
      <c r="D293" s="22">
        <f>COUNTIF($C$2:$C$1168,Tabela1[[#This Row],[Type]])</f>
        <v>100</v>
      </c>
      <c r="E293" s="62" t="str">
        <f>IF(A293&lt;=151,"Kanto",IF(A293&lt;=251,"Johto",IF(A293&lt;=386,"Hoenn",IF(A293&lt;=493,"Sinnoh",IF(A293&lt;=649,"Unova",IF(A293&lt;=721,"Kalos",IF(A293&lt;=809,"Alola",IF(A293&lt;=905,"Galar","Paldea"))))))))</f>
        <v>Johto</v>
      </c>
      <c r="F293" t="str">
        <f>IF(G293&gt;=600,"Lendário",IF(G293&gt;=500,"Forte","Normal"))</f>
        <v>Normal</v>
      </c>
      <c r="G293" s="3">
        <f>G292</f>
        <v>250</v>
      </c>
      <c r="H293" s="3">
        <f>H292</f>
        <v>35</v>
      </c>
      <c r="I293" s="3">
        <f>I292</f>
        <v>35</v>
      </c>
      <c r="J293" s="3">
        <f>J292</f>
        <v>40</v>
      </c>
      <c r="K293" s="3">
        <f>K292</f>
        <v>35</v>
      </c>
      <c r="L293" s="3">
        <f>L292</f>
        <v>55</v>
      </c>
      <c r="M293" s="3">
        <f>M292</f>
        <v>50</v>
      </c>
      <c r="N293" s="3">
        <f>AVERAGE($I$2:$I$1168)</f>
        <v>78.907455012853475</v>
      </c>
      <c r="O293" s="3" t="str">
        <f>CONCATENATE(A293,"-",B293)</f>
        <v>187-Hoppip</v>
      </c>
    </row>
    <row r="294" spans="1:15">
      <c r="A294" s="63">
        <v>188</v>
      </c>
      <c r="B294" s="2" t="s">
        <v>232</v>
      </c>
      <c r="C294" t="s">
        <v>16</v>
      </c>
      <c r="D294" s="22">
        <f>COUNTIF($C$2:$C$1168,Tabela1[[#This Row],[Type]])</f>
        <v>93</v>
      </c>
      <c r="E294" s="62" t="str">
        <f>IF(A294&lt;=151,"Kanto",IF(A294&lt;=251,"Johto",IF(A294&lt;=386,"Hoenn",IF(A294&lt;=493,"Sinnoh",IF(A294&lt;=649,"Unova",IF(A294&lt;=721,"Kalos",IF(A294&lt;=809,"Alola",IF(A294&lt;=905,"Galar","Paldea"))))))))</f>
        <v>Johto</v>
      </c>
      <c r="F294" t="str">
        <f>IF(G294&gt;=600,"Lendário",IF(G294&gt;=500,"Forte","Normal"))</f>
        <v>Normal</v>
      </c>
      <c r="G294" s="3">
        <v>340</v>
      </c>
      <c r="H294" s="3">
        <v>55</v>
      </c>
      <c r="I294" s="3">
        <v>45</v>
      </c>
      <c r="J294" s="3">
        <v>50</v>
      </c>
      <c r="K294" s="3">
        <v>45</v>
      </c>
      <c r="L294" s="3">
        <v>65</v>
      </c>
      <c r="M294" s="3">
        <v>80</v>
      </c>
      <c r="N294" s="3">
        <f>AVERAGE($I$2:$I$1168)</f>
        <v>78.907455012853475</v>
      </c>
      <c r="O294" s="3" t="str">
        <f>CONCATENATE(A294,"-",B294)</f>
        <v>188-Skiploom</v>
      </c>
    </row>
    <row r="295" spans="1:15">
      <c r="A295" s="63">
        <v>188</v>
      </c>
      <c r="B295" s="2" t="str">
        <f>B294</f>
        <v>Skiploom</v>
      </c>
      <c r="C295" t="s">
        <v>25</v>
      </c>
      <c r="D295" s="22">
        <f>COUNTIF($C$2:$C$1168,Tabela1[[#This Row],[Type]])</f>
        <v>100</v>
      </c>
      <c r="E295" s="62" t="str">
        <f>IF(A295&lt;=151,"Kanto",IF(A295&lt;=251,"Johto",IF(A295&lt;=386,"Hoenn",IF(A295&lt;=493,"Sinnoh",IF(A295&lt;=649,"Unova",IF(A295&lt;=721,"Kalos",IF(A295&lt;=809,"Alola",IF(A295&lt;=905,"Galar","Paldea"))))))))</f>
        <v>Johto</v>
      </c>
      <c r="F295" t="str">
        <f>IF(G295&gt;=600,"Lendário",IF(G295&gt;=500,"Forte","Normal"))</f>
        <v>Normal</v>
      </c>
      <c r="G295" s="3">
        <f>G294</f>
        <v>340</v>
      </c>
      <c r="H295" s="3">
        <f>H294</f>
        <v>55</v>
      </c>
      <c r="I295" s="3">
        <f>I294</f>
        <v>45</v>
      </c>
      <c r="J295" s="3">
        <f>J294</f>
        <v>50</v>
      </c>
      <c r="K295" s="3">
        <f>K294</f>
        <v>45</v>
      </c>
      <c r="L295" s="3">
        <f>L294</f>
        <v>65</v>
      </c>
      <c r="M295" s="3">
        <f>M294</f>
        <v>80</v>
      </c>
      <c r="N295" s="3">
        <f>AVERAGE($I$2:$I$1168)</f>
        <v>78.907455012853475</v>
      </c>
      <c r="O295" s="3" t="str">
        <f>CONCATENATE(A295,"-",B295)</f>
        <v>188-Skiploom</v>
      </c>
    </row>
    <row r="296" spans="1:15">
      <c r="A296" s="63">
        <v>189</v>
      </c>
      <c r="B296" s="2" t="s">
        <v>233</v>
      </c>
      <c r="C296" t="s">
        <v>16</v>
      </c>
      <c r="D296" s="22">
        <f>COUNTIF($C$2:$C$1168,Tabela1[[#This Row],[Type]])</f>
        <v>93</v>
      </c>
      <c r="E296" s="62" t="str">
        <f>IF(A296&lt;=151,"Kanto",IF(A296&lt;=251,"Johto",IF(A296&lt;=386,"Hoenn",IF(A296&lt;=493,"Sinnoh",IF(A296&lt;=649,"Unova",IF(A296&lt;=721,"Kalos",IF(A296&lt;=809,"Alola",IF(A296&lt;=905,"Galar","Paldea"))))))))</f>
        <v>Johto</v>
      </c>
      <c r="F296" t="str">
        <f>IF(G296&gt;=600,"Lendário",IF(G296&gt;=500,"Forte","Normal"))</f>
        <v>Normal</v>
      </c>
      <c r="G296" s="3">
        <v>450</v>
      </c>
      <c r="H296" s="3">
        <v>75</v>
      </c>
      <c r="I296" s="3">
        <v>55</v>
      </c>
      <c r="J296" s="3">
        <v>70</v>
      </c>
      <c r="K296" s="3">
        <v>55</v>
      </c>
      <c r="L296" s="3">
        <v>85</v>
      </c>
      <c r="M296" s="3">
        <v>110</v>
      </c>
      <c r="N296" s="3">
        <f>AVERAGE($I$2:$I$1168)</f>
        <v>78.907455012853475</v>
      </c>
      <c r="O296" s="3" t="str">
        <f>CONCATENATE(A296,"-",B296)</f>
        <v>189-Jumpluff</v>
      </c>
    </row>
    <row r="297" spans="1:15">
      <c r="A297" s="63">
        <v>189</v>
      </c>
      <c r="B297" s="2" t="str">
        <f>B296</f>
        <v>Jumpluff</v>
      </c>
      <c r="C297" t="s">
        <v>25</v>
      </c>
      <c r="D297" s="22">
        <f>COUNTIF($C$2:$C$1168,Tabela1[[#This Row],[Type]])</f>
        <v>100</v>
      </c>
      <c r="E297" s="62" t="str">
        <f>IF(A297&lt;=151,"Kanto",IF(A297&lt;=251,"Johto",IF(A297&lt;=386,"Hoenn",IF(A297&lt;=493,"Sinnoh",IF(A297&lt;=649,"Unova",IF(A297&lt;=721,"Kalos",IF(A297&lt;=809,"Alola",IF(A297&lt;=905,"Galar","Paldea"))))))))</f>
        <v>Johto</v>
      </c>
      <c r="F297" t="str">
        <f>IF(G297&gt;=600,"Lendário",IF(G297&gt;=500,"Forte","Normal"))</f>
        <v>Normal</v>
      </c>
      <c r="G297" s="3">
        <f>G296</f>
        <v>450</v>
      </c>
      <c r="H297" s="3">
        <f>H296</f>
        <v>75</v>
      </c>
      <c r="I297" s="3">
        <f>I296</f>
        <v>55</v>
      </c>
      <c r="J297" s="3">
        <f>J296</f>
        <v>70</v>
      </c>
      <c r="K297" s="3">
        <f>K296</f>
        <v>55</v>
      </c>
      <c r="L297" s="3">
        <f>L296</f>
        <v>85</v>
      </c>
      <c r="M297" s="3">
        <f>M296</f>
        <v>110</v>
      </c>
      <c r="N297" s="3">
        <f>AVERAGE($I$2:$I$1168)</f>
        <v>78.907455012853475</v>
      </c>
      <c r="O297" s="3" t="str">
        <f>CONCATENATE(A297,"-",B297)</f>
        <v>189-Jumpluff</v>
      </c>
    </row>
    <row r="298" spans="1:15">
      <c r="A298" s="63">
        <v>190</v>
      </c>
      <c r="B298" s="2" t="s">
        <v>234</v>
      </c>
      <c r="C298" t="s">
        <v>42</v>
      </c>
      <c r="D298" s="22">
        <f>COUNTIF($C$2:$C$1168,Tabela1[[#This Row],[Type]])</f>
        <v>99</v>
      </c>
      <c r="E298" s="62" t="str">
        <f>IF(A298&lt;=151,"Kanto",IF(A298&lt;=251,"Johto",IF(A298&lt;=386,"Hoenn",IF(A298&lt;=493,"Sinnoh",IF(A298&lt;=649,"Unova",IF(A298&lt;=721,"Kalos",IF(A298&lt;=809,"Alola",IF(A298&lt;=905,"Galar","Paldea"))))))))</f>
        <v>Johto</v>
      </c>
      <c r="F298" t="str">
        <f>IF(G298&gt;=600,"Lendário",IF(G298&gt;=500,"Forte","Normal"))</f>
        <v>Normal</v>
      </c>
      <c r="G298" s="3">
        <v>360</v>
      </c>
      <c r="H298" s="3">
        <v>55</v>
      </c>
      <c r="I298" s="3">
        <v>70</v>
      </c>
      <c r="J298" s="3">
        <v>55</v>
      </c>
      <c r="K298" s="3">
        <v>40</v>
      </c>
      <c r="L298" s="3">
        <v>55</v>
      </c>
      <c r="M298" s="3">
        <v>85</v>
      </c>
      <c r="N298" s="3">
        <f>AVERAGE($I$2:$I$1168)</f>
        <v>78.907455012853475</v>
      </c>
      <c r="O298" s="3" t="str">
        <f>CONCATENATE(A298,"-",B298)</f>
        <v>190-Aipom</v>
      </c>
    </row>
    <row r="299" spans="1:15">
      <c r="A299" s="63">
        <v>190</v>
      </c>
      <c r="B299" s="2" t="str">
        <f>B298</f>
        <v>Aipom</v>
      </c>
      <c r="C299" t="s">
        <v>25</v>
      </c>
      <c r="D299" s="22">
        <f>COUNTIF($C$2:$C$1168,Tabela1[[#This Row],[Type]])</f>
        <v>100</v>
      </c>
      <c r="E299" s="62" t="str">
        <f>IF(A299&lt;=151,"Kanto",IF(A299&lt;=251,"Johto",IF(A299&lt;=386,"Hoenn",IF(A299&lt;=493,"Sinnoh",IF(A299&lt;=649,"Unova",IF(A299&lt;=721,"Kalos",IF(A299&lt;=809,"Alola",IF(A299&lt;=905,"Galar","Paldea"))))))))</f>
        <v>Johto</v>
      </c>
      <c r="F299" t="str">
        <f>IF(G299&gt;=600,"Lendário",IF(G299&gt;=500,"Forte","Normal"))</f>
        <v>Normal</v>
      </c>
      <c r="G299" s="3">
        <f>G298</f>
        <v>360</v>
      </c>
      <c r="H299" s="3">
        <f>H298</f>
        <v>55</v>
      </c>
      <c r="I299" s="3">
        <f>I298</f>
        <v>70</v>
      </c>
      <c r="J299" s="3">
        <f>J298</f>
        <v>55</v>
      </c>
      <c r="K299" s="3">
        <f>K298</f>
        <v>40</v>
      </c>
      <c r="L299" s="3">
        <f>L298</f>
        <v>55</v>
      </c>
      <c r="M299" s="3">
        <f>M298</f>
        <v>85</v>
      </c>
      <c r="N299" s="3">
        <f>AVERAGE($I$2:$I$1168)</f>
        <v>78.907455012853475</v>
      </c>
      <c r="O299" s="3" t="str">
        <f>CONCATENATE(A299,"-",B299)</f>
        <v>190-Aipom</v>
      </c>
    </row>
    <row r="300" spans="1:15">
      <c r="A300" s="63">
        <v>191</v>
      </c>
      <c r="B300" s="2" t="s">
        <v>235</v>
      </c>
      <c r="C300" t="s">
        <v>16</v>
      </c>
      <c r="D300" s="22">
        <f>COUNTIF($C$2:$C$1168,Tabela1[[#This Row],[Type]])</f>
        <v>93</v>
      </c>
      <c r="E300" s="62" t="str">
        <f>IF(A300&lt;=151,"Kanto",IF(A300&lt;=251,"Johto",IF(A300&lt;=386,"Hoenn",IF(A300&lt;=493,"Sinnoh",IF(A300&lt;=649,"Unova",IF(A300&lt;=721,"Kalos",IF(A300&lt;=809,"Alola",IF(A300&lt;=905,"Galar","Paldea"))))))))</f>
        <v>Johto</v>
      </c>
      <c r="F300" t="str">
        <f>IF(G300&gt;=600,"Lendário",IF(G300&gt;=500,"Forte","Normal"))</f>
        <v>Normal</v>
      </c>
      <c r="G300" s="3">
        <v>180</v>
      </c>
      <c r="H300" s="3">
        <v>30</v>
      </c>
      <c r="I300" s="3">
        <v>30</v>
      </c>
      <c r="J300" s="3">
        <v>30</v>
      </c>
      <c r="K300" s="3">
        <v>30</v>
      </c>
      <c r="L300" s="3">
        <v>30</v>
      </c>
      <c r="M300" s="3">
        <v>30</v>
      </c>
      <c r="N300" s="3">
        <f>AVERAGE($I$2:$I$1168)</f>
        <v>78.907455012853475</v>
      </c>
      <c r="O300" s="3" t="str">
        <f>CONCATENATE(A300,"-",B300)</f>
        <v>191-Sunkern</v>
      </c>
    </row>
    <row r="301" spans="1:15">
      <c r="A301" s="63">
        <v>192</v>
      </c>
      <c r="B301" s="2" t="s">
        <v>236</v>
      </c>
      <c r="C301" t="s">
        <v>16</v>
      </c>
      <c r="D301" s="22">
        <f>COUNTIF($C$2:$C$1168,Tabela1[[#This Row],[Type]])</f>
        <v>93</v>
      </c>
      <c r="E301" s="62" t="str">
        <f>IF(A301&lt;=151,"Kanto",IF(A301&lt;=251,"Johto",IF(A301&lt;=386,"Hoenn",IF(A301&lt;=493,"Sinnoh",IF(A301&lt;=649,"Unova",IF(A301&lt;=721,"Kalos",IF(A301&lt;=809,"Alola",IF(A301&lt;=905,"Galar","Paldea"))))))))</f>
        <v>Johto</v>
      </c>
      <c r="F301" t="str">
        <f>IF(G301&gt;=600,"Lendário",IF(G301&gt;=500,"Forte","Normal"))</f>
        <v>Normal</v>
      </c>
      <c r="G301" s="3">
        <v>425</v>
      </c>
      <c r="H301" s="3">
        <v>75</v>
      </c>
      <c r="I301" s="3">
        <v>75</v>
      </c>
      <c r="J301" s="3">
        <v>55</v>
      </c>
      <c r="K301" s="3">
        <v>105</v>
      </c>
      <c r="L301" s="3">
        <v>85</v>
      </c>
      <c r="M301" s="3">
        <v>30</v>
      </c>
      <c r="N301" s="3">
        <f>AVERAGE($I$2:$I$1168)</f>
        <v>78.907455012853475</v>
      </c>
      <c r="O301" s="3" t="str">
        <f>CONCATENATE(A301,"-",B301)</f>
        <v>192-Sunflora</v>
      </c>
    </row>
    <row r="302" spans="1:15">
      <c r="A302" s="63">
        <v>193</v>
      </c>
      <c r="B302" s="2" t="s">
        <v>237</v>
      </c>
      <c r="C302" t="s">
        <v>35</v>
      </c>
      <c r="D302" s="22">
        <f>COUNTIF($C$2:$C$1168,Tabela1[[#This Row],[Type]])</f>
        <v>71</v>
      </c>
      <c r="E302" s="62" t="str">
        <f>IF(A302&lt;=151,"Kanto",IF(A302&lt;=251,"Johto",IF(A302&lt;=386,"Hoenn",IF(A302&lt;=493,"Sinnoh",IF(A302&lt;=649,"Unova",IF(A302&lt;=721,"Kalos",IF(A302&lt;=809,"Alola",IF(A302&lt;=905,"Galar","Paldea"))))))))</f>
        <v>Johto</v>
      </c>
      <c r="F302" t="str">
        <f>IF(G302&gt;=600,"Lendário",IF(G302&gt;=500,"Forte","Normal"))</f>
        <v>Normal</v>
      </c>
      <c r="G302" s="3">
        <v>390</v>
      </c>
      <c r="H302" s="3">
        <v>65</v>
      </c>
      <c r="I302" s="3">
        <v>65</v>
      </c>
      <c r="J302" s="3">
        <v>45</v>
      </c>
      <c r="K302" s="3">
        <v>75</v>
      </c>
      <c r="L302" s="3">
        <v>45</v>
      </c>
      <c r="M302" s="3">
        <v>95</v>
      </c>
      <c r="N302" s="3">
        <f>AVERAGE($I$2:$I$1168)</f>
        <v>78.907455012853475</v>
      </c>
      <c r="O302" s="3" t="str">
        <f>CONCATENATE(A302,"-",B302)</f>
        <v>193-Yanma</v>
      </c>
    </row>
    <row r="303" spans="1:15">
      <c r="A303" s="63">
        <v>193</v>
      </c>
      <c r="B303" s="2" t="str">
        <f>B302</f>
        <v>Yanma</v>
      </c>
      <c r="C303" t="s">
        <v>25</v>
      </c>
      <c r="D303" s="22">
        <f>COUNTIF($C$2:$C$1168,Tabela1[[#This Row],[Type]])</f>
        <v>100</v>
      </c>
      <c r="E303" s="62" t="str">
        <f>IF(A303&lt;=151,"Kanto",IF(A303&lt;=251,"Johto",IF(A303&lt;=386,"Hoenn",IF(A303&lt;=493,"Sinnoh",IF(A303&lt;=649,"Unova",IF(A303&lt;=721,"Kalos",IF(A303&lt;=809,"Alola",IF(A303&lt;=905,"Galar","Paldea"))))))))</f>
        <v>Johto</v>
      </c>
      <c r="F303" t="str">
        <f>IF(G303&gt;=600,"Lendário",IF(G303&gt;=500,"Forte","Normal"))</f>
        <v>Normal</v>
      </c>
      <c r="G303" s="3">
        <f>G302</f>
        <v>390</v>
      </c>
      <c r="H303" s="3">
        <f>H302</f>
        <v>65</v>
      </c>
      <c r="I303" s="3">
        <f>I302</f>
        <v>65</v>
      </c>
      <c r="J303" s="3">
        <f>J302</f>
        <v>45</v>
      </c>
      <c r="K303" s="3">
        <f>K302</f>
        <v>75</v>
      </c>
      <c r="L303" s="3">
        <f>L302</f>
        <v>45</v>
      </c>
      <c r="M303" s="3">
        <f>M302</f>
        <v>95</v>
      </c>
      <c r="N303" s="3">
        <f>AVERAGE($I$2:$I$1168)</f>
        <v>78.907455012853475</v>
      </c>
      <c r="O303" s="3" t="str">
        <f>CONCATENATE(A303,"-",B303)</f>
        <v>193-Yanma</v>
      </c>
    </row>
    <row r="304" spans="1:15">
      <c r="A304" s="63">
        <v>194</v>
      </c>
      <c r="B304" s="2" t="s">
        <v>238</v>
      </c>
      <c r="C304" t="s">
        <v>30</v>
      </c>
      <c r="D304" s="22">
        <f>COUNTIF($C$2:$C$1168,Tabela1[[#This Row],[Type]])</f>
        <v>121</v>
      </c>
      <c r="E304" s="62" t="str">
        <f>IF(A304&lt;=151,"Kanto",IF(A304&lt;=251,"Johto",IF(A304&lt;=386,"Hoenn",IF(A304&lt;=493,"Sinnoh",IF(A304&lt;=649,"Unova",IF(A304&lt;=721,"Kalos",IF(A304&lt;=809,"Alola",IF(A304&lt;=905,"Galar","Paldea"))))))))</f>
        <v>Johto</v>
      </c>
      <c r="F304" t="str">
        <f>IF(G304&gt;=600,"Lendário",IF(G304&gt;=500,"Forte","Normal"))</f>
        <v>Normal</v>
      </c>
      <c r="G304" s="3">
        <v>210</v>
      </c>
      <c r="H304" s="3">
        <v>55</v>
      </c>
      <c r="I304" s="3">
        <v>45</v>
      </c>
      <c r="J304" s="3">
        <v>45</v>
      </c>
      <c r="K304" s="3">
        <v>25</v>
      </c>
      <c r="L304" s="3">
        <v>25</v>
      </c>
      <c r="M304" s="3">
        <v>15</v>
      </c>
      <c r="N304" s="3">
        <f>AVERAGE($I$2:$I$1168)</f>
        <v>78.907455012853475</v>
      </c>
      <c r="O304" s="3" t="str">
        <f>CONCATENATE(A304,"-",B304)</f>
        <v>194-Wooper</v>
      </c>
    </row>
    <row r="305" spans="1:15">
      <c r="A305" s="63">
        <v>194</v>
      </c>
      <c r="B305" s="2" t="str">
        <f>B304</f>
        <v>Wooper</v>
      </c>
      <c r="C305" t="s">
        <v>55</v>
      </c>
      <c r="D305" s="22">
        <f>COUNTIF($C$2:$C$1168,Tabela1[[#This Row],[Type]])</f>
        <v>62</v>
      </c>
      <c r="E305" s="62" t="str">
        <f>IF(A305&lt;=151,"Kanto",IF(A305&lt;=251,"Johto",IF(A305&lt;=386,"Hoenn",IF(A305&lt;=493,"Sinnoh",IF(A305&lt;=649,"Unova",IF(A305&lt;=721,"Kalos",IF(A305&lt;=809,"Alola",IF(A305&lt;=905,"Galar","Paldea"))))))))</f>
        <v>Johto</v>
      </c>
      <c r="F305" t="str">
        <f>IF(G305&gt;=600,"Lendário",IF(G305&gt;=500,"Forte","Normal"))</f>
        <v>Normal</v>
      </c>
      <c r="G305" s="3">
        <f>G304</f>
        <v>210</v>
      </c>
      <c r="H305" s="3">
        <f>H304</f>
        <v>55</v>
      </c>
      <c r="I305" s="3">
        <f>I304</f>
        <v>45</v>
      </c>
      <c r="J305" s="3">
        <f>J304</f>
        <v>45</v>
      </c>
      <c r="K305" s="3">
        <f>K304</f>
        <v>25</v>
      </c>
      <c r="L305" s="3">
        <f>L304</f>
        <v>25</v>
      </c>
      <c r="M305" s="3">
        <f>M304</f>
        <v>15</v>
      </c>
      <c r="N305" s="3">
        <f>AVERAGE($I$2:$I$1168)</f>
        <v>78.907455012853475</v>
      </c>
      <c r="O305" s="3" t="str">
        <f>CONCATENATE(A305,"-",B305)</f>
        <v>194-Wooper</v>
      </c>
    </row>
    <row r="306" spans="1:15">
      <c r="A306" s="63">
        <v>195</v>
      </c>
      <c r="B306" s="2" t="s">
        <v>239</v>
      </c>
      <c r="C306" t="s">
        <v>30</v>
      </c>
      <c r="D306" s="22">
        <f>COUNTIF($C$2:$C$1168,Tabela1[[#This Row],[Type]])</f>
        <v>121</v>
      </c>
      <c r="E306" s="62" t="str">
        <f>IF(A306&lt;=151,"Kanto",IF(A306&lt;=251,"Johto",IF(A306&lt;=386,"Hoenn",IF(A306&lt;=493,"Sinnoh",IF(A306&lt;=649,"Unova",IF(A306&lt;=721,"Kalos",IF(A306&lt;=809,"Alola",IF(A306&lt;=905,"Galar","Paldea"))))))))</f>
        <v>Johto</v>
      </c>
      <c r="F306" t="str">
        <f>IF(G306&gt;=600,"Lendário",IF(G306&gt;=500,"Forte","Normal"))</f>
        <v>Normal</v>
      </c>
      <c r="G306" s="3">
        <v>430</v>
      </c>
      <c r="H306" s="3">
        <v>95</v>
      </c>
      <c r="I306" s="3">
        <v>85</v>
      </c>
      <c r="J306" s="3">
        <v>85</v>
      </c>
      <c r="K306" s="3">
        <v>65</v>
      </c>
      <c r="L306" s="3">
        <v>65</v>
      </c>
      <c r="M306" s="3">
        <v>35</v>
      </c>
      <c r="N306" s="3">
        <f>AVERAGE($I$2:$I$1168)</f>
        <v>78.907455012853475</v>
      </c>
      <c r="O306" s="3" t="str">
        <f>CONCATENATE(A306,"-",B306)</f>
        <v>195-Quagsire</v>
      </c>
    </row>
    <row r="307" spans="1:15">
      <c r="A307" s="63">
        <v>195</v>
      </c>
      <c r="B307" s="2" t="str">
        <f>B306</f>
        <v>Quagsire</v>
      </c>
      <c r="C307" t="s">
        <v>55</v>
      </c>
      <c r="D307" s="22">
        <f>COUNTIF($C$2:$C$1168,Tabela1[[#This Row],[Type]])</f>
        <v>62</v>
      </c>
      <c r="E307" s="62" t="str">
        <f>IF(A307&lt;=151,"Kanto",IF(A307&lt;=251,"Johto",IF(A307&lt;=386,"Hoenn",IF(A307&lt;=493,"Sinnoh",IF(A307&lt;=649,"Unova",IF(A307&lt;=721,"Kalos",IF(A307&lt;=809,"Alola",IF(A307&lt;=905,"Galar","Paldea"))))))))</f>
        <v>Johto</v>
      </c>
      <c r="F307" t="str">
        <f>IF(G307&gt;=600,"Lendário",IF(G307&gt;=500,"Forte","Normal"))</f>
        <v>Normal</v>
      </c>
      <c r="G307" s="3">
        <f>G306</f>
        <v>430</v>
      </c>
      <c r="H307" s="3">
        <f>H306</f>
        <v>95</v>
      </c>
      <c r="I307" s="3">
        <f>I306</f>
        <v>85</v>
      </c>
      <c r="J307" s="3">
        <f>J306</f>
        <v>85</v>
      </c>
      <c r="K307" s="3">
        <f>K306</f>
        <v>65</v>
      </c>
      <c r="L307" s="3">
        <f>L306</f>
        <v>65</v>
      </c>
      <c r="M307" s="3">
        <f>M306</f>
        <v>35</v>
      </c>
      <c r="N307" s="3">
        <f>AVERAGE($I$2:$I$1168)</f>
        <v>78.907455012853475</v>
      </c>
      <c r="O307" s="3" t="str">
        <f>CONCATENATE(A307,"-",B307)</f>
        <v>195-Quagsire</v>
      </c>
    </row>
    <row r="308" spans="1:15">
      <c r="A308" s="63">
        <v>196</v>
      </c>
      <c r="B308" s="2" t="s">
        <v>240</v>
      </c>
      <c r="C308" t="s">
        <v>94</v>
      </c>
      <c r="D308" s="22">
        <f>COUNTIF($C$2:$C$1168,Tabela1[[#This Row],[Type]])</f>
        <v>83</v>
      </c>
      <c r="E308" s="62" t="str">
        <f>IF(A308&lt;=151,"Kanto",IF(A308&lt;=251,"Johto",IF(A308&lt;=386,"Hoenn",IF(A308&lt;=493,"Sinnoh",IF(A308&lt;=649,"Unova",IF(A308&lt;=721,"Kalos",IF(A308&lt;=809,"Alola",IF(A308&lt;=905,"Galar","Paldea"))))))))</f>
        <v>Johto</v>
      </c>
      <c r="F308" t="str">
        <f>IF(G308&gt;=600,"Lendário",IF(G308&gt;=500,"Forte","Normal"))</f>
        <v>Forte</v>
      </c>
      <c r="G308" s="3">
        <v>525</v>
      </c>
      <c r="H308" s="3">
        <v>65</v>
      </c>
      <c r="I308" s="3">
        <v>65</v>
      </c>
      <c r="J308" s="3">
        <v>60</v>
      </c>
      <c r="K308" s="3">
        <v>130</v>
      </c>
      <c r="L308" s="3">
        <v>95</v>
      </c>
      <c r="M308" s="3">
        <v>110</v>
      </c>
      <c r="N308" s="3">
        <f>AVERAGE($I$2:$I$1168)</f>
        <v>78.907455012853475</v>
      </c>
      <c r="O308" s="3" t="str">
        <f>CONCATENATE(A308,"-",B308)</f>
        <v>196-Espeon</v>
      </c>
    </row>
    <row r="309" spans="1:15">
      <c r="A309" s="63">
        <v>197</v>
      </c>
      <c r="B309" s="2" t="s">
        <v>241</v>
      </c>
      <c r="C309" t="s">
        <v>170</v>
      </c>
      <c r="D309" s="22">
        <f>COUNTIF($C$2:$C$1168,Tabela1[[#This Row],[Type]])</f>
        <v>49</v>
      </c>
      <c r="E309" s="62" t="str">
        <f>IF(A309&lt;=151,"Kanto",IF(A309&lt;=251,"Johto",IF(A309&lt;=386,"Hoenn",IF(A309&lt;=493,"Sinnoh",IF(A309&lt;=649,"Unova",IF(A309&lt;=721,"Kalos",IF(A309&lt;=809,"Alola",IF(A309&lt;=905,"Galar","Paldea"))))))))</f>
        <v>Johto</v>
      </c>
      <c r="F309" t="str">
        <f>IF(G309&gt;=600,"Lendário",IF(G309&gt;=500,"Forte","Normal"))</f>
        <v>Forte</v>
      </c>
      <c r="G309" s="3">
        <v>525</v>
      </c>
      <c r="H309" s="3">
        <v>95</v>
      </c>
      <c r="I309" s="3">
        <v>65</v>
      </c>
      <c r="J309" s="3">
        <v>110</v>
      </c>
      <c r="K309" s="3">
        <v>60</v>
      </c>
      <c r="L309" s="3">
        <v>130</v>
      </c>
      <c r="M309" s="3">
        <v>65</v>
      </c>
      <c r="N309" s="3">
        <f>AVERAGE($I$2:$I$1168)</f>
        <v>78.907455012853475</v>
      </c>
      <c r="O309" s="3" t="str">
        <f>CONCATENATE(A309,"-",B309)</f>
        <v>197-Umbreon</v>
      </c>
    </row>
    <row r="310" spans="1:15">
      <c r="A310" s="63">
        <v>198</v>
      </c>
      <c r="B310" s="2" t="s">
        <v>242</v>
      </c>
      <c r="C310" t="s">
        <v>170</v>
      </c>
      <c r="D310" s="22">
        <f>COUNTIF($C$2:$C$1168,Tabela1[[#This Row],[Type]])</f>
        <v>49</v>
      </c>
      <c r="E310" s="62" t="str">
        <f>IF(A310&lt;=151,"Kanto",IF(A310&lt;=251,"Johto",IF(A310&lt;=386,"Hoenn",IF(A310&lt;=493,"Sinnoh",IF(A310&lt;=649,"Unova",IF(A310&lt;=721,"Kalos",IF(A310&lt;=809,"Alola",IF(A310&lt;=905,"Galar","Paldea"))))))))</f>
        <v>Johto</v>
      </c>
      <c r="F310" t="str">
        <f>IF(G310&gt;=600,"Lendário",IF(G310&gt;=500,"Forte","Normal"))</f>
        <v>Normal</v>
      </c>
      <c r="G310" s="3">
        <v>405</v>
      </c>
      <c r="H310" s="3">
        <v>60</v>
      </c>
      <c r="I310" s="3">
        <v>85</v>
      </c>
      <c r="J310" s="3">
        <v>42</v>
      </c>
      <c r="K310" s="3">
        <v>85</v>
      </c>
      <c r="L310" s="3">
        <v>42</v>
      </c>
      <c r="M310" s="3">
        <v>91</v>
      </c>
      <c r="N310" s="3">
        <f>AVERAGE($I$2:$I$1168)</f>
        <v>78.907455012853475</v>
      </c>
      <c r="O310" s="3" t="str">
        <f>CONCATENATE(A310,"-",B310)</f>
        <v>198-Murkrow</v>
      </c>
    </row>
    <row r="311" spans="1:15">
      <c r="A311" s="63">
        <v>198</v>
      </c>
      <c r="B311" s="2" t="str">
        <f>B310</f>
        <v>Murkrow</v>
      </c>
      <c r="C311" t="s">
        <v>25</v>
      </c>
      <c r="D311" s="22">
        <f>COUNTIF($C$2:$C$1168,Tabela1[[#This Row],[Type]])</f>
        <v>100</v>
      </c>
      <c r="E311" s="62" t="str">
        <f>IF(A311&lt;=151,"Kanto",IF(A311&lt;=251,"Johto",IF(A311&lt;=386,"Hoenn",IF(A311&lt;=493,"Sinnoh",IF(A311&lt;=649,"Unova",IF(A311&lt;=721,"Kalos",IF(A311&lt;=809,"Alola",IF(A311&lt;=905,"Galar","Paldea"))))))))</f>
        <v>Johto</v>
      </c>
      <c r="F311" t="str">
        <f>IF(G311&gt;=600,"Lendário",IF(G311&gt;=500,"Forte","Normal"))</f>
        <v>Normal</v>
      </c>
      <c r="G311" s="3">
        <f>G310</f>
        <v>405</v>
      </c>
      <c r="H311" s="3">
        <f>H310</f>
        <v>60</v>
      </c>
      <c r="I311" s="3">
        <f>I310</f>
        <v>85</v>
      </c>
      <c r="J311" s="3">
        <f>J310</f>
        <v>42</v>
      </c>
      <c r="K311" s="3">
        <f>K310</f>
        <v>85</v>
      </c>
      <c r="L311" s="3">
        <f>L310</f>
        <v>42</v>
      </c>
      <c r="M311" s="3">
        <f>M310</f>
        <v>91</v>
      </c>
      <c r="N311" s="3">
        <f>AVERAGE($I$2:$I$1168)</f>
        <v>78.907455012853475</v>
      </c>
      <c r="O311" s="3" t="str">
        <f>CONCATENATE(A311,"-",B311)</f>
        <v>198-Murkrow</v>
      </c>
    </row>
    <row r="312" spans="1:15">
      <c r="A312" s="63">
        <v>199</v>
      </c>
      <c r="B312" s="2" t="s">
        <v>243</v>
      </c>
      <c r="C312" t="s">
        <v>30</v>
      </c>
      <c r="D312" s="22">
        <f>COUNTIF($C$2:$C$1168,Tabela1[[#This Row],[Type]])</f>
        <v>121</v>
      </c>
      <c r="E312" s="62" t="str">
        <f>IF(A312&lt;=151,"Kanto",IF(A312&lt;=251,"Johto",IF(A312&lt;=386,"Hoenn",IF(A312&lt;=493,"Sinnoh",IF(A312&lt;=649,"Unova",IF(A312&lt;=721,"Kalos",IF(A312&lt;=809,"Alola",IF(A312&lt;=905,"Galar","Paldea"))))))))</f>
        <v>Johto</v>
      </c>
      <c r="F312" t="str">
        <f>IF(G312&gt;=600,"Lendário",IF(G312&gt;=500,"Forte","Normal"))</f>
        <v>Normal</v>
      </c>
      <c r="G312" s="3">
        <v>490</v>
      </c>
      <c r="H312" s="3">
        <v>95</v>
      </c>
      <c r="I312" s="3">
        <v>75</v>
      </c>
      <c r="J312" s="3">
        <v>80</v>
      </c>
      <c r="K312" s="3">
        <v>100</v>
      </c>
      <c r="L312" s="3">
        <v>110</v>
      </c>
      <c r="M312" s="3">
        <v>30</v>
      </c>
      <c r="N312" s="3">
        <f>AVERAGE($I$2:$I$1168)</f>
        <v>78.907455012853475</v>
      </c>
      <c r="O312" s="3" t="str">
        <f>CONCATENATE(A312,"-",B312)</f>
        <v>199-Slowking</v>
      </c>
    </row>
    <row r="313" spans="1:15">
      <c r="A313" s="63">
        <v>199</v>
      </c>
      <c r="B313" s="2" t="str">
        <f>B312</f>
        <v>Slowking</v>
      </c>
      <c r="C313" t="s">
        <v>94</v>
      </c>
      <c r="D313" s="22">
        <f>COUNTIF($C$2:$C$1168,Tabela1[[#This Row],[Type]])</f>
        <v>83</v>
      </c>
      <c r="E313" s="62" t="str">
        <f>IF(A313&lt;=151,"Kanto",IF(A313&lt;=251,"Johto",IF(A313&lt;=386,"Hoenn",IF(A313&lt;=493,"Sinnoh",IF(A313&lt;=649,"Unova",IF(A313&lt;=721,"Kalos",IF(A313&lt;=809,"Alola",IF(A313&lt;=905,"Galar","Paldea"))))))))</f>
        <v>Johto</v>
      </c>
      <c r="F313" t="str">
        <f>IF(G313&gt;=600,"Lendário",IF(G313&gt;=500,"Forte","Normal"))</f>
        <v>Normal</v>
      </c>
      <c r="G313" s="3">
        <f>G312</f>
        <v>490</v>
      </c>
      <c r="H313" s="3">
        <f>H312</f>
        <v>95</v>
      </c>
      <c r="I313" s="3">
        <f>I312</f>
        <v>75</v>
      </c>
      <c r="J313" s="3">
        <f>J312</f>
        <v>80</v>
      </c>
      <c r="K313" s="3">
        <f>K312</f>
        <v>100</v>
      </c>
      <c r="L313" s="3">
        <f>L312</f>
        <v>110</v>
      </c>
      <c r="M313" s="3">
        <f>M312</f>
        <v>30</v>
      </c>
      <c r="N313" s="3">
        <f>AVERAGE($I$2:$I$1168)</f>
        <v>78.907455012853475</v>
      </c>
      <c r="O313" s="3" t="str">
        <f>CONCATENATE(A313,"-",B313)</f>
        <v>199-Slowking</v>
      </c>
    </row>
    <row r="314" spans="1:15">
      <c r="A314" s="63">
        <v>200</v>
      </c>
      <c r="B314" s="2" t="s">
        <v>244</v>
      </c>
      <c r="C314" t="s">
        <v>128</v>
      </c>
      <c r="D314" s="22">
        <f>COUNTIF($C$2:$C$1168,Tabela1[[#This Row],[Type]])</f>
        <v>45</v>
      </c>
      <c r="E314" s="62" t="str">
        <f>IF(A314&lt;=151,"Kanto",IF(A314&lt;=251,"Johto",IF(A314&lt;=386,"Hoenn",IF(A314&lt;=493,"Sinnoh",IF(A314&lt;=649,"Unova",IF(A314&lt;=721,"Kalos",IF(A314&lt;=809,"Alola",IF(A314&lt;=905,"Galar","Paldea"))))))))</f>
        <v>Johto</v>
      </c>
      <c r="F314" t="str">
        <f>IF(G314&gt;=600,"Lendário",IF(G314&gt;=500,"Forte","Normal"))</f>
        <v>Normal</v>
      </c>
      <c r="G314" s="3">
        <v>435</v>
      </c>
      <c r="H314" s="3">
        <v>60</v>
      </c>
      <c r="I314" s="3">
        <v>60</v>
      </c>
      <c r="J314" s="3">
        <v>60</v>
      </c>
      <c r="K314" s="3">
        <v>85</v>
      </c>
      <c r="L314" s="3">
        <v>85</v>
      </c>
      <c r="M314" s="3">
        <v>85</v>
      </c>
      <c r="N314" s="3">
        <f>AVERAGE($I$2:$I$1168)</f>
        <v>78.907455012853475</v>
      </c>
      <c r="O314" s="3" t="str">
        <f>CONCATENATE(A314,"-",B314)</f>
        <v>200-Misdreavus</v>
      </c>
    </row>
    <row r="315" spans="1:15">
      <c r="A315" s="63">
        <v>201</v>
      </c>
      <c r="B315" s="2" t="s">
        <v>245</v>
      </c>
      <c r="C315" t="s">
        <v>94</v>
      </c>
      <c r="D315" s="22">
        <f>COUNTIF($C$2:$C$1168,Tabela1[[#This Row],[Type]])</f>
        <v>83</v>
      </c>
      <c r="E315" s="62" t="str">
        <f>IF(A315&lt;=151,"Kanto",IF(A315&lt;=251,"Johto",IF(A315&lt;=386,"Hoenn",IF(A315&lt;=493,"Sinnoh",IF(A315&lt;=649,"Unova",IF(A315&lt;=721,"Kalos",IF(A315&lt;=809,"Alola",IF(A315&lt;=905,"Galar","Paldea"))))))))</f>
        <v>Johto</v>
      </c>
      <c r="F315" t="str">
        <f>IF(G315&gt;=600,"Lendário",IF(G315&gt;=500,"Forte","Normal"))</f>
        <v>Normal</v>
      </c>
      <c r="G315" s="3">
        <v>336</v>
      </c>
      <c r="H315" s="3">
        <v>48</v>
      </c>
      <c r="I315" s="3">
        <v>72</v>
      </c>
      <c r="J315" s="3">
        <v>48</v>
      </c>
      <c r="K315" s="3">
        <v>72</v>
      </c>
      <c r="L315" s="3">
        <v>48</v>
      </c>
      <c r="M315" s="3">
        <v>48</v>
      </c>
      <c r="N315" s="3">
        <f>AVERAGE($I$2:$I$1168)</f>
        <v>78.907455012853475</v>
      </c>
      <c r="O315" s="3" t="str">
        <f>CONCATENATE(A315,"-",B315)</f>
        <v>201-Unown</v>
      </c>
    </row>
    <row r="316" spans="1:15">
      <c r="A316" s="63">
        <v>202</v>
      </c>
      <c r="B316" s="2" t="s">
        <v>246</v>
      </c>
      <c r="C316" t="s">
        <v>94</v>
      </c>
      <c r="D316" s="22">
        <f>COUNTIF($C$2:$C$1168,Tabela1[[#This Row],[Type]])</f>
        <v>83</v>
      </c>
      <c r="E316" s="62" t="str">
        <f>IF(A316&lt;=151,"Kanto",IF(A316&lt;=251,"Johto",IF(A316&lt;=386,"Hoenn",IF(A316&lt;=493,"Sinnoh",IF(A316&lt;=649,"Unova",IF(A316&lt;=721,"Kalos",IF(A316&lt;=809,"Alola",IF(A316&lt;=905,"Galar","Paldea"))))))))</f>
        <v>Johto</v>
      </c>
      <c r="F316" t="str">
        <f>IF(G316&gt;=600,"Lendário",IF(G316&gt;=500,"Forte","Normal"))</f>
        <v>Normal</v>
      </c>
      <c r="G316" s="3">
        <v>405</v>
      </c>
      <c r="H316" s="3">
        <v>190</v>
      </c>
      <c r="I316" s="3">
        <v>33</v>
      </c>
      <c r="J316" s="3">
        <v>58</v>
      </c>
      <c r="K316" s="3">
        <v>33</v>
      </c>
      <c r="L316" s="3">
        <v>58</v>
      </c>
      <c r="M316" s="3">
        <v>33</v>
      </c>
      <c r="N316" s="3">
        <f>AVERAGE($I$2:$I$1168)</f>
        <v>78.907455012853475</v>
      </c>
      <c r="O316" s="3" t="str">
        <f>CONCATENATE(A316,"-",B316)</f>
        <v>202-Wobbuffet</v>
      </c>
    </row>
    <row r="317" spans="1:15">
      <c r="A317" s="63">
        <v>203</v>
      </c>
      <c r="B317" s="2" t="s">
        <v>247</v>
      </c>
      <c r="C317" t="s">
        <v>42</v>
      </c>
      <c r="D317" s="22">
        <f>COUNTIF($C$2:$C$1168,Tabela1[[#This Row],[Type]])</f>
        <v>99</v>
      </c>
      <c r="E317" s="62" t="str">
        <f>IF(A317&lt;=151,"Kanto",IF(A317&lt;=251,"Johto",IF(A317&lt;=386,"Hoenn",IF(A317&lt;=493,"Sinnoh",IF(A317&lt;=649,"Unova",IF(A317&lt;=721,"Kalos",IF(A317&lt;=809,"Alola",IF(A317&lt;=905,"Galar","Paldea"))))))))</f>
        <v>Johto</v>
      </c>
      <c r="F317" t="str">
        <f>IF(G317&gt;=600,"Lendário",IF(G317&gt;=500,"Forte","Normal"))</f>
        <v>Normal</v>
      </c>
      <c r="G317" s="3">
        <v>455</v>
      </c>
      <c r="H317" s="3">
        <v>70</v>
      </c>
      <c r="I317" s="3">
        <v>80</v>
      </c>
      <c r="J317" s="3">
        <v>65</v>
      </c>
      <c r="K317" s="3">
        <v>90</v>
      </c>
      <c r="L317" s="3">
        <v>65</v>
      </c>
      <c r="M317" s="3">
        <v>85</v>
      </c>
      <c r="N317" s="3">
        <f>AVERAGE($I$2:$I$1168)</f>
        <v>78.907455012853475</v>
      </c>
      <c r="O317" s="3" t="str">
        <f>CONCATENATE(A317,"-",B317)</f>
        <v>203-Girafarig</v>
      </c>
    </row>
    <row r="318" spans="1:15">
      <c r="A318" s="63">
        <v>204</v>
      </c>
      <c r="B318" s="2" t="s">
        <v>248</v>
      </c>
      <c r="C318" t="s">
        <v>35</v>
      </c>
      <c r="D318" s="22">
        <f>COUNTIF($C$2:$C$1168,Tabela1[[#This Row],[Type]])</f>
        <v>71</v>
      </c>
      <c r="E318" s="62" t="str">
        <f>IF(A318&lt;=151,"Kanto",IF(A318&lt;=251,"Johto",IF(A318&lt;=386,"Hoenn",IF(A318&lt;=493,"Sinnoh",IF(A318&lt;=649,"Unova",IF(A318&lt;=721,"Kalos",IF(A318&lt;=809,"Alola",IF(A318&lt;=905,"Galar","Paldea"))))))))</f>
        <v>Johto</v>
      </c>
      <c r="F318" t="str">
        <f>IF(G318&gt;=600,"Lendário",IF(G318&gt;=500,"Forte","Normal"))</f>
        <v>Normal</v>
      </c>
      <c r="G318" s="3">
        <v>290</v>
      </c>
      <c r="H318" s="3">
        <v>50</v>
      </c>
      <c r="I318" s="3">
        <v>65</v>
      </c>
      <c r="J318" s="3">
        <v>90</v>
      </c>
      <c r="K318" s="3">
        <v>35</v>
      </c>
      <c r="L318" s="3">
        <v>35</v>
      </c>
      <c r="M318" s="3">
        <v>15</v>
      </c>
      <c r="N318" s="3">
        <f>AVERAGE($I$2:$I$1168)</f>
        <v>78.907455012853475</v>
      </c>
      <c r="O318" s="3" t="str">
        <f>CONCATENATE(A318,"-",B318)</f>
        <v>204-Pineco</v>
      </c>
    </row>
    <row r="319" spans="1:15">
      <c r="A319" s="63">
        <v>205</v>
      </c>
      <c r="B319" s="2" t="s">
        <v>249</v>
      </c>
      <c r="C319" t="s">
        <v>35</v>
      </c>
      <c r="D319" s="22">
        <f>COUNTIF($C$2:$C$1168,Tabela1[[#This Row],[Type]])</f>
        <v>71</v>
      </c>
      <c r="E319" s="62" t="str">
        <f>IF(A319&lt;=151,"Kanto",IF(A319&lt;=251,"Johto",IF(A319&lt;=386,"Hoenn",IF(A319&lt;=493,"Sinnoh",IF(A319&lt;=649,"Unova",IF(A319&lt;=721,"Kalos",IF(A319&lt;=809,"Alola",IF(A319&lt;=905,"Galar","Paldea"))))))))</f>
        <v>Johto</v>
      </c>
      <c r="F319" t="str">
        <f>IF(G319&gt;=600,"Lendário",IF(G319&gt;=500,"Forte","Normal"))</f>
        <v>Normal</v>
      </c>
      <c r="G319" s="3">
        <v>465</v>
      </c>
      <c r="H319" s="3">
        <v>75</v>
      </c>
      <c r="I319" s="3">
        <v>90</v>
      </c>
      <c r="J319" s="3">
        <v>140</v>
      </c>
      <c r="K319" s="3">
        <v>60</v>
      </c>
      <c r="L319" s="3">
        <v>60</v>
      </c>
      <c r="M319" s="3">
        <v>40</v>
      </c>
      <c r="N319" s="3">
        <f>AVERAGE($I$2:$I$1168)</f>
        <v>78.907455012853475</v>
      </c>
      <c r="O319" s="3" t="str">
        <f>CONCATENATE(A319,"-",B319)</f>
        <v>205-Forretress</v>
      </c>
    </row>
    <row r="320" spans="1:15">
      <c r="A320" s="63">
        <v>205</v>
      </c>
      <c r="B320" s="2" t="str">
        <f>B319</f>
        <v>Forretress</v>
      </c>
      <c r="C320" t="s">
        <v>115</v>
      </c>
      <c r="D320" s="22">
        <f>COUNTIF($C$2:$C$1168,Tabela1[[#This Row],[Type]])</f>
        <v>48</v>
      </c>
      <c r="E320" s="62" t="str">
        <f>IF(A320&lt;=151,"Kanto",IF(A320&lt;=251,"Johto",IF(A320&lt;=386,"Hoenn",IF(A320&lt;=493,"Sinnoh",IF(A320&lt;=649,"Unova",IF(A320&lt;=721,"Kalos",IF(A320&lt;=809,"Alola",IF(A320&lt;=905,"Galar","Paldea"))))))))</f>
        <v>Johto</v>
      </c>
      <c r="F320" t="str">
        <f>IF(G320&gt;=600,"Lendário",IF(G320&gt;=500,"Forte","Normal"))</f>
        <v>Normal</v>
      </c>
      <c r="G320" s="3">
        <f>G319</f>
        <v>465</v>
      </c>
      <c r="H320" s="3">
        <f>H319</f>
        <v>75</v>
      </c>
      <c r="I320" s="3">
        <f>I319</f>
        <v>90</v>
      </c>
      <c r="J320" s="3">
        <f>J319</f>
        <v>140</v>
      </c>
      <c r="K320" s="3">
        <f>K319</f>
        <v>60</v>
      </c>
      <c r="L320" s="3">
        <f>L319</f>
        <v>60</v>
      </c>
      <c r="M320" s="3">
        <f>M319</f>
        <v>40</v>
      </c>
      <c r="N320" s="3">
        <f>AVERAGE($I$2:$I$1168)</f>
        <v>78.907455012853475</v>
      </c>
      <c r="O320" s="3" t="str">
        <f>CONCATENATE(A320,"-",B320)</f>
        <v>205-Forretress</v>
      </c>
    </row>
    <row r="321" spans="1:15">
      <c r="A321" s="63">
        <v>205</v>
      </c>
      <c r="B321" s="2" t="str">
        <f>B320</f>
        <v>Forretress</v>
      </c>
      <c r="C321" t="s">
        <v>64</v>
      </c>
      <c r="D321" s="22">
        <f>COUNTIF($C$2:$C$1168,Tabela1[[#This Row],[Type]])</f>
        <v>34</v>
      </c>
      <c r="E321" s="62" t="str">
        <f>IF(A321&lt;=151,"Kanto",IF(A321&lt;=251,"Johto",IF(A321&lt;=386,"Hoenn",IF(A321&lt;=493,"Sinnoh",IF(A321&lt;=649,"Unova",IF(A321&lt;=721,"Kalos",IF(A321&lt;=809,"Alola",IF(A321&lt;=905,"Galar","Paldea"))))))))</f>
        <v>Johto</v>
      </c>
      <c r="F321" t="str">
        <f>IF(G321&gt;=600,"Lendário",IF(G321&gt;=500,"Forte","Normal"))</f>
        <v>Normal</v>
      </c>
      <c r="G321" s="3">
        <f>G320</f>
        <v>465</v>
      </c>
      <c r="H321" s="3">
        <f>H320</f>
        <v>75</v>
      </c>
      <c r="I321" s="3">
        <f>I320</f>
        <v>90</v>
      </c>
      <c r="J321" s="3">
        <f>J320</f>
        <v>140</v>
      </c>
      <c r="K321" s="3">
        <f>K320</f>
        <v>60</v>
      </c>
      <c r="L321" s="3">
        <f>L320</f>
        <v>60</v>
      </c>
      <c r="M321" s="3">
        <f>M320</f>
        <v>40</v>
      </c>
      <c r="N321" s="3">
        <f>AVERAGE($I$2:$I$1168)</f>
        <v>78.907455012853475</v>
      </c>
      <c r="O321" s="3" t="str">
        <f>CONCATENATE(A321,"-",B321)</f>
        <v>205-Forretress</v>
      </c>
    </row>
    <row r="322" spans="1:15">
      <c r="A322" s="63">
        <v>206</v>
      </c>
      <c r="B322" s="2" t="s">
        <v>250</v>
      </c>
      <c r="C322" t="s">
        <v>42</v>
      </c>
      <c r="D322" s="22">
        <f>COUNTIF($C$2:$C$1168,Tabela1[[#This Row],[Type]])</f>
        <v>99</v>
      </c>
      <c r="E322" s="62" t="str">
        <f>IF(A322&lt;=151,"Kanto",IF(A322&lt;=251,"Johto",IF(A322&lt;=386,"Hoenn",IF(A322&lt;=493,"Sinnoh",IF(A322&lt;=649,"Unova",IF(A322&lt;=721,"Kalos",IF(A322&lt;=809,"Alola",IF(A322&lt;=905,"Galar","Paldea"))))))))</f>
        <v>Johto</v>
      </c>
      <c r="F322" t="str">
        <f>IF(G322&gt;=600,"Lendário",IF(G322&gt;=500,"Forte","Normal"))</f>
        <v>Normal</v>
      </c>
      <c r="G322" s="3">
        <v>415</v>
      </c>
      <c r="H322" s="3">
        <v>100</v>
      </c>
      <c r="I322" s="3">
        <v>70</v>
      </c>
      <c r="J322" s="3">
        <v>70</v>
      </c>
      <c r="K322" s="3">
        <v>65</v>
      </c>
      <c r="L322" s="3">
        <v>65</v>
      </c>
      <c r="M322" s="3">
        <v>45</v>
      </c>
      <c r="N322" s="3">
        <f>AVERAGE($I$2:$I$1168)</f>
        <v>78.907455012853475</v>
      </c>
      <c r="O322" s="3" t="str">
        <f>CONCATENATE(A322,"-",B322)</f>
        <v>206-Dunsparce</v>
      </c>
    </row>
    <row r="323" spans="1:15">
      <c r="A323" s="63">
        <v>207</v>
      </c>
      <c r="B323" s="2" t="s">
        <v>251</v>
      </c>
      <c r="C323" t="s">
        <v>55</v>
      </c>
      <c r="D323" s="22">
        <f>COUNTIF($C$2:$C$1168,Tabela1[[#This Row],[Type]])</f>
        <v>62</v>
      </c>
      <c r="E323" s="62" t="str">
        <f>IF(A323&lt;=151,"Kanto",IF(A323&lt;=251,"Johto",IF(A323&lt;=386,"Hoenn",IF(A323&lt;=493,"Sinnoh",IF(A323&lt;=649,"Unova",IF(A323&lt;=721,"Kalos",IF(A323&lt;=809,"Alola",IF(A323&lt;=905,"Galar","Paldea"))))))))</f>
        <v>Johto</v>
      </c>
      <c r="F323" t="str">
        <f>IF(G323&gt;=600,"Lendário",IF(G323&gt;=500,"Forte","Normal"))</f>
        <v>Normal</v>
      </c>
      <c r="G323" s="3">
        <v>430</v>
      </c>
      <c r="H323" s="3">
        <v>65</v>
      </c>
      <c r="I323" s="3">
        <v>75</v>
      </c>
      <c r="J323" s="3">
        <v>105</v>
      </c>
      <c r="K323" s="3">
        <v>35</v>
      </c>
      <c r="L323" s="3">
        <v>65</v>
      </c>
      <c r="M323" s="3">
        <v>85</v>
      </c>
      <c r="N323" s="3">
        <f>AVERAGE($I$2:$I$1168)</f>
        <v>78.907455012853475</v>
      </c>
      <c r="O323" s="3" t="str">
        <f>CONCATENATE(A323,"-",B323)</f>
        <v>207-Gligar</v>
      </c>
    </row>
    <row r="324" spans="1:15">
      <c r="A324" s="63">
        <v>207</v>
      </c>
      <c r="B324" s="2" t="str">
        <f>B323</f>
        <v>Gligar</v>
      </c>
      <c r="C324" t="s">
        <v>25</v>
      </c>
      <c r="D324" s="22">
        <f>COUNTIF($C$2:$C$1168,Tabela1[[#This Row],[Type]])</f>
        <v>100</v>
      </c>
      <c r="E324" s="62" t="str">
        <f>IF(A324&lt;=151,"Kanto",IF(A324&lt;=251,"Johto",IF(A324&lt;=386,"Hoenn",IF(A324&lt;=493,"Sinnoh",IF(A324&lt;=649,"Unova",IF(A324&lt;=721,"Kalos",IF(A324&lt;=809,"Alola",IF(A324&lt;=905,"Galar","Paldea"))))))))</f>
        <v>Johto</v>
      </c>
      <c r="F324" t="str">
        <f>IF(G324&gt;=600,"Lendário",IF(G324&gt;=500,"Forte","Normal"))</f>
        <v>Normal</v>
      </c>
      <c r="G324" s="3">
        <f>G323</f>
        <v>430</v>
      </c>
      <c r="H324" s="3">
        <f>H323</f>
        <v>65</v>
      </c>
      <c r="I324" s="3">
        <f>I323</f>
        <v>75</v>
      </c>
      <c r="J324" s="3">
        <f>J323</f>
        <v>105</v>
      </c>
      <c r="K324" s="3">
        <f>K323</f>
        <v>35</v>
      </c>
      <c r="L324" s="3">
        <f>L323</f>
        <v>65</v>
      </c>
      <c r="M324" s="3">
        <f>M323</f>
        <v>85</v>
      </c>
      <c r="N324" s="3">
        <f>AVERAGE($I$2:$I$1168)</f>
        <v>78.907455012853475</v>
      </c>
      <c r="O324" s="3" t="str">
        <f>CONCATENATE(A324,"-",B324)</f>
        <v>207-Gligar</v>
      </c>
    </row>
    <row r="325" spans="1:15">
      <c r="A325" s="63">
        <v>208</v>
      </c>
      <c r="B325" s="2" t="s">
        <v>252</v>
      </c>
      <c r="C325" t="s">
        <v>115</v>
      </c>
      <c r="D325" s="22">
        <f>COUNTIF($C$2:$C$1168,Tabela1[[#This Row],[Type]])</f>
        <v>48</v>
      </c>
      <c r="E325" s="62" t="str">
        <f>IF(A325&lt;=151,"Kanto",IF(A325&lt;=251,"Johto",IF(A325&lt;=386,"Hoenn",IF(A325&lt;=493,"Sinnoh",IF(A325&lt;=649,"Unova",IF(A325&lt;=721,"Kalos",IF(A325&lt;=809,"Alola",IF(A325&lt;=905,"Galar","Paldea"))))))))</f>
        <v>Johto</v>
      </c>
      <c r="F325" t="str">
        <f>IF(G325&gt;=600,"Lendário",IF(G325&gt;=500,"Forte","Normal"))</f>
        <v>Forte</v>
      </c>
      <c r="G325" s="3">
        <v>510</v>
      </c>
      <c r="H325" s="3">
        <v>75</v>
      </c>
      <c r="I325" s="3">
        <v>85</v>
      </c>
      <c r="J325" s="3">
        <v>200</v>
      </c>
      <c r="K325" s="3">
        <v>55</v>
      </c>
      <c r="L325" s="3">
        <v>65</v>
      </c>
      <c r="M325" s="3">
        <v>30</v>
      </c>
      <c r="N325" s="3">
        <f>AVERAGE($I$2:$I$1168)</f>
        <v>78.907455012853475</v>
      </c>
      <c r="O325" s="3" t="str">
        <f>CONCATENATE(A325,"-",B325)</f>
        <v>208-Steelix</v>
      </c>
    </row>
    <row r="326" spans="1:15">
      <c r="A326" s="63">
        <v>208</v>
      </c>
      <c r="B326" s="2" t="str">
        <f>B325</f>
        <v>Steelix</v>
      </c>
      <c r="C326" t="s">
        <v>55</v>
      </c>
      <c r="D326" s="22">
        <f>COUNTIF($C$2:$C$1168,Tabela1[[#This Row],[Type]])</f>
        <v>62</v>
      </c>
      <c r="E326" s="62" t="str">
        <f>IF(A326&lt;=151,"Kanto",IF(A326&lt;=251,"Johto",IF(A326&lt;=386,"Hoenn",IF(A326&lt;=493,"Sinnoh",IF(A326&lt;=649,"Unova",IF(A326&lt;=721,"Kalos",IF(A326&lt;=809,"Alola",IF(A326&lt;=905,"Galar","Paldea"))))))))</f>
        <v>Johto</v>
      </c>
      <c r="F326" t="str">
        <f>IF(G326&gt;=600,"Lendário",IF(G326&gt;=500,"Forte","Normal"))</f>
        <v>Forte</v>
      </c>
      <c r="G326" s="3">
        <f>G325</f>
        <v>510</v>
      </c>
      <c r="H326" s="3">
        <f>H325</f>
        <v>75</v>
      </c>
      <c r="I326" s="3">
        <f>I325</f>
        <v>85</v>
      </c>
      <c r="J326" s="3">
        <f>J325</f>
        <v>200</v>
      </c>
      <c r="K326" s="3">
        <f>K325</f>
        <v>55</v>
      </c>
      <c r="L326" s="3">
        <f>L325</f>
        <v>65</v>
      </c>
      <c r="M326" s="3">
        <f>M325</f>
        <v>30</v>
      </c>
      <c r="N326" s="3">
        <f>AVERAGE($I$2:$I$1168)</f>
        <v>78.907455012853475</v>
      </c>
      <c r="O326" s="3" t="str">
        <f>CONCATENATE(A326,"-",B326)</f>
        <v>208-Steelix</v>
      </c>
    </row>
    <row r="327" spans="1:15">
      <c r="A327" s="63">
        <v>209</v>
      </c>
      <c r="B327" s="2" t="s">
        <v>253</v>
      </c>
      <c r="C327" t="s">
        <v>64</v>
      </c>
      <c r="D327" s="22">
        <f>COUNTIF($C$2:$C$1168,Tabela1[[#This Row],[Type]])</f>
        <v>34</v>
      </c>
      <c r="E327" s="62" t="str">
        <f>IF(A327&lt;=151,"Kanto",IF(A327&lt;=251,"Johto",IF(A327&lt;=386,"Hoenn",IF(A327&lt;=493,"Sinnoh",IF(A327&lt;=649,"Unova",IF(A327&lt;=721,"Kalos",IF(A327&lt;=809,"Alola",IF(A327&lt;=905,"Galar","Paldea"))))))))</f>
        <v>Johto</v>
      </c>
      <c r="F327" t="str">
        <f>IF(G327&gt;=600,"Lendário",IF(G327&gt;=500,"Forte","Normal"))</f>
        <v>Normal</v>
      </c>
      <c r="G327" s="3">
        <v>300</v>
      </c>
      <c r="H327" s="3">
        <v>60</v>
      </c>
      <c r="I327" s="3">
        <v>80</v>
      </c>
      <c r="J327" s="3">
        <v>50</v>
      </c>
      <c r="K327" s="3">
        <v>40</v>
      </c>
      <c r="L327" s="3">
        <v>40</v>
      </c>
      <c r="M327" s="3">
        <v>30</v>
      </c>
      <c r="N327" s="3">
        <f>AVERAGE($I$2:$I$1168)</f>
        <v>78.907455012853475</v>
      </c>
      <c r="O327" s="3" t="str">
        <f>CONCATENATE(A327,"-",B327)</f>
        <v>209-Snubbull</v>
      </c>
    </row>
    <row r="328" spans="1:15">
      <c r="A328" s="63">
        <v>210</v>
      </c>
      <c r="B328" s="2" t="s">
        <v>254</v>
      </c>
      <c r="C328" t="s">
        <v>64</v>
      </c>
      <c r="D328" s="22">
        <f>COUNTIF($C$2:$C$1168,Tabela1[[#This Row],[Type]])</f>
        <v>34</v>
      </c>
      <c r="E328" s="62" t="str">
        <f>IF(A328&lt;=151,"Kanto",IF(A328&lt;=251,"Johto",IF(A328&lt;=386,"Hoenn",IF(A328&lt;=493,"Sinnoh",IF(A328&lt;=649,"Unova",IF(A328&lt;=721,"Kalos",IF(A328&lt;=809,"Alola",IF(A328&lt;=905,"Galar","Paldea"))))))))</f>
        <v>Johto</v>
      </c>
      <c r="F328" t="str">
        <f>IF(G328&gt;=600,"Lendário",IF(G328&gt;=500,"Forte","Normal"))</f>
        <v>Normal</v>
      </c>
      <c r="G328" s="3">
        <v>450</v>
      </c>
      <c r="H328" s="3">
        <v>90</v>
      </c>
      <c r="I328" s="3">
        <v>120</v>
      </c>
      <c r="J328" s="3">
        <v>75</v>
      </c>
      <c r="K328" s="3">
        <v>60</v>
      </c>
      <c r="L328" s="3">
        <v>60</v>
      </c>
      <c r="M328" s="3">
        <v>45</v>
      </c>
      <c r="N328" s="3">
        <f>AVERAGE($I$2:$I$1168)</f>
        <v>78.907455012853475</v>
      </c>
      <c r="O328" s="3" t="str">
        <f>CONCATENATE(A328,"-",B328)</f>
        <v>210-Granbull</v>
      </c>
    </row>
    <row r="329" spans="1:15">
      <c r="A329" s="63">
        <v>211</v>
      </c>
      <c r="B329" s="2" t="s">
        <v>255</v>
      </c>
      <c r="C329" t="s">
        <v>30</v>
      </c>
      <c r="D329" s="22">
        <f>COUNTIF($C$2:$C$1168,Tabela1[[#This Row],[Type]])</f>
        <v>121</v>
      </c>
      <c r="E329" s="62" t="str">
        <f>IF(A329&lt;=151,"Kanto",IF(A329&lt;=251,"Johto",IF(A329&lt;=386,"Hoenn",IF(A329&lt;=493,"Sinnoh",IF(A329&lt;=649,"Unova",IF(A329&lt;=721,"Kalos",IF(A329&lt;=809,"Alola",IF(A329&lt;=905,"Galar","Paldea"))))))))</f>
        <v>Johto</v>
      </c>
      <c r="F329" t="str">
        <f>IF(G329&gt;=600,"Lendário",IF(G329&gt;=500,"Forte","Normal"))</f>
        <v>Normal</v>
      </c>
      <c r="G329" s="3">
        <v>430</v>
      </c>
      <c r="H329" s="3">
        <v>65</v>
      </c>
      <c r="I329" s="3">
        <v>95</v>
      </c>
      <c r="J329" s="3">
        <v>75</v>
      </c>
      <c r="K329" s="3">
        <v>55</v>
      </c>
      <c r="L329" s="3">
        <v>55</v>
      </c>
      <c r="M329" s="3">
        <v>85</v>
      </c>
      <c r="N329" s="3">
        <f>AVERAGE($I$2:$I$1168)</f>
        <v>78.907455012853475</v>
      </c>
      <c r="O329" s="3" t="str">
        <f>CONCATENATE(A329,"-",B329)</f>
        <v>211-Qwilfish</v>
      </c>
    </row>
    <row r="330" spans="1:15">
      <c r="A330" s="63">
        <v>211</v>
      </c>
      <c r="B330" s="2" t="str">
        <f>B329</f>
        <v>Qwilfish</v>
      </c>
      <c r="C330" t="s">
        <v>17</v>
      </c>
      <c r="D330" s="22">
        <f>COUNTIF($C$2:$C$1168,Tabela1[[#This Row],[Type]])</f>
        <v>61</v>
      </c>
      <c r="E330" s="62" t="str">
        <f>IF(A330&lt;=151,"Kanto",IF(A330&lt;=251,"Johto",IF(A330&lt;=386,"Hoenn",IF(A330&lt;=493,"Sinnoh",IF(A330&lt;=649,"Unova",IF(A330&lt;=721,"Kalos",IF(A330&lt;=809,"Alola",IF(A330&lt;=905,"Galar","Paldea"))))))))</f>
        <v>Johto</v>
      </c>
      <c r="F330" t="str">
        <f>IF(G330&gt;=600,"Lendário",IF(G330&gt;=500,"Forte","Normal"))</f>
        <v>Normal</v>
      </c>
      <c r="G330" s="3">
        <f>G329</f>
        <v>430</v>
      </c>
      <c r="H330" s="3">
        <f>H329</f>
        <v>65</v>
      </c>
      <c r="I330" s="3">
        <f>I329</f>
        <v>95</v>
      </c>
      <c r="J330" s="3">
        <f>J329</f>
        <v>75</v>
      </c>
      <c r="K330" s="3">
        <f>K329</f>
        <v>55</v>
      </c>
      <c r="L330" s="3">
        <f>L329</f>
        <v>55</v>
      </c>
      <c r="M330" s="3">
        <f>M329</f>
        <v>85</v>
      </c>
      <c r="N330" s="3">
        <f>AVERAGE($I$2:$I$1168)</f>
        <v>78.907455012853475</v>
      </c>
      <c r="O330" s="3" t="str">
        <f>CONCATENATE(A330,"-",B330)</f>
        <v>211-Qwilfish</v>
      </c>
    </row>
    <row r="331" spans="1:15">
      <c r="A331" s="63">
        <v>212</v>
      </c>
      <c r="B331" s="2" t="s">
        <v>256</v>
      </c>
      <c r="C331" t="s">
        <v>35</v>
      </c>
      <c r="D331" s="22">
        <f>COUNTIF($C$2:$C$1168,Tabela1[[#This Row],[Type]])</f>
        <v>71</v>
      </c>
      <c r="E331" s="62" t="str">
        <f>IF(A331&lt;=151,"Kanto",IF(A331&lt;=251,"Johto",IF(A331&lt;=386,"Hoenn",IF(A331&lt;=493,"Sinnoh",IF(A331&lt;=649,"Unova",IF(A331&lt;=721,"Kalos",IF(A331&lt;=809,"Alola",IF(A331&lt;=905,"Galar","Paldea"))))))))</f>
        <v>Johto</v>
      </c>
      <c r="F331" t="str">
        <f>IF(G331&gt;=600,"Lendário",IF(G331&gt;=500,"Forte","Normal"))</f>
        <v>Forte</v>
      </c>
      <c r="G331" s="3">
        <v>500</v>
      </c>
      <c r="H331" s="3">
        <v>70</v>
      </c>
      <c r="I331" s="3">
        <v>130</v>
      </c>
      <c r="J331" s="3">
        <v>100</v>
      </c>
      <c r="K331" s="3">
        <v>55</v>
      </c>
      <c r="L331" s="3">
        <v>80</v>
      </c>
      <c r="M331" s="3">
        <v>65</v>
      </c>
      <c r="N331" s="3">
        <f>AVERAGE($I$2:$I$1168)</f>
        <v>78.907455012853475</v>
      </c>
      <c r="O331" s="3" t="str">
        <f>CONCATENATE(A331,"-",B331)</f>
        <v>212-Scizor</v>
      </c>
    </row>
    <row r="332" spans="1:15">
      <c r="A332" s="63">
        <v>212</v>
      </c>
      <c r="B332" s="2" t="str">
        <f>B331</f>
        <v>Scizor</v>
      </c>
      <c r="C332" t="s">
        <v>115</v>
      </c>
      <c r="D332" s="22">
        <f>COUNTIF($C$2:$C$1168,Tabela1[[#This Row],[Type]])</f>
        <v>48</v>
      </c>
      <c r="E332" s="62" t="str">
        <f>IF(A332&lt;=151,"Kanto",IF(A332&lt;=251,"Johto",IF(A332&lt;=386,"Hoenn",IF(A332&lt;=493,"Sinnoh",IF(A332&lt;=649,"Unova",IF(A332&lt;=721,"Kalos",IF(A332&lt;=809,"Alola",IF(A332&lt;=905,"Galar","Paldea"))))))))</f>
        <v>Johto</v>
      </c>
      <c r="F332" t="str">
        <f>IF(G332&gt;=600,"Lendário",IF(G332&gt;=500,"Forte","Normal"))</f>
        <v>Forte</v>
      </c>
      <c r="G332" s="3">
        <f>G331</f>
        <v>500</v>
      </c>
      <c r="H332" s="3">
        <f>H331</f>
        <v>70</v>
      </c>
      <c r="I332" s="3">
        <f>I331</f>
        <v>130</v>
      </c>
      <c r="J332" s="3">
        <f>J331</f>
        <v>100</v>
      </c>
      <c r="K332" s="3">
        <f>K331</f>
        <v>55</v>
      </c>
      <c r="L332" s="3">
        <f>L331</f>
        <v>80</v>
      </c>
      <c r="M332" s="3">
        <f>M331</f>
        <v>65</v>
      </c>
      <c r="N332" s="3">
        <f>AVERAGE($I$2:$I$1168)</f>
        <v>78.907455012853475</v>
      </c>
      <c r="O332" s="3" t="str">
        <f>CONCATENATE(A332,"-",B332)</f>
        <v>212-Scizor</v>
      </c>
    </row>
    <row r="333" spans="1:15">
      <c r="A333" s="63">
        <v>212.1</v>
      </c>
      <c r="B333" s="2" t="s">
        <v>257</v>
      </c>
      <c r="C333" t="s">
        <v>35</v>
      </c>
      <c r="D333" s="22">
        <f>COUNTIF($C$2:$C$1168,Tabela1[[#This Row],[Type]])</f>
        <v>71</v>
      </c>
      <c r="E333" s="62" t="str">
        <f>IF(A333&lt;=151,"Kanto",IF(A333&lt;=251,"Johto",IF(A333&lt;=386,"Hoenn",IF(A333&lt;=493,"Sinnoh",IF(A333&lt;=649,"Unova",IF(A333&lt;=721,"Kalos",IF(A333&lt;=809,"Alola",IF(A333&lt;=905,"Galar","Paldea"))))))))</f>
        <v>Johto</v>
      </c>
      <c r="F333" t="str">
        <f>IF(G333&gt;=600,"Lendário",IF(G333&gt;=500,"Forte","Normal"))</f>
        <v>Lendário</v>
      </c>
      <c r="G333" s="3">
        <v>600</v>
      </c>
      <c r="H333" s="3">
        <v>70</v>
      </c>
      <c r="I333" s="3">
        <v>150</v>
      </c>
      <c r="J333" s="3">
        <v>140</v>
      </c>
      <c r="K333" s="3">
        <v>65</v>
      </c>
      <c r="L333" s="3">
        <v>100</v>
      </c>
      <c r="M333" s="3">
        <v>75</v>
      </c>
      <c r="N333" s="3">
        <f>AVERAGE($I$2:$I$1168)</f>
        <v>78.907455012853475</v>
      </c>
      <c r="O333" s="3" t="str">
        <f>CONCATENATE(A333,"-",B333)</f>
        <v>212,1-Mega Scizor</v>
      </c>
    </row>
    <row r="334" spans="1:15">
      <c r="A334" s="63">
        <v>212.1</v>
      </c>
      <c r="B334" s="2" t="s">
        <v>257</v>
      </c>
      <c r="C334" t="s">
        <v>115</v>
      </c>
      <c r="D334" s="22">
        <f>COUNTIF($C$2:$C$1168,Tabela1[[#This Row],[Type]])</f>
        <v>48</v>
      </c>
      <c r="E334" s="62" t="str">
        <f>IF(A334&lt;=151,"Kanto",IF(A334&lt;=251,"Johto",IF(A334&lt;=386,"Hoenn",IF(A334&lt;=493,"Sinnoh",IF(A334&lt;=649,"Unova",IF(A334&lt;=721,"Kalos",IF(A334&lt;=809,"Alola",IF(A334&lt;=905,"Galar","Paldea"))))))))</f>
        <v>Johto</v>
      </c>
      <c r="F334" t="str">
        <f>IF(G334&gt;=600,"Lendário",IF(G334&gt;=500,"Forte","Normal"))</f>
        <v>Lendário</v>
      </c>
      <c r="G334" s="3">
        <f>G333</f>
        <v>600</v>
      </c>
      <c r="H334" s="3">
        <f>H333</f>
        <v>70</v>
      </c>
      <c r="I334" s="3">
        <f>I333</f>
        <v>150</v>
      </c>
      <c r="J334" s="3">
        <f>J333</f>
        <v>140</v>
      </c>
      <c r="K334" s="3">
        <f>K333</f>
        <v>65</v>
      </c>
      <c r="L334" s="3">
        <f>L333</f>
        <v>100</v>
      </c>
      <c r="M334" s="3">
        <f>M333</f>
        <v>75</v>
      </c>
      <c r="N334" s="3">
        <f>AVERAGE($I$2:$I$1168)</f>
        <v>78.907455012853475</v>
      </c>
      <c r="O334" s="3" t="str">
        <f>CONCATENATE(A334,"-",B334)</f>
        <v>212,1-Mega Scizor</v>
      </c>
    </row>
    <row r="335" spans="1:15">
      <c r="A335" s="63">
        <v>213</v>
      </c>
      <c r="B335" s="2" t="s">
        <v>258</v>
      </c>
      <c r="C335" t="s">
        <v>35</v>
      </c>
      <c r="D335" s="22">
        <f>COUNTIF($C$2:$C$1168,Tabela1[[#This Row],[Type]])</f>
        <v>71</v>
      </c>
      <c r="E335" s="62" t="str">
        <f>IF(A335&lt;=151,"Kanto",IF(A335&lt;=251,"Johto",IF(A335&lt;=386,"Hoenn",IF(A335&lt;=493,"Sinnoh",IF(A335&lt;=649,"Unova",IF(A335&lt;=721,"Kalos",IF(A335&lt;=809,"Alola",IF(A335&lt;=905,"Galar","Paldea"))))))))</f>
        <v>Johto</v>
      </c>
      <c r="F335" t="str">
        <f>IF(G335&gt;=600,"Lendário",IF(G335&gt;=500,"Forte","Normal"))</f>
        <v>Forte</v>
      </c>
      <c r="G335" s="3">
        <v>505</v>
      </c>
      <c r="H335" s="3">
        <v>20</v>
      </c>
      <c r="I335" s="3">
        <v>10</v>
      </c>
      <c r="J335" s="3">
        <v>230</v>
      </c>
      <c r="K335" s="3">
        <v>10</v>
      </c>
      <c r="L335" s="3">
        <v>230</v>
      </c>
      <c r="M335" s="3">
        <v>5</v>
      </c>
      <c r="N335" s="3">
        <f>AVERAGE($I$2:$I$1168)</f>
        <v>78.907455012853475</v>
      </c>
      <c r="O335" s="3" t="str">
        <f>CONCATENATE(A335,"-",B335)</f>
        <v>213-Shuckle</v>
      </c>
    </row>
    <row r="336" spans="1:15">
      <c r="A336" s="63">
        <v>213</v>
      </c>
      <c r="B336" s="2" t="str">
        <f>B335</f>
        <v>Shuckle</v>
      </c>
      <c r="C336" t="s">
        <v>107</v>
      </c>
      <c r="D336" s="22">
        <f>COUNTIF($C$2:$C$1168,Tabela1[[#This Row],[Type]])</f>
        <v>56</v>
      </c>
      <c r="E336" s="62" t="str">
        <f>IF(A336&lt;=151,"Kanto",IF(A336&lt;=251,"Johto",IF(A336&lt;=386,"Hoenn",IF(A336&lt;=493,"Sinnoh",IF(A336&lt;=649,"Unova",IF(A336&lt;=721,"Kalos",IF(A336&lt;=809,"Alola",IF(A336&lt;=905,"Galar","Paldea"))))))))</f>
        <v>Johto</v>
      </c>
      <c r="F336" t="str">
        <f>IF(G336&gt;=600,"Lendário",IF(G336&gt;=500,"Forte","Normal"))</f>
        <v>Forte</v>
      </c>
      <c r="G336" s="3">
        <f>G335</f>
        <v>505</v>
      </c>
      <c r="H336" s="3">
        <f>H335</f>
        <v>20</v>
      </c>
      <c r="I336" s="3">
        <f>I335</f>
        <v>10</v>
      </c>
      <c r="J336" s="3">
        <f>J335</f>
        <v>230</v>
      </c>
      <c r="K336" s="3">
        <f>K335</f>
        <v>10</v>
      </c>
      <c r="L336" s="3">
        <f>L335</f>
        <v>230</v>
      </c>
      <c r="M336" s="3">
        <f>M335</f>
        <v>5</v>
      </c>
      <c r="N336" s="3">
        <f>AVERAGE($I$2:$I$1168)</f>
        <v>78.907455012853475</v>
      </c>
      <c r="O336" s="3" t="str">
        <f>CONCATENATE(A336,"-",B336)</f>
        <v>213-Shuckle</v>
      </c>
    </row>
    <row r="337" spans="1:15">
      <c r="A337" s="63">
        <v>214</v>
      </c>
      <c r="B337" s="2" t="s">
        <v>259</v>
      </c>
      <c r="C337" t="s">
        <v>35</v>
      </c>
      <c r="D337" s="22">
        <f>COUNTIF($C$2:$C$1168,Tabela1[[#This Row],[Type]])</f>
        <v>71</v>
      </c>
      <c r="E337" s="62" t="str">
        <f>IF(A337&lt;=151,"Kanto",IF(A337&lt;=251,"Johto",IF(A337&lt;=386,"Hoenn",IF(A337&lt;=493,"Sinnoh",IF(A337&lt;=649,"Unova",IF(A337&lt;=721,"Kalos",IF(A337&lt;=809,"Alola",IF(A337&lt;=905,"Galar","Paldea"))))))))</f>
        <v>Johto</v>
      </c>
      <c r="F337" t="str">
        <f>IF(G337&gt;=600,"Lendário",IF(G337&gt;=500,"Forte","Normal"))</f>
        <v>Forte</v>
      </c>
      <c r="G337" s="3">
        <v>500</v>
      </c>
      <c r="H337" s="3">
        <v>80</v>
      </c>
      <c r="I337" s="3">
        <v>125</v>
      </c>
      <c r="J337" s="3">
        <v>75</v>
      </c>
      <c r="K337" s="3">
        <v>40</v>
      </c>
      <c r="L337" s="3">
        <v>95</v>
      </c>
      <c r="M337" s="3">
        <v>85</v>
      </c>
      <c r="N337" s="3">
        <f>AVERAGE($I$2:$I$1168)</f>
        <v>78.907455012853475</v>
      </c>
      <c r="O337" s="3" t="str">
        <f>CONCATENATE(A337,"-",B337)</f>
        <v>214-Heracross</v>
      </c>
    </row>
    <row r="338" spans="1:15">
      <c r="A338" s="63">
        <v>214</v>
      </c>
      <c r="B338" s="2" t="str">
        <f>B337</f>
        <v>Heracross</v>
      </c>
      <c r="C338" t="s">
        <v>86</v>
      </c>
      <c r="D338" s="22">
        <f>COUNTIF($C$2:$C$1168,Tabela1[[#This Row],[Type]])</f>
        <v>51</v>
      </c>
      <c r="E338" s="62" t="str">
        <f>IF(A338&lt;=151,"Kanto",IF(A338&lt;=251,"Johto",IF(A338&lt;=386,"Hoenn",IF(A338&lt;=493,"Sinnoh",IF(A338&lt;=649,"Unova",IF(A338&lt;=721,"Kalos",IF(A338&lt;=809,"Alola",IF(A338&lt;=905,"Galar","Paldea"))))))))</f>
        <v>Johto</v>
      </c>
      <c r="F338" t="str">
        <f>IF(G338&gt;=600,"Lendário",IF(G338&gt;=500,"Forte","Normal"))</f>
        <v>Forte</v>
      </c>
      <c r="G338" s="3">
        <f>G337</f>
        <v>500</v>
      </c>
      <c r="H338" s="3">
        <f>H337</f>
        <v>80</v>
      </c>
      <c r="I338" s="3">
        <f>I337</f>
        <v>125</v>
      </c>
      <c r="J338" s="3">
        <f>J337</f>
        <v>75</v>
      </c>
      <c r="K338" s="3">
        <f>K337</f>
        <v>40</v>
      </c>
      <c r="L338" s="3">
        <f>L337</f>
        <v>95</v>
      </c>
      <c r="M338" s="3">
        <f>M337</f>
        <v>85</v>
      </c>
      <c r="N338" s="3">
        <f>AVERAGE($I$2:$I$1168)</f>
        <v>78.907455012853475</v>
      </c>
      <c r="O338" s="3" t="str">
        <f>CONCATENATE(A338,"-",B338)</f>
        <v>214-Heracross</v>
      </c>
    </row>
    <row r="339" spans="1:15">
      <c r="A339" s="63">
        <v>214.1</v>
      </c>
      <c r="B339" s="2" t="s">
        <v>260</v>
      </c>
      <c r="C339" t="s">
        <v>35</v>
      </c>
      <c r="D339" s="22">
        <f>COUNTIF($C$2:$C$1168,Tabela1[[#This Row],[Type]])</f>
        <v>71</v>
      </c>
      <c r="E339" s="62" t="str">
        <f>IF(A339&lt;=151,"Kanto",IF(A339&lt;=251,"Johto",IF(A339&lt;=386,"Hoenn",IF(A339&lt;=493,"Sinnoh",IF(A339&lt;=649,"Unova",IF(A339&lt;=721,"Kalos",IF(A339&lt;=809,"Alola",IF(A339&lt;=905,"Galar","Paldea"))))))))</f>
        <v>Johto</v>
      </c>
      <c r="F339" t="str">
        <f>IF(G339&gt;=600,"Lendário",IF(G339&gt;=500,"Forte","Normal"))</f>
        <v>Lendário</v>
      </c>
      <c r="G339" s="3">
        <v>600</v>
      </c>
      <c r="H339" s="3">
        <v>80</v>
      </c>
      <c r="I339" s="3">
        <v>185</v>
      </c>
      <c r="J339" s="3">
        <v>115</v>
      </c>
      <c r="K339" s="3">
        <v>40</v>
      </c>
      <c r="L339" s="3">
        <v>105</v>
      </c>
      <c r="M339" s="3">
        <v>75</v>
      </c>
      <c r="N339" s="3">
        <f>AVERAGE($I$2:$I$1168)</f>
        <v>78.907455012853475</v>
      </c>
      <c r="O339" s="3" t="str">
        <f>CONCATENATE(A339,"-",B339)</f>
        <v>214,1-Mega Heracross</v>
      </c>
    </row>
    <row r="340" spans="1:15">
      <c r="A340" s="63">
        <v>214.1</v>
      </c>
      <c r="B340" s="2" t="s">
        <v>260</v>
      </c>
      <c r="C340" t="s">
        <v>86</v>
      </c>
      <c r="D340" s="22">
        <f>COUNTIF($C$2:$C$1168,Tabela1[[#This Row],[Type]])</f>
        <v>51</v>
      </c>
      <c r="E340" s="62" t="str">
        <f>IF(A340&lt;=151,"Kanto",IF(A340&lt;=251,"Johto",IF(A340&lt;=386,"Hoenn",IF(A340&lt;=493,"Sinnoh",IF(A340&lt;=649,"Unova",IF(A340&lt;=721,"Kalos",IF(A340&lt;=809,"Alola",IF(A340&lt;=905,"Galar","Paldea"))))))))</f>
        <v>Johto</v>
      </c>
      <c r="F340" t="str">
        <f>IF(G340&gt;=600,"Lendário",IF(G340&gt;=500,"Forte","Normal"))</f>
        <v>Lendário</v>
      </c>
      <c r="G340" s="3">
        <f>G339</f>
        <v>600</v>
      </c>
      <c r="H340" s="3">
        <f>H339</f>
        <v>80</v>
      </c>
      <c r="I340" s="3">
        <f>I339</f>
        <v>185</v>
      </c>
      <c r="J340" s="3">
        <f>J339</f>
        <v>115</v>
      </c>
      <c r="K340" s="3">
        <f>K339</f>
        <v>40</v>
      </c>
      <c r="L340" s="3">
        <f>L339</f>
        <v>105</v>
      </c>
      <c r="M340" s="3">
        <f>M339</f>
        <v>75</v>
      </c>
      <c r="N340" s="3">
        <f>AVERAGE($I$2:$I$1168)</f>
        <v>78.907455012853475</v>
      </c>
      <c r="O340" s="3" t="str">
        <f>CONCATENATE(A340,"-",B340)</f>
        <v>214,1-Mega Heracross</v>
      </c>
    </row>
    <row r="341" spans="1:15">
      <c r="A341" s="63">
        <v>215</v>
      </c>
      <c r="B341" s="2" t="s">
        <v>261</v>
      </c>
      <c r="C341" t="s">
        <v>170</v>
      </c>
      <c r="D341" s="22">
        <f>COUNTIF($C$2:$C$1168,Tabela1[[#This Row],[Type]])</f>
        <v>49</v>
      </c>
      <c r="E341" s="62" t="str">
        <f>IF(A341&lt;=151,"Kanto",IF(A341&lt;=251,"Johto",IF(A341&lt;=386,"Hoenn",IF(A341&lt;=493,"Sinnoh",IF(A341&lt;=649,"Unova",IF(A341&lt;=721,"Kalos",IF(A341&lt;=809,"Alola",IF(A341&lt;=905,"Galar","Paldea"))))))))</f>
        <v>Johto</v>
      </c>
      <c r="F341" t="str">
        <f>IF(G341&gt;=600,"Lendário",IF(G341&gt;=500,"Forte","Normal"))</f>
        <v>Normal</v>
      </c>
      <c r="G341" s="3">
        <v>430</v>
      </c>
      <c r="H341" s="3">
        <v>55</v>
      </c>
      <c r="I341" s="3">
        <v>95</v>
      </c>
      <c r="J341" s="3">
        <v>55</v>
      </c>
      <c r="K341" s="3">
        <v>35</v>
      </c>
      <c r="L341" s="3">
        <v>75</v>
      </c>
      <c r="M341" s="3">
        <v>115</v>
      </c>
      <c r="N341" s="3">
        <f>AVERAGE($I$2:$I$1168)</f>
        <v>78.907455012853475</v>
      </c>
      <c r="O341" s="3" t="str">
        <f>CONCATENATE(A341,"-",B341)</f>
        <v>215-Sneasel</v>
      </c>
    </row>
    <row r="342" spans="1:15">
      <c r="A342" s="63">
        <v>215</v>
      </c>
      <c r="B342" s="2" t="str">
        <f>B341</f>
        <v>Sneasel</v>
      </c>
      <c r="C342" t="s">
        <v>122</v>
      </c>
      <c r="D342" s="22">
        <f>COUNTIF($C$2:$C$1168,Tabela1[[#This Row],[Type]])</f>
        <v>37</v>
      </c>
      <c r="E342" s="62" t="str">
        <f>IF(A342&lt;=151,"Kanto",IF(A342&lt;=251,"Johto",IF(A342&lt;=386,"Hoenn",IF(A342&lt;=493,"Sinnoh",IF(A342&lt;=649,"Unova",IF(A342&lt;=721,"Kalos",IF(A342&lt;=809,"Alola",IF(A342&lt;=905,"Galar","Paldea"))))))))</f>
        <v>Johto</v>
      </c>
      <c r="F342" t="str">
        <f>IF(G342&gt;=600,"Lendário",IF(G342&gt;=500,"Forte","Normal"))</f>
        <v>Normal</v>
      </c>
      <c r="G342" s="3">
        <f>G341</f>
        <v>430</v>
      </c>
      <c r="H342" s="3">
        <f>H341</f>
        <v>55</v>
      </c>
      <c r="I342" s="3">
        <f>I341</f>
        <v>95</v>
      </c>
      <c r="J342" s="3">
        <f>J341</f>
        <v>55</v>
      </c>
      <c r="K342" s="3">
        <f>K341</f>
        <v>35</v>
      </c>
      <c r="L342" s="3">
        <f>L341</f>
        <v>75</v>
      </c>
      <c r="M342" s="3">
        <f>M341</f>
        <v>115</v>
      </c>
      <c r="N342" s="3">
        <f>AVERAGE($I$2:$I$1168)</f>
        <v>78.907455012853475</v>
      </c>
      <c r="O342" s="3" t="str">
        <f>CONCATENATE(A342,"-",B342)</f>
        <v>215-Sneasel</v>
      </c>
    </row>
    <row r="343" spans="1:15">
      <c r="A343" s="63">
        <v>216</v>
      </c>
      <c r="B343" s="2" t="s">
        <v>262</v>
      </c>
      <c r="C343" t="s">
        <v>42</v>
      </c>
      <c r="D343" s="22">
        <f>COUNTIF($C$2:$C$1168,Tabela1[[#This Row],[Type]])</f>
        <v>99</v>
      </c>
      <c r="E343" s="62" t="str">
        <f>IF(A343&lt;=151,"Kanto",IF(A343&lt;=251,"Johto",IF(A343&lt;=386,"Hoenn",IF(A343&lt;=493,"Sinnoh",IF(A343&lt;=649,"Unova",IF(A343&lt;=721,"Kalos",IF(A343&lt;=809,"Alola",IF(A343&lt;=905,"Galar","Paldea"))))))))</f>
        <v>Johto</v>
      </c>
      <c r="F343" t="str">
        <f>IF(G343&gt;=600,"Lendário",IF(G343&gt;=500,"Forte","Normal"))</f>
        <v>Normal</v>
      </c>
      <c r="G343" s="3">
        <v>330</v>
      </c>
      <c r="H343" s="3">
        <v>60</v>
      </c>
      <c r="I343" s="3">
        <v>80</v>
      </c>
      <c r="J343" s="3">
        <v>50</v>
      </c>
      <c r="K343" s="3">
        <v>50</v>
      </c>
      <c r="L343" s="3">
        <v>50</v>
      </c>
      <c r="M343" s="3">
        <v>40</v>
      </c>
      <c r="N343" s="3">
        <f>AVERAGE($I$2:$I$1168)</f>
        <v>78.907455012853475</v>
      </c>
      <c r="O343" s="3" t="str">
        <f>CONCATENATE(A343,"-",B343)</f>
        <v>216-Teddiursa</v>
      </c>
    </row>
    <row r="344" spans="1:15">
      <c r="A344" s="63">
        <v>217</v>
      </c>
      <c r="B344" s="2" t="s">
        <v>263</v>
      </c>
      <c r="C344" t="s">
        <v>42</v>
      </c>
      <c r="D344" s="22">
        <f>COUNTIF($C$2:$C$1168,Tabela1[[#This Row],[Type]])</f>
        <v>99</v>
      </c>
      <c r="E344" s="62" t="str">
        <f>IF(A344&lt;=151,"Kanto",IF(A344&lt;=251,"Johto",IF(A344&lt;=386,"Hoenn",IF(A344&lt;=493,"Sinnoh",IF(A344&lt;=649,"Unova",IF(A344&lt;=721,"Kalos",IF(A344&lt;=809,"Alola",IF(A344&lt;=905,"Galar","Paldea"))))))))</f>
        <v>Johto</v>
      </c>
      <c r="F344" t="str">
        <f>IF(G344&gt;=600,"Lendário",IF(G344&gt;=500,"Forte","Normal"))</f>
        <v>Forte</v>
      </c>
      <c r="G344" s="3">
        <v>500</v>
      </c>
      <c r="H344" s="3">
        <v>90</v>
      </c>
      <c r="I344" s="3">
        <v>130</v>
      </c>
      <c r="J344" s="3">
        <v>75</v>
      </c>
      <c r="K344" s="3">
        <v>75</v>
      </c>
      <c r="L344" s="3">
        <v>75</v>
      </c>
      <c r="M344" s="3">
        <v>55</v>
      </c>
      <c r="N344" s="3">
        <f>AVERAGE($I$2:$I$1168)</f>
        <v>78.907455012853475</v>
      </c>
      <c r="O344" s="3" t="str">
        <f>CONCATENATE(A344,"-",B344)</f>
        <v>217-Ursaring</v>
      </c>
    </row>
    <row r="345" spans="1:15">
      <c r="A345" s="63">
        <v>218</v>
      </c>
      <c r="B345" s="2" t="s">
        <v>264</v>
      </c>
      <c r="C345" t="s">
        <v>22</v>
      </c>
      <c r="D345" s="22">
        <f>COUNTIF($C$2:$C$1168,Tabela1[[#This Row],[Type]])</f>
        <v>62</v>
      </c>
      <c r="E345" s="62" t="str">
        <f>IF(A345&lt;=151,"Kanto",IF(A345&lt;=251,"Johto",IF(A345&lt;=386,"Hoenn",IF(A345&lt;=493,"Sinnoh",IF(A345&lt;=649,"Unova",IF(A345&lt;=721,"Kalos",IF(A345&lt;=809,"Alola",IF(A345&lt;=905,"Galar","Paldea"))))))))</f>
        <v>Johto</v>
      </c>
      <c r="F345" t="str">
        <f>IF(G345&gt;=600,"Lendário",IF(G345&gt;=500,"Forte","Normal"))</f>
        <v>Normal</v>
      </c>
      <c r="G345" s="3">
        <v>250</v>
      </c>
      <c r="H345" s="3">
        <v>40</v>
      </c>
      <c r="I345" s="3">
        <v>40</v>
      </c>
      <c r="J345" s="3">
        <v>40</v>
      </c>
      <c r="K345" s="3">
        <v>70</v>
      </c>
      <c r="L345" s="3">
        <v>40</v>
      </c>
      <c r="M345" s="3">
        <v>20</v>
      </c>
      <c r="N345" s="3">
        <f>AVERAGE($I$2:$I$1168)</f>
        <v>78.907455012853475</v>
      </c>
      <c r="O345" s="3" t="str">
        <f>CONCATENATE(A345,"-",B345)</f>
        <v>218-Slugma</v>
      </c>
    </row>
    <row r="346" spans="1:15">
      <c r="A346" s="63">
        <v>219</v>
      </c>
      <c r="B346" s="2" t="s">
        <v>265</v>
      </c>
      <c r="C346" t="s">
        <v>22</v>
      </c>
      <c r="D346" s="22">
        <f>COUNTIF($C$2:$C$1168,Tabela1[[#This Row],[Type]])</f>
        <v>62</v>
      </c>
      <c r="E346" s="62" t="str">
        <f>IF(A346&lt;=151,"Kanto",IF(A346&lt;=251,"Johto",IF(A346&lt;=386,"Hoenn",IF(A346&lt;=493,"Sinnoh",IF(A346&lt;=649,"Unova",IF(A346&lt;=721,"Kalos",IF(A346&lt;=809,"Alola",IF(A346&lt;=905,"Galar","Paldea"))))))))</f>
        <v>Johto</v>
      </c>
      <c r="F346" t="str">
        <f>IF(G346&gt;=600,"Lendário",IF(G346&gt;=500,"Forte","Normal"))</f>
        <v>Normal</v>
      </c>
      <c r="G346" s="3">
        <v>410</v>
      </c>
      <c r="H346" s="3">
        <v>50</v>
      </c>
      <c r="I346" s="3">
        <v>50</v>
      </c>
      <c r="J346" s="3">
        <v>120</v>
      </c>
      <c r="K346" s="3">
        <v>80</v>
      </c>
      <c r="L346" s="3">
        <v>80</v>
      </c>
      <c r="M346" s="3">
        <v>30</v>
      </c>
      <c r="N346" s="3">
        <f>AVERAGE($I$2:$I$1168)</f>
        <v>78.907455012853475</v>
      </c>
      <c r="O346" s="3" t="str">
        <f>CONCATENATE(A346,"-",B346)</f>
        <v>219-Magcargo</v>
      </c>
    </row>
    <row r="347" spans="1:15">
      <c r="A347" s="63">
        <v>219</v>
      </c>
      <c r="B347" s="2" t="str">
        <f>B346</f>
        <v>Magcargo</v>
      </c>
      <c r="C347" t="s">
        <v>107</v>
      </c>
      <c r="D347" s="22">
        <f>COUNTIF($C$2:$C$1168,Tabela1[[#This Row],[Type]])</f>
        <v>56</v>
      </c>
      <c r="E347" s="62" t="str">
        <f>IF(A347&lt;=151,"Kanto",IF(A347&lt;=251,"Johto",IF(A347&lt;=386,"Hoenn",IF(A347&lt;=493,"Sinnoh",IF(A347&lt;=649,"Unova",IF(A347&lt;=721,"Kalos",IF(A347&lt;=809,"Alola",IF(A347&lt;=905,"Galar","Paldea"))))))))</f>
        <v>Johto</v>
      </c>
      <c r="F347" t="str">
        <f>IF(G347&gt;=600,"Lendário",IF(G347&gt;=500,"Forte","Normal"))</f>
        <v>Normal</v>
      </c>
      <c r="G347" s="3">
        <f>G346</f>
        <v>410</v>
      </c>
      <c r="H347" s="3">
        <f>H346</f>
        <v>50</v>
      </c>
      <c r="I347" s="3">
        <f>I346</f>
        <v>50</v>
      </c>
      <c r="J347" s="3">
        <f>J346</f>
        <v>120</v>
      </c>
      <c r="K347" s="3">
        <f>K346</f>
        <v>80</v>
      </c>
      <c r="L347" s="3">
        <f>L346</f>
        <v>80</v>
      </c>
      <c r="M347" s="3">
        <f>M346</f>
        <v>30</v>
      </c>
      <c r="N347" s="3">
        <f>AVERAGE($I$2:$I$1168)</f>
        <v>78.907455012853475</v>
      </c>
      <c r="O347" s="3" t="str">
        <f>CONCATENATE(A347,"-",B347)</f>
        <v>219-Magcargo</v>
      </c>
    </row>
    <row r="348" spans="1:15">
      <c r="A348" s="63">
        <v>220</v>
      </c>
      <c r="B348" s="2" t="s">
        <v>266</v>
      </c>
      <c r="C348" t="s">
        <v>122</v>
      </c>
      <c r="D348" s="22">
        <f>COUNTIF($C$2:$C$1168,Tabela1[[#This Row],[Type]])</f>
        <v>37</v>
      </c>
      <c r="E348" s="62" t="str">
        <f>IF(A348&lt;=151,"Kanto",IF(A348&lt;=251,"Johto",IF(A348&lt;=386,"Hoenn",IF(A348&lt;=493,"Sinnoh",IF(A348&lt;=649,"Unova",IF(A348&lt;=721,"Kalos",IF(A348&lt;=809,"Alola",IF(A348&lt;=905,"Galar","Paldea"))))))))</f>
        <v>Johto</v>
      </c>
      <c r="F348" t="str">
        <f>IF(G348&gt;=600,"Lendário",IF(G348&gt;=500,"Forte","Normal"))</f>
        <v>Normal</v>
      </c>
      <c r="G348" s="3">
        <v>250</v>
      </c>
      <c r="H348" s="3">
        <v>50</v>
      </c>
      <c r="I348" s="3">
        <v>50</v>
      </c>
      <c r="J348" s="3">
        <v>40</v>
      </c>
      <c r="K348" s="3">
        <v>30</v>
      </c>
      <c r="L348" s="3">
        <v>30</v>
      </c>
      <c r="M348" s="3">
        <v>50</v>
      </c>
      <c r="N348" s="3">
        <f>AVERAGE($I$2:$I$1168)</f>
        <v>78.907455012853475</v>
      </c>
      <c r="O348" s="3" t="str">
        <f>CONCATENATE(A348,"-",B348)</f>
        <v>220-Swinub</v>
      </c>
    </row>
    <row r="349" spans="1:15">
      <c r="A349" s="63">
        <v>220</v>
      </c>
      <c r="B349" s="2" t="str">
        <f>B348</f>
        <v>Swinub</v>
      </c>
      <c r="C349" t="s">
        <v>55</v>
      </c>
      <c r="D349" s="22">
        <f>COUNTIF($C$2:$C$1168,Tabela1[[#This Row],[Type]])</f>
        <v>62</v>
      </c>
      <c r="E349" s="62" t="str">
        <f>IF(A349&lt;=151,"Kanto",IF(A349&lt;=251,"Johto",IF(A349&lt;=386,"Hoenn",IF(A349&lt;=493,"Sinnoh",IF(A349&lt;=649,"Unova",IF(A349&lt;=721,"Kalos",IF(A349&lt;=809,"Alola",IF(A349&lt;=905,"Galar","Paldea"))))))))</f>
        <v>Johto</v>
      </c>
      <c r="F349" t="str">
        <f>IF(G349&gt;=600,"Lendário",IF(G349&gt;=500,"Forte","Normal"))</f>
        <v>Normal</v>
      </c>
      <c r="G349" s="3">
        <f>G348</f>
        <v>250</v>
      </c>
      <c r="H349" s="3">
        <f>H348</f>
        <v>50</v>
      </c>
      <c r="I349" s="3">
        <f>I348</f>
        <v>50</v>
      </c>
      <c r="J349" s="3">
        <f>J348</f>
        <v>40</v>
      </c>
      <c r="K349" s="3">
        <f>K348</f>
        <v>30</v>
      </c>
      <c r="L349" s="3">
        <f>L348</f>
        <v>30</v>
      </c>
      <c r="M349" s="3">
        <f>M348</f>
        <v>50</v>
      </c>
      <c r="N349" s="3">
        <f>AVERAGE($I$2:$I$1168)</f>
        <v>78.907455012853475</v>
      </c>
      <c r="O349" s="3" t="str">
        <f>CONCATENATE(A349,"-",B349)</f>
        <v>220-Swinub</v>
      </c>
    </row>
    <row r="350" spans="1:15">
      <c r="A350" s="63">
        <v>221</v>
      </c>
      <c r="B350" s="2" t="s">
        <v>267</v>
      </c>
      <c r="C350" t="s">
        <v>122</v>
      </c>
      <c r="D350" s="22">
        <f>COUNTIF($C$2:$C$1168,Tabela1[[#This Row],[Type]])</f>
        <v>37</v>
      </c>
      <c r="E350" s="62" t="str">
        <f>IF(A350&lt;=151,"Kanto",IF(A350&lt;=251,"Johto",IF(A350&lt;=386,"Hoenn",IF(A350&lt;=493,"Sinnoh",IF(A350&lt;=649,"Unova",IF(A350&lt;=721,"Kalos",IF(A350&lt;=809,"Alola",IF(A350&lt;=905,"Galar","Paldea"))))))))</f>
        <v>Johto</v>
      </c>
      <c r="F350" t="str">
        <f>IF(G350&gt;=600,"Lendário",IF(G350&gt;=500,"Forte","Normal"))</f>
        <v>Normal</v>
      </c>
      <c r="G350" s="3">
        <v>450</v>
      </c>
      <c r="H350" s="3">
        <v>100</v>
      </c>
      <c r="I350" s="3">
        <v>100</v>
      </c>
      <c r="J350" s="3">
        <v>80</v>
      </c>
      <c r="K350" s="3">
        <v>60</v>
      </c>
      <c r="L350" s="3">
        <v>60</v>
      </c>
      <c r="M350" s="3">
        <v>50</v>
      </c>
      <c r="N350" s="3">
        <f>AVERAGE($I$2:$I$1168)</f>
        <v>78.907455012853475</v>
      </c>
      <c r="O350" s="3" t="str">
        <f>CONCATENATE(A350,"-",B350)</f>
        <v>221-Piloswine</v>
      </c>
    </row>
    <row r="351" spans="1:15">
      <c r="A351" s="63">
        <v>221</v>
      </c>
      <c r="B351" s="2" t="str">
        <f>B350</f>
        <v>Piloswine</v>
      </c>
      <c r="C351" t="s">
        <v>55</v>
      </c>
      <c r="D351" s="22">
        <f>COUNTIF($C$2:$C$1168,Tabela1[[#This Row],[Type]])</f>
        <v>62</v>
      </c>
      <c r="E351" s="62" t="str">
        <f>IF(A351&lt;=151,"Kanto",IF(A351&lt;=251,"Johto",IF(A351&lt;=386,"Hoenn",IF(A351&lt;=493,"Sinnoh",IF(A351&lt;=649,"Unova",IF(A351&lt;=721,"Kalos",IF(A351&lt;=809,"Alola",IF(A351&lt;=905,"Galar","Paldea"))))))))</f>
        <v>Johto</v>
      </c>
      <c r="F351" t="str">
        <f>IF(G351&gt;=600,"Lendário",IF(G351&gt;=500,"Forte","Normal"))</f>
        <v>Normal</v>
      </c>
      <c r="G351" s="3">
        <f>G350</f>
        <v>450</v>
      </c>
      <c r="H351" s="3">
        <f>H350</f>
        <v>100</v>
      </c>
      <c r="I351" s="3">
        <f>I350</f>
        <v>100</v>
      </c>
      <c r="J351" s="3">
        <f>J350</f>
        <v>80</v>
      </c>
      <c r="K351" s="3">
        <f>K350</f>
        <v>60</v>
      </c>
      <c r="L351" s="3">
        <f>L350</f>
        <v>60</v>
      </c>
      <c r="M351" s="3">
        <f>M350</f>
        <v>50</v>
      </c>
      <c r="N351" s="3">
        <f>AVERAGE($I$2:$I$1168)</f>
        <v>78.907455012853475</v>
      </c>
      <c r="O351" s="3" t="str">
        <f>CONCATENATE(A351,"-",B351)</f>
        <v>221-Piloswine</v>
      </c>
    </row>
    <row r="352" spans="1:15">
      <c r="A352" s="63">
        <v>222</v>
      </c>
      <c r="B352" s="2" t="s">
        <v>268</v>
      </c>
      <c r="C352" t="s">
        <v>30</v>
      </c>
      <c r="D352" s="22">
        <f>COUNTIF($C$2:$C$1168,Tabela1[[#This Row],[Type]])</f>
        <v>121</v>
      </c>
      <c r="E352" s="62" t="str">
        <f>IF(A352&lt;=151,"Kanto",IF(A352&lt;=251,"Johto",IF(A352&lt;=386,"Hoenn",IF(A352&lt;=493,"Sinnoh",IF(A352&lt;=649,"Unova",IF(A352&lt;=721,"Kalos",IF(A352&lt;=809,"Alola",IF(A352&lt;=905,"Galar","Paldea"))))))))</f>
        <v>Johto</v>
      </c>
      <c r="F352" t="str">
        <f>IF(G352&gt;=600,"Lendário",IF(G352&gt;=500,"Forte","Normal"))</f>
        <v>Normal</v>
      </c>
      <c r="G352" s="3">
        <v>380</v>
      </c>
      <c r="H352" s="3">
        <v>55</v>
      </c>
      <c r="I352" s="3">
        <v>55</v>
      </c>
      <c r="J352" s="3">
        <v>85</v>
      </c>
      <c r="K352" s="3">
        <v>65</v>
      </c>
      <c r="L352" s="3">
        <v>85</v>
      </c>
      <c r="M352" s="3">
        <v>35</v>
      </c>
      <c r="N352" s="3">
        <f>AVERAGE($I$2:$I$1168)</f>
        <v>78.907455012853475</v>
      </c>
      <c r="O352" s="3" t="str">
        <f>CONCATENATE(A352,"-",B352)</f>
        <v>222-Corsola</v>
      </c>
    </row>
    <row r="353" spans="1:15">
      <c r="A353" s="63">
        <v>222</v>
      </c>
      <c r="B353" s="2" t="str">
        <f>B352</f>
        <v>Corsola</v>
      </c>
      <c r="C353" t="s">
        <v>107</v>
      </c>
      <c r="D353" s="22">
        <f>COUNTIF($C$2:$C$1168,Tabela1[[#This Row],[Type]])</f>
        <v>56</v>
      </c>
      <c r="E353" s="62" t="str">
        <f>IF(A353&lt;=151,"Kanto",IF(A353&lt;=251,"Johto",IF(A353&lt;=386,"Hoenn",IF(A353&lt;=493,"Sinnoh",IF(A353&lt;=649,"Unova",IF(A353&lt;=721,"Kalos",IF(A353&lt;=809,"Alola",IF(A353&lt;=905,"Galar","Paldea"))))))))</f>
        <v>Johto</v>
      </c>
      <c r="F353" t="str">
        <f>IF(G353&gt;=600,"Lendário",IF(G353&gt;=500,"Forte","Normal"))</f>
        <v>Normal</v>
      </c>
      <c r="G353" s="3">
        <f>G352</f>
        <v>380</v>
      </c>
      <c r="H353" s="3">
        <f>H352</f>
        <v>55</v>
      </c>
      <c r="I353" s="3">
        <f>I352</f>
        <v>55</v>
      </c>
      <c r="J353" s="3">
        <f>J352</f>
        <v>85</v>
      </c>
      <c r="K353" s="3">
        <f>K352</f>
        <v>65</v>
      </c>
      <c r="L353" s="3">
        <f>L352</f>
        <v>85</v>
      </c>
      <c r="M353" s="3">
        <f>M352</f>
        <v>35</v>
      </c>
      <c r="N353" s="3">
        <f>AVERAGE($I$2:$I$1168)</f>
        <v>78.907455012853475</v>
      </c>
      <c r="O353" s="3" t="str">
        <f>CONCATENATE(A353,"-",B353)</f>
        <v>222-Corsola</v>
      </c>
    </row>
    <row r="354" spans="1:15">
      <c r="A354" s="63">
        <v>223</v>
      </c>
      <c r="B354" s="2" t="s">
        <v>269</v>
      </c>
      <c r="C354" t="s">
        <v>30</v>
      </c>
      <c r="D354" s="22">
        <f>COUNTIF($C$2:$C$1168,Tabela1[[#This Row],[Type]])</f>
        <v>121</v>
      </c>
      <c r="E354" s="62" t="str">
        <f>IF(A354&lt;=151,"Kanto",IF(A354&lt;=251,"Johto",IF(A354&lt;=386,"Hoenn",IF(A354&lt;=493,"Sinnoh",IF(A354&lt;=649,"Unova",IF(A354&lt;=721,"Kalos",IF(A354&lt;=809,"Alola",IF(A354&lt;=905,"Galar","Paldea"))))))))</f>
        <v>Johto</v>
      </c>
      <c r="F354" t="str">
        <f>IF(G354&gt;=600,"Lendário",IF(G354&gt;=500,"Forte","Normal"))</f>
        <v>Normal</v>
      </c>
      <c r="G354" s="3">
        <v>300</v>
      </c>
      <c r="H354" s="3">
        <v>35</v>
      </c>
      <c r="I354" s="3">
        <v>65</v>
      </c>
      <c r="J354" s="3">
        <v>35</v>
      </c>
      <c r="K354" s="3">
        <v>65</v>
      </c>
      <c r="L354" s="3">
        <v>35</v>
      </c>
      <c r="M354" s="3">
        <v>65</v>
      </c>
      <c r="N354" s="3">
        <f>AVERAGE($I$2:$I$1168)</f>
        <v>78.907455012853475</v>
      </c>
      <c r="O354" s="3" t="str">
        <f>CONCATENATE(A354,"-",B354)</f>
        <v>223-Remoraid</v>
      </c>
    </row>
    <row r="355" spans="1:15">
      <c r="A355" s="63">
        <v>224</v>
      </c>
      <c r="B355" s="2" t="s">
        <v>270</v>
      </c>
      <c r="C355" t="s">
        <v>30</v>
      </c>
      <c r="D355" s="22">
        <f>COUNTIF($C$2:$C$1168,Tabela1[[#This Row],[Type]])</f>
        <v>121</v>
      </c>
      <c r="E355" s="62" t="str">
        <f>IF(A355&lt;=151,"Kanto",IF(A355&lt;=251,"Johto",IF(A355&lt;=386,"Hoenn",IF(A355&lt;=493,"Sinnoh",IF(A355&lt;=649,"Unova",IF(A355&lt;=721,"Kalos",IF(A355&lt;=809,"Alola",IF(A355&lt;=905,"Galar","Paldea"))))))))</f>
        <v>Johto</v>
      </c>
      <c r="F355" t="str">
        <f>IF(G355&gt;=600,"Lendário",IF(G355&gt;=500,"Forte","Normal"))</f>
        <v>Normal</v>
      </c>
      <c r="G355" s="3">
        <v>480</v>
      </c>
      <c r="H355" s="3">
        <v>75</v>
      </c>
      <c r="I355" s="3">
        <v>105</v>
      </c>
      <c r="J355" s="3">
        <v>75</v>
      </c>
      <c r="K355" s="3">
        <v>105</v>
      </c>
      <c r="L355" s="3">
        <v>75</v>
      </c>
      <c r="M355" s="3">
        <v>45</v>
      </c>
      <c r="N355" s="3">
        <f>AVERAGE($I$2:$I$1168)</f>
        <v>78.907455012853475</v>
      </c>
      <c r="O355" s="3" t="str">
        <f>CONCATENATE(A355,"-",B355)</f>
        <v>224-Octillery</v>
      </c>
    </row>
    <row r="356" spans="1:15">
      <c r="A356" s="63">
        <v>225</v>
      </c>
      <c r="B356" s="2" t="s">
        <v>271</v>
      </c>
      <c r="C356" t="s">
        <v>122</v>
      </c>
      <c r="D356" s="22">
        <f>COUNTIF($C$2:$C$1168,Tabela1[[#This Row],[Type]])</f>
        <v>37</v>
      </c>
      <c r="E356" s="62" t="str">
        <f>IF(A356&lt;=151,"Kanto",IF(A356&lt;=251,"Johto",IF(A356&lt;=386,"Hoenn",IF(A356&lt;=493,"Sinnoh",IF(A356&lt;=649,"Unova",IF(A356&lt;=721,"Kalos",IF(A356&lt;=809,"Alola",IF(A356&lt;=905,"Galar","Paldea"))))))))</f>
        <v>Johto</v>
      </c>
      <c r="F356" t="str">
        <f>IF(G356&gt;=600,"Lendário",IF(G356&gt;=500,"Forte","Normal"))</f>
        <v>Normal</v>
      </c>
      <c r="G356" s="3">
        <v>330</v>
      </c>
      <c r="H356" s="3">
        <v>45</v>
      </c>
      <c r="I356" s="3">
        <v>55</v>
      </c>
      <c r="J356" s="3">
        <v>45</v>
      </c>
      <c r="K356" s="3">
        <v>65</v>
      </c>
      <c r="L356" s="3">
        <v>45</v>
      </c>
      <c r="M356" s="3">
        <v>75</v>
      </c>
      <c r="N356" s="3">
        <f>AVERAGE($I$2:$I$1168)</f>
        <v>78.907455012853475</v>
      </c>
      <c r="O356" s="3" t="str">
        <f>CONCATENATE(A356,"-",B356)</f>
        <v>225-Delibird</v>
      </c>
    </row>
    <row r="357" spans="1:15">
      <c r="A357" s="63">
        <v>225</v>
      </c>
      <c r="B357" s="2" t="str">
        <f>B356</f>
        <v>Delibird</v>
      </c>
      <c r="C357" t="s">
        <v>25</v>
      </c>
      <c r="D357" s="22">
        <f>COUNTIF($C$2:$C$1168,Tabela1[[#This Row],[Type]])</f>
        <v>100</v>
      </c>
      <c r="E357" s="62" t="str">
        <f>IF(A357&lt;=151,"Kanto",IF(A357&lt;=251,"Johto",IF(A357&lt;=386,"Hoenn",IF(A357&lt;=493,"Sinnoh",IF(A357&lt;=649,"Unova",IF(A357&lt;=721,"Kalos",IF(A357&lt;=809,"Alola",IF(A357&lt;=905,"Galar","Paldea"))))))))</f>
        <v>Johto</v>
      </c>
      <c r="F357" t="str">
        <f>IF(G357&gt;=600,"Lendário",IF(G357&gt;=500,"Forte","Normal"))</f>
        <v>Normal</v>
      </c>
      <c r="G357" s="3">
        <f>G356</f>
        <v>330</v>
      </c>
      <c r="H357" s="3">
        <f>H356</f>
        <v>45</v>
      </c>
      <c r="I357" s="3">
        <f>I356</f>
        <v>55</v>
      </c>
      <c r="J357" s="3">
        <f>J356</f>
        <v>45</v>
      </c>
      <c r="K357" s="3">
        <f>K356</f>
        <v>65</v>
      </c>
      <c r="L357" s="3">
        <f>L356</f>
        <v>45</v>
      </c>
      <c r="M357" s="3">
        <f>M356</f>
        <v>75</v>
      </c>
      <c r="N357" s="3">
        <f>AVERAGE($I$2:$I$1168)</f>
        <v>78.907455012853475</v>
      </c>
      <c r="O357" s="3" t="str">
        <f>CONCATENATE(A357,"-",B357)</f>
        <v>225-Delibird</v>
      </c>
    </row>
    <row r="358" spans="1:15">
      <c r="A358" s="63">
        <v>226</v>
      </c>
      <c r="B358" s="2" t="s">
        <v>272</v>
      </c>
      <c r="C358" t="s">
        <v>30</v>
      </c>
      <c r="D358" s="22">
        <f>COUNTIF($C$2:$C$1168,Tabela1[[#This Row],[Type]])</f>
        <v>121</v>
      </c>
      <c r="E358" s="62" t="str">
        <f>IF(A358&lt;=151,"Kanto",IF(A358&lt;=251,"Johto",IF(A358&lt;=386,"Hoenn",IF(A358&lt;=493,"Sinnoh",IF(A358&lt;=649,"Unova",IF(A358&lt;=721,"Kalos",IF(A358&lt;=809,"Alola",IF(A358&lt;=905,"Galar","Paldea"))))))))</f>
        <v>Johto</v>
      </c>
      <c r="F358" t="str">
        <f>IF(G358&gt;=600,"Lendário",IF(G358&gt;=500,"Forte","Normal"))</f>
        <v>Normal</v>
      </c>
      <c r="G358" s="3">
        <v>465</v>
      </c>
      <c r="H358" s="3">
        <v>65</v>
      </c>
      <c r="I358" s="3">
        <v>40</v>
      </c>
      <c r="J358" s="3">
        <v>70</v>
      </c>
      <c r="K358" s="3">
        <v>80</v>
      </c>
      <c r="L358" s="3">
        <v>140</v>
      </c>
      <c r="M358" s="3">
        <v>70</v>
      </c>
      <c r="N358" s="3">
        <f>AVERAGE($I$2:$I$1168)</f>
        <v>78.907455012853475</v>
      </c>
      <c r="O358" s="3" t="str">
        <f>CONCATENATE(A358,"-",B358)</f>
        <v>226-Mantine</v>
      </c>
    </row>
    <row r="359" spans="1:15">
      <c r="A359" s="63">
        <v>226</v>
      </c>
      <c r="B359" s="2" t="str">
        <f>B358</f>
        <v>Mantine</v>
      </c>
      <c r="C359" t="s">
        <v>25</v>
      </c>
      <c r="D359" s="22">
        <f>COUNTIF($C$2:$C$1168,Tabela1[[#This Row],[Type]])</f>
        <v>100</v>
      </c>
      <c r="E359" s="62" t="str">
        <f>IF(A359&lt;=151,"Kanto",IF(A359&lt;=251,"Johto",IF(A359&lt;=386,"Hoenn",IF(A359&lt;=493,"Sinnoh",IF(A359&lt;=649,"Unova",IF(A359&lt;=721,"Kalos",IF(A359&lt;=809,"Alola",IF(A359&lt;=905,"Galar","Paldea"))))))))</f>
        <v>Johto</v>
      </c>
      <c r="F359" t="str">
        <f>IF(G359&gt;=600,"Lendário",IF(G359&gt;=500,"Forte","Normal"))</f>
        <v>Normal</v>
      </c>
      <c r="G359" s="3">
        <f>G358</f>
        <v>465</v>
      </c>
      <c r="H359" s="3">
        <f>H358</f>
        <v>65</v>
      </c>
      <c r="I359" s="3">
        <f>I358</f>
        <v>40</v>
      </c>
      <c r="J359" s="3">
        <f>J358</f>
        <v>70</v>
      </c>
      <c r="K359" s="3">
        <f>K358</f>
        <v>80</v>
      </c>
      <c r="L359" s="3">
        <f>L358</f>
        <v>140</v>
      </c>
      <c r="M359" s="3">
        <f>M358</f>
        <v>70</v>
      </c>
      <c r="N359" s="3">
        <f>AVERAGE($I$2:$I$1168)</f>
        <v>78.907455012853475</v>
      </c>
      <c r="O359" s="3" t="str">
        <f>CONCATENATE(A359,"-",B359)</f>
        <v>226-Mantine</v>
      </c>
    </row>
    <row r="360" spans="1:15">
      <c r="A360" s="63">
        <v>227</v>
      </c>
      <c r="B360" s="2" t="s">
        <v>273</v>
      </c>
      <c r="C360" t="s">
        <v>115</v>
      </c>
      <c r="D360" s="22">
        <f>COUNTIF($C$2:$C$1168,Tabela1[[#This Row],[Type]])</f>
        <v>48</v>
      </c>
      <c r="E360" s="62" t="str">
        <f>IF(A360&lt;=151,"Kanto",IF(A360&lt;=251,"Johto",IF(A360&lt;=386,"Hoenn",IF(A360&lt;=493,"Sinnoh",IF(A360&lt;=649,"Unova",IF(A360&lt;=721,"Kalos",IF(A360&lt;=809,"Alola",IF(A360&lt;=905,"Galar","Paldea"))))))))</f>
        <v>Johto</v>
      </c>
      <c r="F360" t="str">
        <f>IF(G360&gt;=600,"Lendário",IF(G360&gt;=500,"Forte","Normal"))</f>
        <v>Normal</v>
      </c>
      <c r="G360" s="3">
        <v>465</v>
      </c>
      <c r="H360" s="3">
        <v>65</v>
      </c>
      <c r="I360" s="3">
        <v>80</v>
      </c>
      <c r="J360" s="3">
        <v>140</v>
      </c>
      <c r="K360" s="3">
        <v>40</v>
      </c>
      <c r="L360" s="3">
        <v>70</v>
      </c>
      <c r="M360" s="3">
        <v>70</v>
      </c>
      <c r="N360" s="3">
        <f>AVERAGE($I$2:$I$1168)</f>
        <v>78.907455012853475</v>
      </c>
      <c r="O360" s="3" t="str">
        <f>CONCATENATE(A360,"-",B360)</f>
        <v>227-Skarmory</v>
      </c>
    </row>
    <row r="361" spans="1:15">
      <c r="A361" s="63">
        <v>227</v>
      </c>
      <c r="B361" s="2" t="str">
        <f>B360</f>
        <v>Skarmory</v>
      </c>
      <c r="C361" t="s">
        <v>25</v>
      </c>
      <c r="D361" s="22">
        <f>COUNTIF($C$2:$C$1168,Tabela1[[#This Row],[Type]])</f>
        <v>100</v>
      </c>
      <c r="E361" s="62" t="str">
        <f>IF(A361&lt;=151,"Kanto",IF(A361&lt;=251,"Johto",IF(A361&lt;=386,"Hoenn",IF(A361&lt;=493,"Sinnoh",IF(A361&lt;=649,"Unova",IF(A361&lt;=721,"Kalos",IF(A361&lt;=809,"Alola",IF(A361&lt;=905,"Galar","Paldea"))))))))</f>
        <v>Johto</v>
      </c>
      <c r="F361" t="str">
        <f>IF(G361&gt;=600,"Lendário",IF(G361&gt;=500,"Forte","Normal"))</f>
        <v>Normal</v>
      </c>
      <c r="G361" s="3">
        <f>G360</f>
        <v>465</v>
      </c>
      <c r="H361" s="3">
        <f>H360</f>
        <v>65</v>
      </c>
      <c r="I361" s="3">
        <f>I360</f>
        <v>80</v>
      </c>
      <c r="J361" s="3">
        <f>J360</f>
        <v>140</v>
      </c>
      <c r="K361" s="3">
        <f>K360</f>
        <v>40</v>
      </c>
      <c r="L361" s="3">
        <f>L360</f>
        <v>70</v>
      </c>
      <c r="M361" s="3">
        <f>M360</f>
        <v>70</v>
      </c>
      <c r="N361" s="3">
        <f>AVERAGE($I$2:$I$1168)</f>
        <v>78.907455012853475</v>
      </c>
      <c r="O361" s="3" t="str">
        <f>CONCATENATE(A361,"-",B361)</f>
        <v>227-Skarmory</v>
      </c>
    </row>
    <row r="362" spans="1:15">
      <c r="A362" s="63">
        <v>228</v>
      </c>
      <c r="B362" s="2" t="s">
        <v>274</v>
      </c>
      <c r="C362" t="s">
        <v>170</v>
      </c>
      <c r="D362" s="22">
        <f>COUNTIF($C$2:$C$1168,Tabela1[[#This Row],[Type]])</f>
        <v>49</v>
      </c>
      <c r="E362" s="62" t="str">
        <f>IF(A362&lt;=151,"Kanto",IF(A362&lt;=251,"Johto",IF(A362&lt;=386,"Hoenn",IF(A362&lt;=493,"Sinnoh",IF(A362&lt;=649,"Unova",IF(A362&lt;=721,"Kalos",IF(A362&lt;=809,"Alola",IF(A362&lt;=905,"Galar","Paldea"))))))))</f>
        <v>Johto</v>
      </c>
      <c r="F362" t="str">
        <f>IF(G362&gt;=600,"Lendário",IF(G362&gt;=500,"Forte","Normal"))</f>
        <v>Normal</v>
      </c>
      <c r="G362" s="3">
        <v>330</v>
      </c>
      <c r="H362" s="3">
        <v>45</v>
      </c>
      <c r="I362" s="3">
        <v>60</v>
      </c>
      <c r="J362" s="3">
        <v>30</v>
      </c>
      <c r="K362" s="3">
        <v>80</v>
      </c>
      <c r="L362" s="3">
        <v>50</v>
      </c>
      <c r="M362" s="3">
        <v>65</v>
      </c>
      <c r="N362" s="3">
        <f>AVERAGE($I$2:$I$1168)</f>
        <v>78.907455012853475</v>
      </c>
      <c r="O362" s="3" t="str">
        <f>CONCATENATE(A362,"-",B362)</f>
        <v>228-Houndour</v>
      </c>
    </row>
    <row r="363" spans="1:15">
      <c r="A363" s="63">
        <v>228</v>
      </c>
      <c r="B363" s="2" t="str">
        <f>B362</f>
        <v>Houndour</v>
      </c>
      <c r="C363" t="s">
        <v>22</v>
      </c>
      <c r="D363" s="22">
        <f>COUNTIF($C$2:$C$1168,Tabela1[[#This Row],[Type]])</f>
        <v>62</v>
      </c>
      <c r="E363" s="62" t="str">
        <f>IF(A363&lt;=151,"Kanto",IF(A363&lt;=251,"Johto",IF(A363&lt;=386,"Hoenn",IF(A363&lt;=493,"Sinnoh",IF(A363&lt;=649,"Unova",IF(A363&lt;=721,"Kalos",IF(A363&lt;=809,"Alola",IF(A363&lt;=905,"Galar","Paldea"))))))))</f>
        <v>Johto</v>
      </c>
      <c r="F363" t="str">
        <f>IF(G363&gt;=600,"Lendário",IF(G363&gt;=500,"Forte","Normal"))</f>
        <v>Normal</v>
      </c>
      <c r="G363" s="3">
        <f>G362</f>
        <v>330</v>
      </c>
      <c r="H363" s="3">
        <f>H362</f>
        <v>45</v>
      </c>
      <c r="I363" s="3">
        <f>I362</f>
        <v>60</v>
      </c>
      <c r="J363" s="3">
        <f>J362</f>
        <v>30</v>
      </c>
      <c r="K363" s="3">
        <f>K362</f>
        <v>80</v>
      </c>
      <c r="L363" s="3">
        <f>L362</f>
        <v>50</v>
      </c>
      <c r="M363" s="3">
        <f>M362</f>
        <v>65</v>
      </c>
      <c r="N363" s="3">
        <f>AVERAGE($I$2:$I$1168)</f>
        <v>78.907455012853475</v>
      </c>
      <c r="O363" s="3" t="str">
        <f>CONCATENATE(A363,"-",B363)</f>
        <v>228-Houndour</v>
      </c>
    </row>
    <row r="364" spans="1:15">
      <c r="A364" s="63">
        <v>229</v>
      </c>
      <c r="B364" s="2" t="s">
        <v>275</v>
      </c>
      <c r="C364" t="s">
        <v>170</v>
      </c>
      <c r="D364" s="22">
        <f>COUNTIF($C$2:$C$1168,Tabela1[[#This Row],[Type]])</f>
        <v>49</v>
      </c>
      <c r="E364" s="62" t="str">
        <f>IF(A364&lt;=151,"Kanto",IF(A364&lt;=251,"Johto",IF(A364&lt;=386,"Hoenn",IF(A364&lt;=493,"Sinnoh",IF(A364&lt;=649,"Unova",IF(A364&lt;=721,"Kalos",IF(A364&lt;=809,"Alola",IF(A364&lt;=905,"Galar","Paldea"))))))))</f>
        <v>Johto</v>
      </c>
      <c r="F364" t="str">
        <f>IF(G364&gt;=600,"Lendário",IF(G364&gt;=500,"Forte","Normal"))</f>
        <v>Forte</v>
      </c>
      <c r="G364" s="3">
        <v>500</v>
      </c>
      <c r="H364" s="3">
        <v>75</v>
      </c>
      <c r="I364" s="3">
        <v>90</v>
      </c>
      <c r="J364" s="3">
        <v>50</v>
      </c>
      <c r="K364" s="3">
        <v>110</v>
      </c>
      <c r="L364" s="3">
        <v>80</v>
      </c>
      <c r="M364" s="3">
        <v>95</v>
      </c>
      <c r="N364" s="3">
        <f>AVERAGE($I$2:$I$1168)</f>
        <v>78.907455012853475</v>
      </c>
      <c r="O364" s="3" t="str">
        <f>CONCATENATE(A364,"-",B364)</f>
        <v>229-Houndoom</v>
      </c>
    </row>
    <row r="365" spans="1:15">
      <c r="A365" s="63">
        <v>229</v>
      </c>
      <c r="B365" s="2" t="str">
        <f>B364</f>
        <v>Houndoom</v>
      </c>
      <c r="C365" t="s">
        <v>22</v>
      </c>
      <c r="D365" s="22">
        <f>COUNTIF($C$2:$C$1168,Tabela1[[#This Row],[Type]])</f>
        <v>62</v>
      </c>
      <c r="E365" s="62" t="str">
        <f>IF(A365&lt;=151,"Kanto",IF(A365&lt;=251,"Johto",IF(A365&lt;=386,"Hoenn",IF(A365&lt;=493,"Sinnoh",IF(A365&lt;=649,"Unova",IF(A365&lt;=721,"Kalos",IF(A365&lt;=809,"Alola",IF(A365&lt;=905,"Galar","Paldea"))))))))</f>
        <v>Johto</v>
      </c>
      <c r="F365" t="str">
        <f>IF(G365&gt;=600,"Lendário",IF(G365&gt;=500,"Forte","Normal"))</f>
        <v>Forte</v>
      </c>
      <c r="G365" s="3">
        <f>G364</f>
        <v>500</v>
      </c>
      <c r="H365" s="3">
        <f>H364</f>
        <v>75</v>
      </c>
      <c r="I365" s="3">
        <f>I364</f>
        <v>90</v>
      </c>
      <c r="J365" s="3">
        <f>J364</f>
        <v>50</v>
      </c>
      <c r="K365" s="3">
        <f>K364</f>
        <v>110</v>
      </c>
      <c r="L365" s="3">
        <f>L364</f>
        <v>80</v>
      </c>
      <c r="M365" s="3">
        <f>M364</f>
        <v>95</v>
      </c>
      <c r="N365" s="3">
        <f>AVERAGE($I$2:$I$1168)</f>
        <v>78.907455012853475</v>
      </c>
      <c r="O365" s="3" t="str">
        <f>CONCATENATE(A365,"-",B365)</f>
        <v>229-Houndoom</v>
      </c>
    </row>
    <row r="366" spans="1:15">
      <c r="A366" s="63">
        <v>229.1</v>
      </c>
      <c r="B366" s="2" t="s">
        <v>276</v>
      </c>
      <c r="C366" t="s">
        <v>170</v>
      </c>
      <c r="D366" s="22">
        <f>COUNTIF($C$2:$C$1168,Tabela1[[#This Row],[Type]])</f>
        <v>49</v>
      </c>
      <c r="E366" s="62" t="str">
        <f>IF(A366&lt;=151,"Kanto",IF(A366&lt;=251,"Johto",IF(A366&lt;=386,"Hoenn",IF(A366&lt;=493,"Sinnoh",IF(A366&lt;=649,"Unova",IF(A366&lt;=721,"Kalos",IF(A366&lt;=809,"Alola",IF(A366&lt;=905,"Galar","Paldea"))))))))</f>
        <v>Johto</v>
      </c>
      <c r="F366" t="str">
        <f>IF(G366&gt;=600,"Lendário",IF(G366&gt;=500,"Forte","Normal"))</f>
        <v>Lendário</v>
      </c>
      <c r="G366" s="3">
        <v>600</v>
      </c>
      <c r="H366" s="3">
        <v>75</v>
      </c>
      <c r="I366" s="3">
        <v>90</v>
      </c>
      <c r="J366" s="3">
        <v>90</v>
      </c>
      <c r="K366" s="3">
        <v>140</v>
      </c>
      <c r="L366" s="3">
        <v>90</v>
      </c>
      <c r="M366" s="3">
        <v>115</v>
      </c>
      <c r="N366" s="3">
        <f>AVERAGE($I$2:$I$1168)</f>
        <v>78.907455012853475</v>
      </c>
      <c r="O366" s="3" t="str">
        <f>CONCATENATE(A366,"-",B366)</f>
        <v>229,1-Mega Houndoom</v>
      </c>
    </row>
    <row r="367" spans="1:15">
      <c r="A367" s="63">
        <v>229.1</v>
      </c>
      <c r="B367" s="2" t="s">
        <v>276</v>
      </c>
      <c r="C367" t="s">
        <v>22</v>
      </c>
      <c r="D367" s="22">
        <f>COUNTIF($C$2:$C$1168,Tabela1[[#This Row],[Type]])</f>
        <v>62</v>
      </c>
      <c r="E367" s="62" t="str">
        <f>IF(A367&lt;=151,"Kanto",IF(A367&lt;=251,"Johto",IF(A367&lt;=386,"Hoenn",IF(A367&lt;=493,"Sinnoh",IF(A367&lt;=649,"Unova",IF(A367&lt;=721,"Kalos",IF(A367&lt;=809,"Alola",IF(A367&lt;=905,"Galar","Paldea"))))))))</f>
        <v>Johto</v>
      </c>
      <c r="F367" t="str">
        <f>IF(G367&gt;=600,"Lendário",IF(G367&gt;=500,"Forte","Normal"))</f>
        <v>Lendário</v>
      </c>
      <c r="G367" s="3">
        <f>G366</f>
        <v>600</v>
      </c>
      <c r="H367" s="3">
        <f>H366</f>
        <v>75</v>
      </c>
      <c r="I367" s="3">
        <f>I366</f>
        <v>90</v>
      </c>
      <c r="J367" s="3">
        <f>J366</f>
        <v>90</v>
      </c>
      <c r="K367" s="3">
        <f>K366</f>
        <v>140</v>
      </c>
      <c r="L367" s="3">
        <f>L366</f>
        <v>90</v>
      </c>
      <c r="M367" s="3">
        <f>M366</f>
        <v>115</v>
      </c>
      <c r="N367" s="3">
        <f>AVERAGE($I$2:$I$1168)</f>
        <v>78.907455012853475</v>
      </c>
      <c r="O367" s="3" t="str">
        <f>CONCATENATE(A367,"-",B367)</f>
        <v>229,1-Mega Houndoom</v>
      </c>
    </row>
    <row r="368" spans="1:15">
      <c r="A368" s="63">
        <v>230</v>
      </c>
      <c r="B368" s="2" t="s">
        <v>277</v>
      </c>
      <c r="C368" t="s">
        <v>30</v>
      </c>
      <c r="D368" s="22">
        <f>COUNTIF($C$2:$C$1168,Tabela1[[#This Row],[Type]])</f>
        <v>121</v>
      </c>
      <c r="E368" s="62" t="str">
        <f>IF(A368&lt;=151,"Kanto",IF(A368&lt;=251,"Johto",IF(A368&lt;=386,"Hoenn",IF(A368&lt;=493,"Sinnoh",IF(A368&lt;=649,"Unova",IF(A368&lt;=721,"Kalos",IF(A368&lt;=809,"Alola",IF(A368&lt;=905,"Galar","Paldea"))))))))</f>
        <v>Johto</v>
      </c>
      <c r="F368" t="str">
        <f>IF(G368&gt;=600,"Lendário",IF(G368&gt;=500,"Forte","Normal"))</f>
        <v>Forte</v>
      </c>
      <c r="G368" s="3">
        <v>540</v>
      </c>
      <c r="H368" s="3">
        <v>75</v>
      </c>
      <c r="I368" s="3">
        <v>95</v>
      </c>
      <c r="J368" s="3">
        <v>95</v>
      </c>
      <c r="K368" s="3">
        <v>95</v>
      </c>
      <c r="L368" s="3">
        <v>95</v>
      </c>
      <c r="M368" s="3">
        <v>85</v>
      </c>
      <c r="N368" s="3">
        <f>AVERAGE($I$2:$I$1168)</f>
        <v>78.907455012853475</v>
      </c>
      <c r="O368" s="3" t="str">
        <f>CONCATENATE(A368,"-",B368)</f>
        <v>230-Kingdra</v>
      </c>
    </row>
    <row r="369" spans="1:15">
      <c r="A369" s="63">
        <v>230</v>
      </c>
      <c r="B369" s="2" t="str">
        <f>B368</f>
        <v>Kingdra</v>
      </c>
      <c r="C369" t="s">
        <v>27</v>
      </c>
      <c r="D369" s="22">
        <f>COUNTIF($C$2:$C$1168,Tabela1[[#This Row],[Type]])</f>
        <v>44</v>
      </c>
      <c r="E369" s="62" t="str">
        <f>IF(A369&lt;=151,"Kanto",IF(A369&lt;=251,"Johto",IF(A369&lt;=386,"Hoenn",IF(A369&lt;=493,"Sinnoh",IF(A369&lt;=649,"Unova",IF(A369&lt;=721,"Kalos",IF(A369&lt;=809,"Alola",IF(A369&lt;=905,"Galar","Paldea"))))))))</f>
        <v>Johto</v>
      </c>
      <c r="F369" t="str">
        <f>IF(G369&gt;=600,"Lendário",IF(G369&gt;=500,"Forte","Normal"))</f>
        <v>Forte</v>
      </c>
      <c r="G369" s="3">
        <f>G368</f>
        <v>540</v>
      </c>
      <c r="H369" s="3">
        <f>H368</f>
        <v>75</v>
      </c>
      <c r="I369" s="3">
        <f>I368</f>
        <v>95</v>
      </c>
      <c r="J369" s="3">
        <f>J368</f>
        <v>95</v>
      </c>
      <c r="K369" s="3">
        <f>K368</f>
        <v>95</v>
      </c>
      <c r="L369" s="3">
        <f>L368</f>
        <v>95</v>
      </c>
      <c r="M369" s="3">
        <f>M368</f>
        <v>85</v>
      </c>
      <c r="N369" s="3">
        <f>AVERAGE($I$2:$I$1168)</f>
        <v>78.907455012853475</v>
      </c>
      <c r="O369" s="3" t="str">
        <f>CONCATENATE(A369,"-",B369)</f>
        <v>230-Kingdra</v>
      </c>
    </row>
    <row r="370" spans="1:15">
      <c r="A370" s="63">
        <v>231</v>
      </c>
      <c r="B370" s="2" t="s">
        <v>278</v>
      </c>
      <c r="C370" t="s">
        <v>55</v>
      </c>
      <c r="D370" s="22">
        <f>COUNTIF($C$2:$C$1168,Tabela1[[#This Row],[Type]])</f>
        <v>62</v>
      </c>
      <c r="E370" s="62" t="str">
        <f>IF(A370&lt;=151,"Kanto",IF(A370&lt;=251,"Johto",IF(A370&lt;=386,"Hoenn",IF(A370&lt;=493,"Sinnoh",IF(A370&lt;=649,"Unova",IF(A370&lt;=721,"Kalos",IF(A370&lt;=809,"Alola",IF(A370&lt;=905,"Galar","Paldea"))))))))</f>
        <v>Johto</v>
      </c>
      <c r="F370" t="str">
        <f>IF(G370&gt;=600,"Lendário",IF(G370&gt;=500,"Forte","Normal"))</f>
        <v>Normal</v>
      </c>
      <c r="G370" s="3">
        <v>330</v>
      </c>
      <c r="H370" s="3">
        <v>90</v>
      </c>
      <c r="I370" s="3">
        <v>60</v>
      </c>
      <c r="J370" s="3">
        <v>60</v>
      </c>
      <c r="K370" s="3">
        <v>40</v>
      </c>
      <c r="L370" s="3">
        <v>40</v>
      </c>
      <c r="M370" s="3">
        <v>40</v>
      </c>
      <c r="N370" s="3">
        <f>AVERAGE($I$2:$I$1168)</f>
        <v>78.907455012853475</v>
      </c>
      <c r="O370" s="3" t="str">
        <f>CONCATENATE(A370,"-",B370)</f>
        <v>231-Phanpy</v>
      </c>
    </row>
    <row r="371" spans="1:15">
      <c r="A371" s="63">
        <v>232</v>
      </c>
      <c r="B371" s="2" t="s">
        <v>279</v>
      </c>
      <c r="C371" t="s">
        <v>55</v>
      </c>
      <c r="D371" s="22">
        <f>COUNTIF($C$2:$C$1168,Tabela1[[#This Row],[Type]])</f>
        <v>62</v>
      </c>
      <c r="E371" s="62" t="str">
        <f>IF(A371&lt;=151,"Kanto",IF(A371&lt;=251,"Johto",IF(A371&lt;=386,"Hoenn",IF(A371&lt;=493,"Sinnoh",IF(A371&lt;=649,"Unova",IF(A371&lt;=721,"Kalos",IF(A371&lt;=809,"Alola",IF(A371&lt;=905,"Galar","Paldea"))))))))</f>
        <v>Johto</v>
      </c>
      <c r="F371" t="str">
        <f>IF(G371&gt;=600,"Lendário",IF(G371&gt;=500,"Forte","Normal"))</f>
        <v>Forte</v>
      </c>
      <c r="G371" s="3">
        <v>500</v>
      </c>
      <c r="H371" s="3">
        <v>90</v>
      </c>
      <c r="I371" s="3">
        <v>120</v>
      </c>
      <c r="J371" s="3">
        <v>120</v>
      </c>
      <c r="K371" s="3">
        <v>60</v>
      </c>
      <c r="L371" s="3">
        <v>60</v>
      </c>
      <c r="M371" s="3">
        <v>50</v>
      </c>
      <c r="N371" s="3">
        <f>AVERAGE($I$2:$I$1168)</f>
        <v>78.907455012853475</v>
      </c>
      <c r="O371" s="3" t="str">
        <f>CONCATENATE(A371,"-",B371)</f>
        <v>232-Donphan</v>
      </c>
    </row>
    <row r="372" spans="1:15">
      <c r="A372" s="63">
        <v>233</v>
      </c>
      <c r="B372" s="2" t="s">
        <v>280</v>
      </c>
      <c r="C372" t="s">
        <v>42</v>
      </c>
      <c r="D372" s="22">
        <f>COUNTIF($C$2:$C$1168,Tabela1[[#This Row],[Type]])</f>
        <v>99</v>
      </c>
      <c r="E372" s="62" t="str">
        <f>IF(A372&lt;=151,"Kanto",IF(A372&lt;=251,"Johto",IF(A372&lt;=386,"Hoenn",IF(A372&lt;=493,"Sinnoh",IF(A372&lt;=649,"Unova",IF(A372&lt;=721,"Kalos",IF(A372&lt;=809,"Alola",IF(A372&lt;=905,"Galar","Paldea"))))))))</f>
        <v>Johto</v>
      </c>
      <c r="F372" t="str">
        <f>IF(G372&gt;=600,"Lendário",IF(G372&gt;=500,"Forte","Normal"))</f>
        <v>Forte</v>
      </c>
      <c r="G372" s="3">
        <v>515</v>
      </c>
      <c r="H372" s="3">
        <v>85</v>
      </c>
      <c r="I372" s="3">
        <v>80</v>
      </c>
      <c r="J372" s="3">
        <v>90</v>
      </c>
      <c r="K372" s="3">
        <v>105</v>
      </c>
      <c r="L372" s="3">
        <v>95</v>
      </c>
      <c r="M372" s="3">
        <v>60</v>
      </c>
      <c r="N372" s="3">
        <f>AVERAGE($I$2:$I$1168)</f>
        <v>78.907455012853475</v>
      </c>
      <c r="O372" s="3" t="str">
        <f>CONCATENATE(A372,"-",B372)</f>
        <v>233-Porygon2</v>
      </c>
    </row>
    <row r="373" spans="1:15">
      <c r="A373" s="63">
        <v>234</v>
      </c>
      <c r="B373" s="2" t="s">
        <v>281</v>
      </c>
      <c r="C373" t="s">
        <v>42</v>
      </c>
      <c r="D373" s="22">
        <f>COUNTIF($C$2:$C$1168,Tabela1[[#This Row],[Type]])</f>
        <v>99</v>
      </c>
      <c r="E373" s="62" t="str">
        <f>IF(A373&lt;=151,"Kanto",IF(A373&lt;=251,"Johto",IF(A373&lt;=386,"Hoenn",IF(A373&lt;=493,"Sinnoh",IF(A373&lt;=649,"Unova",IF(A373&lt;=721,"Kalos",IF(A373&lt;=809,"Alola",IF(A373&lt;=905,"Galar","Paldea"))))))))</f>
        <v>Johto</v>
      </c>
      <c r="F373" t="str">
        <f>IF(G373&gt;=600,"Lendário",IF(G373&gt;=500,"Forte","Normal"))</f>
        <v>Normal</v>
      </c>
      <c r="G373" s="3">
        <v>465</v>
      </c>
      <c r="H373" s="3">
        <v>73</v>
      </c>
      <c r="I373" s="3">
        <v>95</v>
      </c>
      <c r="J373" s="3">
        <v>62</v>
      </c>
      <c r="K373" s="3">
        <v>85</v>
      </c>
      <c r="L373" s="3">
        <v>65</v>
      </c>
      <c r="M373" s="3">
        <v>85</v>
      </c>
      <c r="N373" s="3">
        <f>AVERAGE($I$2:$I$1168)</f>
        <v>78.907455012853475</v>
      </c>
      <c r="O373" s="3" t="str">
        <f>CONCATENATE(A373,"-",B373)</f>
        <v>234-Stantler</v>
      </c>
    </row>
    <row r="374" spans="1:15">
      <c r="A374" s="63">
        <v>234</v>
      </c>
      <c r="B374" s="2" t="str">
        <f>B373</f>
        <v>Stantler</v>
      </c>
      <c r="C374" t="s">
        <v>16</v>
      </c>
      <c r="D374" s="22">
        <f>COUNTIF($C$2:$C$1168,Tabela1[[#This Row],[Type]])</f>
        <v>93</v>
      </c>
      <c r="E374" s="62" t="str">
        <f>IF(A374&lt;=151,"Kanto",IF(A374&lt;=251,"Johto",IF(A374&lt;=386,"Hoenn",IF(A374&lt;=493,"Sinnoh",IF(A374&lt;=649,"Unova",IF(A374&lt;=721,"Kalos",IF(A374&lt;=809,"Alola",IF(A374&lt;=905,"Galar","Paldea"))))))))</f>
        <v>Johto</v>
      </c>
      <c r="F374" t="str">
        <f>IF(G374&gt;=600,"Lendário",IF(G374&gt;=500,"Forte","Normal"))</f>
        <v>Normal</v>
      </c>
      <c r="G374" s="3">
        <f>G373</f>
        <v>465</v>
      </c>
      <c r="H374" s="3">
        <f>H373</f>
        <v>73</v>
      </c>
      <c r="I374" s="3">
        <f>I373</f>
        <v>95</v>
      </c>
      <c r="J374" s="3">
        <f>J373</f>
        <v>62</v>
      </c>
      <c r="K374" s="3">
        <f>K373</f>
        <v>85</v>
      </c>
      <c r="L374" s="3">
        <f>L373</f>
        <v>65</v>
      </c>
      <c r="M374" s="3">
        <f>M373</f>
        <v>85</v>
      </c>
      <c r="N374" s="3">
        <f>AVERAGE($I$2:$I$1168)</f>
        <v>78.907455012853475</v>
      </c>
      <c r="O374" s="3" t="str">
        <f>CONCATENATE(A374,"-",B374)</f>
        <v>234-Stantler</v>
      </c>
    </row>
    <row r="375" spans="1:15">
      <c r="A375" s="63">
        <v>235</v>
      </c>
      <c r="B375" s="2" t="s">
        <v>282</v>
      </c>
      <c r="C375" t="s">
        <v>42</v>
      </c>
      <c r="D375" s="22">
        <f>COUNTIF($C$2:$C$1168,Tabela1[[#This Row],[Type]])</f>
        <v>99</v>
      </c>
      <c r="E375" s="62" t="str">
        <f>IF(A375&lt;=151,"Kanto",IF(A375&lt;=251,"Johto",IF(A375&lt;=386,"Hoenn",IF(A375&lt;=493,"Sinnoh",IF(A375&lt;=649,"Unova",IF(A375&lt;=721,"Kalos",IF(A375&lt;=809,"Alola",IF(A375&lt;=905,"Galar","Paldea"))))))))</f>
        <v>Johto</v>
      </c>
      <c r="F375" t="str">
        <f>IF(G375&gt;=600,"Lendário",IF(G375&gt;=500,"Forte","Normal"))</f>
        <v>Normal</v>
      </c>
      <c r="G375" s="3">
        <v>250</v>
      </c>
      <c r="H375" s="3">
        <v>55</v>
      </c>
      <c r="I375" s="3">
        <v>20</v>
      </c>
      <c r="J375" s="3">
        <v>35</v>
      </c>
      <c r="K375" s="3">
        <v>20</v>
      </c>
      <c r="L375" s="3">
        <v>45</v>
      </c>
      <c r="M375" s="3">
        <v>75</v>
      </c>
      <c r="N375" s="3">
        <f>AVERAGE($I$2:$I$1168)</f>
        <v>78.907455012853475</v>
      </c>
      <c r="O375" s="3" t="str">
        <f>CONCATENATE(A375,"-",B375)</f>
        <v>235-Smeargle</v>
      </c>
    </row>
    <row r="376" spans="1:15">
      <c r="A376" s="63">
        <v>235</v>
      </c>
      <c r="B376" s="2" t="str">
        <f>B375</f>
        <v>Smeargle</v>
      </c>
      <c r="C376" t="s">
        <v>25</v>
      </c>
      <c r="D376" s="22">
        <f>COUNTIF($C$2:$C$1168,Tabela1[[#This Row],[Type]])</f>
        <v>100</v>
      </c>
      <c r="E376" s="62" t="str">
        <f>IF(A376&lt;=151,"Kanto",IF(A376&lt;=251,"Johto",IF(A376&lt;=386,"Hoenn",IF(A376&lt;=493,"Sinnoh",IF(A376&lt;=649,"Unova",IF(A376&lt;=721,"Kalos",IF(A376&lt;=809,"Alola",IF(A376&lt;=905,"Galar","Paldea"))))))))</f>
        <v>Johto</v>
      </c>
      <c r="F376" t="str">
        <f>IF(G376&gt;=600,"Lendário",IF(G376&gt;=500,"Forte","Normal"))</f>
        <v>Normal</v>
      </c>
      <c r="G376" s="3">
        <f>G375</f>
        <v>250</v>
      </c>
      <c r="H376" s="3">
        <f>H375</f>
        <v>55</v>
      </c>
      <c r="I376" s="3">
        <f>I375</f>
        <v>20</v>
      </c>
      <c r="J376" s="3">
        <f>J375</f>
        <v>35</v>
      </c>
      <c r="K376" s="3">
        <f>K375</f>
        <v>20</v>
      </c>
      <c r="L376" s="3">
        <f>L375</f>
        <v>45</v>
      </c>
      <c r="M376" s="3">
        <f>M375</f>
        <v>75</v>
      </c>
      <c r="N376" s="3">
        <f>AVERAGE($I$2:$I$1168)</f>
        <v>78.907455012853475</v>
      </c>
      <c r="O376" s="3" t="str">
        <f>CONCATENATE(A376,"-",B376)</f>
        <v>235-Smeargle</v>
      </c>
    </row>
    <row r="377" spans="1:15">
      <c r="A377" s="63">
        <v>236</v>
      </c>
      <c r="B377" s="2" t="s">
        <v>283</v>
      </c>
      <c r="C377" t="s">
        <v>86</v>
      </c>
      <c r="D377" s="22">
        <f>COUNTIF($C$2:$C$1168,Tabela1[[#This Row],[Type]])</f>
        <v>51</v>
      </c>
      <c r="E377" s="62" t="str">
        <f>IF(A377&lt;=151,"Kanto",IF(A377&lt;=251,"Johto",IF(A377&lt;=386,"Hoenn",IF(A377&lt;=493,"Sinnoh",IF(A377&lt;=649,"Unova",IF(A377&lt;=721,"Kalos",IF(A377&lt;=809,"Alola",IF(A377&lt;=905,"Galar","Paldea"))))))))</f>
        <v>Johto</v>
      </c>
      <c r="F377" t="str">
        <f>IF(G377&gt;=600,"Lendário",IF(G377&gt;=500,"Forte","Normal"))</f>
        <v>Normal</v>
      </c>
      <c r="G377" s="3">
        <v>210</v>
      </c>
      <c r="H377" s="3">
        <v>35</v>
      </c>
      <c r="I377" s="3">
        <v>35</v>
      </c>
      <c r="J377" s="3">
        <v>35</v>
      </c>
      <c r="K377" s="3">
        <v>35</v>
      </c>
      <c r="L377" s="3">
        <v>35</v>
      </c>
      <c r="M377" s="3">
        <v>35</v>
      </c>
      <c r="N377" s="3">
        <f>AVERAGE($I$2:$I$1168)</f>
        <v>78.907455012853475</v>
      </c>
      <c r="O377" s="3" t="str">
        <f>CONCATENATE(A377,"-",B377)</f>
        <v>236-Tyrogue</v>
      </c>
    </row>
    <row r="378" spans="1:15">
      <c r="A378" s="63">
        <v>237</v>
      </c>
      <c r="B378" s="2" t="s">
        <v>284</v>
      </c>
      <c r="C378" t="s">
        <v>86</v>
      </c>
      <c r="D378" s="22">
        <f>COUNTIF($C$2:$C$1168,Tabela1[[#This Row],[Type]])</f>
        <v>51</v>
      </c>
      <c r="E378" s="62" t="str">
        <f>IF(A378&lt;=151,"Kanto",IF(A378&lt;=251,"Johto",IF(A378&lt;=386,"Hoenn",IF(A378&lt;=493,"Sinnoh",IF(A378&lt;=649,"Unova",IF(A378&lt;=721,"Kalos",IF(A378&lt;=809,"Alola",IF(A378&lt;=905,"Galar","Paldea"))))))))</f>
        <v>Johto</v>
      </c>
      <c r="F378" t="str">
        <f>IF(G378&gt;=600,"Lendário",IF(G378&gt;=500,"Forte","Normal"))</f>
        <v>Normal</v>
      </c>
      <c r="G378" s="3">
        <v>455</v>
      </c>
      <c r="H378" s="3">
        <v>50</v>
      </c>
      <c r="I378" s="3">
        <v>95</v>
      </c>
      <c r="J378" s="3">
        <v>95</v>
      </c>
      <c r="K378" s="3">
        <v>35</v>
      </c>
      <c r="L378" s="3">
        <v>110</v>
      </c>
      <c r="M378" s="3">
        <v>70</v>
      </c>
      <c r="N378" s="3">
        <f>AVERAGE($I$2:$I$1168)</f>
        <v>78.907455012853475</v>
      </c>
      <c r="O378" s="3" t="str">
        <f>CONCATENATE(A378,"-",B378)</f>
        <v>237-Hitmontop</v>
      </c>
    </row>
    <row r="379" spans="1:15">
      <c r="A379" s="63">
        <v>238</v>
      </c>
      <c r="B379" s="2" t="s">
        <v>285</v>
      </c>
      <c r="C379" t="s">
        <v>122</v>
      </c>
      <c r="D379" s="22">
        <f>COUNTIF($C$2:$C$1168,Tabela1[[#This Row],[Type]])</f>
        <v>37</v>
      </c>
      <c r="E379" s="62" t="str">
        <f>IF(A379&lt;=151,"Kanto",IF(A379&lt;=251,"Johto",IF(A379&lt;=386,"Hoenn",IF(A379&lt;=493,"Sinnoh",IF(A379&lt;=649,"Unova",IF(A379&lt;=721,"Kalos",IF(A379&lt;=809,"Alola",IF(A379&lt;=905,"Galar","Paldea"))))))))</f>
        <v>Johto</v>
      </c>
      <c r="F379" t="str">
        <f>IF(G379&gt;=600,"Lendário",IF(G379&gt;=500,"Forte","Normal"))</f>
        <v>Normal</v>
      </c>
      <c r="G379" s="3">
        <v>305</v>
      </c>
      <c r="H379" s="3">
        <v>45</v>
      </c>
      <c r="I379" s="3">
        <v>30</v>
      </c>
      <c r="J379" s="3">
        <v>15</v>
      </c>
      <c r="K379" s="3">
        <v>85</v>
      </c>
      <c r="L379" s="3">
        <v>65</v>
      </c>
      <c r="M379" s="3">
        <v>65</v>
      </c>
      <c r="N379" s="3">
        <f>AVERAGE($I$2:$I$1168)</f>
        <v>78.907455012853475</v>
      </c>
      <c r="O379" s="3" t="str">
        <f>CONCATENATE(A379,"-",B379)</f>
        <v>238-Smoochum</v>
      </c>
    </row>
    <row r="380" spans="1:15">
      <c r="A380" s="63">
        <v>238</v>
      </c>
      <c r="B380" s="2" t="str">
        <f>B379</f>
        <v>Smoochum</v>
      </c>
      <c r="C380" t="s">
        <v>94</v>
      </c>
      <c r="D380" s="22">
        <f>COUNTIF($C$2:$C$1168,Tabela1[[#This Row],[Type]])</f>
        <v>83</v>
      </c>
      <c r="E380" s="62" t="str">
        <f>IF(A380&lt;=151,"Kanto",IF(A380&lt;=251,"Johto",IF(A380&lt;=386,"Hoenn",IF(A380&lt;=493,"Sinnoh",IF(A380&lt;=649,"Unova",IF(A380&lt;=721,"Kalos",IF(A380&lt;=809,"Alola",IF(A380&lt;=905,"Galar","Paldea"))))))))</f>
        <v>Johto</v>
      </c>
      <c r="F380" t="str">
        <f>IF(G380&gt;=600,"Lendário",IF(G380&gt;=500,"Forte","Normal"))</f>
        <v>Normal</v>
      </c>
      <c r="G380" s="3">
        <f>G379</f>
        <v>305</v>
      </c>
      <c r="H380" s="3">
        <f>H379</f>
        <v>45</v>
      </c>
      <c r="I380" s="3">
        <f>I379</f>
        <v>30</v>
      </c>
      <c r="J380" s="3">
        <f>J379</f>
        <v>15</v>
      </c>
      <c r="K380" s="3">
        <f>K379</f>
        <v>85</v>
      </c>
      <c r="L380" s="3">
        <f>L379</f>
        <v>65</v>
      </c>
      <c r="M380" s="3">
        <f>M379</f>
        <v>65</v>
      </c>
      <c r="N380" s="3">
        <f>AVERAGE($I$2:$I$1168)</f>
        <v>78.907455012853475</v>
      </c>
      <c r="O380" s="3" t="str">
        <f>CONCATENATE(A380,"-",B380)</f>
        <v>238-Smoochum</v>
      </c>
    </row>
    <row r="381" spans="1:15">
      <c r="A381" s="63">
        <v>239</v>
      </c>
      <c r="B381" s="2" t="s">
        <v>286</v>
      </c>
      <c r="C381" t="s">
        <v>52</v>
      </c>
      <c r="D381" s="22">
        <f>COUNTIF($C$2:$C$1168,Tabela1[[#This Row],[Type]])</f>
        <v>51</v>
      </c>
      <c r="E381" s="62" t="str">
        <f>IF(A381&lt;=151,"Kanto",IF(A381&lt;=251,"Johto",IF(A381&lt;=386,"Hoenn",IF(A381&lt;=493,"Sinnoh",IF(A381&lt;=649,"Unova",IF(A381&lt;=721,"Kalos",IF(A381&lt;=809,"Alola",IF(A381&lt;=905,"Galar","Paldea"))))))))</f>
        <v>Johto</v>
      </c>
      <c r="F381" t="str">
        <f>IF(G381&gt;=600,"Lendário",IF(G381&gt;=500,"Forte","Normal"))</f>
        <v>Normal</v>
      </c>
      <c r="G381" s="3">
        <v>360</v>
      </c>
      <c r="H381" s="3">
        <v>45</v>
      </c>
      <c r="I381" s="3">
        <v>63</v>
      </c>
      <c r="J381" s="3">
        <v>37</v>
      </c>
      <c r="K381" s="3">
        <v>65</v>
      </c>
      <c r="L381" s="3">
        <v>55</v>
      </c>
      <c r="M381" s="3">
        <v>95</v>
      </c>
      <c r="N381" s="3">
        <f>AVERAGE($I$2:$I$1168)</f>
        <v>78.907455012853475</v>
      </c>
      <c r="O381" s="3" t="str">
        <f>CONCATENATE(A381,"-",B381)</f>
        <v>239-Elekid</v>
      </c>
    </row>
    <row r="382" spans="1:15">
      <c r="A382" s="63">
        <v>240</v>
      </c>
      <c r="B382" s="2" t="s">
        <v>287</v>
      </c>
      <c r="C382" t="s">
        <v>22</v>
      </c>
      <c r="D382" s="22">
        <f>COUNTIF($C$2:$C$1168,Tabela1[[#This Row],[Type]])</f>
        <v>62</v>
      </c>
      <c r="E382" s="62" t="str">
        <f>IF(A382&lt;=151,"Kanto",IF(A382&lt;=251,"Johto",IF(A382&lt;=386,"Hoenn",IF(A382&lt;=493,"Sinnoh",IF(A382&lt;=649,"Unova",IF(A382&lt;=721,"Kalos",IF(A382&lt;=809,"Alola",IF(A382&lt;=905,"Galar","Paldea"))))))))</f>
        <v>Johto</v>
      </c>
      <c r="F382" t="str">
        <f>IF(G382&gt;=600,"Lendário",IF(G382&gt;=500,"Forte","Normal"))</f>
        <v>Normal</v>
      </c>
      <c r="G382" s="3">
        <v>365</v>
      </c>
      <c r="H382" s="3">
        <v>45</v>
      </c>
      <c r="I382" s="3">
        <v>75</v>
      </c>
      <c r="J382" s="3">
        <v>37</v>
      </c>
      <c r="K382" s="3">
        <v>70</v>
      </c>
      <c r="L382" s="3">
        <v>55</v>
      </c>
      <c r="M382" s="3">
        <v>83</v>
      </c>
      <c r="N382" s="3">
        <f>AVERAGE($I$2:$I$1168)</f>
        <v>78.907455012853475</v>
      </c>
      <c r="O382" s="3" t="str">
        <f>CONCATENATE(A382,"-",B382)</f>
        <v>240-Magby</v>
      </c>
    </row>
    <row r="383" spans="1:15">
      <c r="A383" s="63">
        <v>241</v>
      </c>
      <c r="B383" s="2" t="s">
        <v>288</v>
      </c>
      <c r="C383" t="s">
        <v>42</v>
      </c>
      <c r="D383" s="22">
        <f>COUNTIF($C$2:$C$1168,Tabela1[[#This Row],[Type]])</f>
        <v>99</v>
      </c>
      <c r="E383" s="62" t="str">
        <f>IF(A383&lt;=151,"Kanto",IF(A383&lt;=251,"Johto",IF(A383&lt;=386,"Hoenn",IF(A383&lt;=493,"Sinnoh",IF(A383&lt;=649,"Unova",IF(A383&lt;=721,"Kalos",IF(A383&lt;=809,"Alola",IF(A383&lt;=905,"Galar","Paldea"))))))))</f>
        <v>Johto</v>
      </c>
      <c r="F383" t="str">
        <f>IF(G383&gt;=600,"Lendário",IF(G383&gt;=500,"Forte","Normal"))</f>
        <v>Normal</v>
      </c>
      <c r="G383" s="3">
        <v>490</v>
      </c>
      <c r="H383" s="3">
        <v>95</v>
      </c>
      <c r="I383" s="3">
        <v>80</v>
      </c>
      <c r="J383" s="3">
        <v>105</v>
      </c>
      <c r="K383" s="3">
        <v>40</v>
      </c>
      <c r="L383" s="3">
        <v>70</v>
      </c>
      <c r="M383" s="3">
        <v>100</v>
      </c>
      <c r="N383" s="3">
        <f>AVERAGE($I$2:$I$1168)</f>
        <v>78.907455012853475</v>
      </c>
      <c r="O383" s="3" t="str">
        <f>CONCATENATE(A383,"-",B383)</f>
        <v>241-Miltank</v>
      </c>
    </row>
    <row r="384" spans="1:15">
      <c r="A384" s="63">
        <v>242</v>
      </c>
      <c r="B384" s="2" t="s">
        <v>289</v>
      </c>
      <c r="C384" t="s">
        <v>42</v>
      </c>
      <c r="D384" s="22">
        <f>COUNTIF($C$2:$C$1168,Tabela1[[#This Row],[Type]])</f>
        <v>99</v>
      </c>
      <c r="E384" s="62" t="str">
        <f>IF(A384&lt;=151,"Kanto",IF(A384&lt;=251,"Johto",IF(A384&lt;=386,"Hoenn",IF(A384&lt;=493,"Sinnoh",IF(A384&lt;=649,"Unova",IF(A384&lt;=721,"Kalos",IF(A384&lt;=809,"Alola",IF(A384&lt;=905,"Galar","Paldea"))))))))</f>
        <v>Johto</v>
      </c>
      <c r="F384" t="str">
        <f>IF(G384&gt;=600,"Lendário",IF(G384&gt;=500,"Forte","Normal"))</f>
        <v>Forte</v>
      </c>
      <c r="G384" s="3">
        <v>540</v>
      </c>
      <c r="H384" s="3">
        <v>255</v>
      </c>
      <c r="I384" s="3">
        <v>10</v>
      </c>
      <c r="J384" s="3">
        <v>10</v>
      </c>
      <c r="K384" s="3">
        <v>75</v>
      </c>
      <c r="L384" s="3">
        <v>135</v>
      </c>
      <c r="M384" s="3">
        <v>55</v>
      </c>
      <c r="N384" s="3">
        <f>AVERAGE($I$2:$I$1168)</f>
        <v>78.907455012853475</v>
      </c>
      <c r="O384" s="3" t="str">
        <f>CONCATENATE(A384,"-",B384)</f>
        <v>242-Blissey</v>
      </c>
    </row>
    <row r="385" spans="1:15">
      <c r="A385" s="63">
        <v>243</v>
      </c>
      <c r="B385" s="2" t="s">
        <v>290</v>
      </c>
      <c r="C385" t="s">
        <v>52</v>
      </c>
      <c r="D385" s="22">
        <f>COUNTIF($C$2:$C$1168,Tabela1[[#This Row],[Type]])</f>
        <v>51</v>
      </c>
      <c r="E385" s="62" t="str">
        <f>IF(A385&lt;=151,"Kanto",IF(A385&lt;=251,"Johto",IF(A385&lt;=386,"Hoenn",IF(A385&lt;=493,"Sinnoh",IF(A385&lt;=649,"Unova",IF(A385&lt;=721,"Kalos",IF(A385&lt;=809,"Alola",IF(A385&lt;=905,"Galar","Paldea"))))))))</f>
        <v>Johto</v>
      </c>
      <c r="F385" t="str">
        <f>IF(G385&gt;=600,"Lendário",IF(G385&gt;=500,"Forte","Normal"))</f>
        <v>Forte</v>
      </c>
      <c r="G385" s="3">
        <v>580</v>
      </c>
      <c r="H385" s="3">
        <v>90</v>
      </c>
      <c r="I385" s="3">
        <v>85</v>
      </c>
      <c r="J385" s="3">
        <v>75</v>
      </c>
      <c r="K385" s="3">
        <v>115</v>
      </c>
      <c r="L385" s="3">
        <v>100</v>
      </c>
      <c r="M385" s="3">
        <v>115</v>
      </c>
      <c r="N385" s="3">
        <f>AVERAGE($I$2:$I$1168)</f>
        <v>78.907455012853475</v>
      </c>
      <c r="O385" s="3" t="str">
        <f>CONCATENATE(A385,"-",B385)</f>
        <v>243-Raikou</v>
      </c>
    </row>
    <row r="386" spans="1:15">
      <c r="A386" s="63">
        <v>244</v>
      </c>
      <c r="B386" s="2" t="s">
        <v>291</v>
      </c>
      <c r="C386" t="s">
        <v>22</v>
      </c>
      <c r="D386" s="22">
        <f>COUNTIF($C$2:$C$1168,Tabela1[[#This Row],[Type]])</f>
        <v>62</v>
      </c>
      <c r="E386" s="62" t="str">
        <f>IF(A386&lt;=151,"Kanto",IF(A386&lt;=251,"Johto",IF(A386&lt;=386,"Hoenn",IF(A386&lt;=493,"Sinnoh",IF(A386&lt;=649,"Unova",IF(A386&lt;=721,"Kalos",IF(A386&lt;=809,"Alola",IF(A386&lt;=905,"Galar","Paldea"))))))))</f>
        <v>Johto</v>
      </c>
      <c r="F386" t="str">
        <f>IF(G386&gt;=600,"Lendário",IF(G386&gt;=500,"Forte","Normal"))</f>
        <v>Forte</v>
      </c>
      <c r="G386" s="3">
        <v>580</v>
      </c>
      <c r="H386" s="3">
        <v>115</v>
      </c>
      <c r="I386" s="3">
        <v>115</v>
      </c>
      <c r="J386" s="3">
        <v>85</v>
      </c>
      <c r="K386" s="3">
        <v>90</v>
      </c>
      <c r="L386" s="3">
        <v>75</v>
      </c>
      <c r="M386" s="3">
        <v>100</v>
      </c>
      <c r="N386" s="3">
        <f>AVERAGE($I$2:$I$1168)</f>
        <v>78.907455012853475</v>
      </c>
      <c r="O386" s="3" t="str">
        <f>CONCATENATE(A386,"-",B386)</f>
        <v>244-Entei</v>
      </c>
    </row>
    <row r="387" spans="1:15">
      <c r="A387" s="63">
        <v>245</v>
      </c>
      <c r="B387" s="2" t="s">
        <v>292</v>
      </c>
      <c r="C387" t="s">
        <v>30</v>
      </c>
      <c r="D387" s="22">
        <f>COUNTIF($C$2:$C$1168,Tabela1[[#This Row],[Type]])</f>
        <v>121</v>
      </c>
      <c r="E387" s="62" t="str">
        <f>IF(A387&lt;=151,"Kanto",IF(A387&lt;=251,"Johto",IF(A387&lt;=386,"Hoenn",IF(A387&lt;=493,"Sinnoh",IF(A387&lt;=649,"Unova",IF(A387&lt;=721,"Kalos",IF(A387&lt;=809,"Alola",IF(A387&lt;=905,"Galar","Paldea"))))))))</f>
        <v>Johto</v>
      </c>
      <c r="F387" t="str">
        <f>IF(G387&gt;=600,"Lendário",IF(G387&gt;=500,"Forte","Normal"))</f>
        <v>Forte</v>
      </c>
      <c r="G387" s="3">
        <v>580</v>
      </c>
      <c r="H387" s="3">
        <v>100</v>
      </c>
      <c r="I387" s="3">
        <v>75</v>
      </c>
      <c r="J387" s="3">
        <v>115</v>
      </c>
      <c r="K387" s="3">
        <v>90</v>
      </c>
      <c r="L387" s="3">
        <v>115</v>
      </c>
      <c r="M387" s="3">
        <v>85</v>
      </c>
      <c r="N387" s="3">
        <f>AVERAGE($I$2:$I$1168)</f>
        <v>78.907455012853475</v>
      </c>
      <c r="O387" s="3" t="str">
        <f>CONCATENATE(A387,"-",B387)</f>
        <v>245-Suicune</v>
      </c>
    </row>
    <row r="388" spans="1:15">
      <c r="A388" s="63">
        <v>246</v>
      </c>
      <c r="B388" s="2" t="s">
        <v>293</v>
      </c>
      <c r="C388" t="s">
        <v>107</v>
      </c>
      <c r="D388" s="22">
        <f>COUNTIF($C$2:$C$1168,Tabela1[[#This Row],[Type]])</f>
        <v>56</v>
      </c>
      <c r="E388" s="62" t="str">
        <f>IF(A388&lt;=151,"Kanto",IF(A388&lt;=251,"Johto",IF(A388&lt;=386,"Hoenn",IF(A388&lt;=493,"Sinnoh",IF(A388&lt;=649,"Unova",IF(A388&lt;=721,"Kalos",IF(A388&lt;=809,"Alola",IF(A388&lt;=905,"Galar","Paldea"))))))))</f>
        <v>Johto</v>
      </c>
      <c r="F388" t="str">
        <f>IF(G388&gt;=600,"Lendário",IF(G388&gt;=500,"Forte","Normal"))</f>
        <v>Normal</v>
      </c>
      <c r="G388" s="3">
        <v>300</v>
      </c>
      <c r="H388" s="3">
        <v>50</v>
      </c>
      <c r="I388" s="3">
        <v>64</v>
      </c>
      <c r="J388" s="3">
        <v>50</v>
      </c>
      <c r="K388" s="3">
        <v>45</v>
      </c>
      <c r="L388" s="3">
        <v>50</v>
      </c>
      <c r="M388" s="3">
        <v>41</v>
      </c>
      <c r="N388" s="3">
        <f>AVERAGE($I$2:$I$1168)</f>
        <v>78.907455012853475</v>
      </c>
      <c r="O388" s="3" t="str">
        <f>CONCATENATE(A388,"-",B388)</f>
        <v>246-Larvitar</v>
      </c>
    </row>
    <row r="389" spans="1:15">
      <c r="A389" s="63">
        <v>246</v>
      </c>
      <c r="B389" s="2" t="str">
        <f>B388</f>
        <v>Larvitar</v>
      </c>
      <c r="C389" t="s">
        <v>55</v>
      </c>
      <c r="D389" s="22">
        <f>COUNTIF($C$2:$C$1168,Tabela1[[#This Row],[Type]])</f>
        <v>62</v>
      </c>
      <c r="E389" s="62" t="str">
        <f>IF(A389&lt;=151,"Kanto",IF(A389&lt;=251,"Johto",IF(A389&lt;=386,"Hoenn",IF(A389&lt;=493,"Sinnoh",IF(A389&lt;=649,"Unova",IF(A389&lt;=721,"Kalos",IF(A389&lt;=809,"Alola",IF(A389&lt;=905,"Galar","Paldea"))))))))</f>
        <v>Johto</v>
      </c>
      <c r="F389" t="str">
        <f>IF(G389&gt;=600,"Lendário",IF(G389&gt;=500,"Forte","Normal"))</f>
        <v>Normal</v>
      </c>
      <c r="G389" s="3">
        <f>G388</f>
        <v>300</v>
      </c>
      <c r="H389" s="3">
        <f>H388</f>
        <v>50</v>
      </c>
      <c r="I389" s="3">
        <f>I388</f>
        <v>64</v>
      </c>
      <c r="J389" s="3">
        <f>J388</f>
        <v>50</v>
      </c>
      <c r="K389" s="3">
        <f>K388</f>
        <v>45</v>
      </c>
      <c r="L389" s="3">
        <f>L388</f>
        <v>50</v>
      </c>
      <c r="M389" s="3">
        <f>M388</f>
        <v>41</v>
      </c>
      <c r="N389" s="3">
        <f>AVERAGE($I$2:$I$1168)</f>
        <v>78.907455012853475</v>
      </c>
      <c r="O389" s="3" t="str">
        <f>CONCATENATE(A389,"-",B389)</f>
        <v>246-Larvitar</v>
      </c>
    </row>
    <row r="390" spans="1:15">
      <c r="A390" s="63">
        <v>247</v>
      </c>
      <c r="B390" s="2" t="s">
        <v>294</v>
      </c>
      <c r="C390" t="s">
        <v>107</v>
      </c>
      <c r="D390" s="22">
        <f>COUNTIF($C$2:$C$1168,Tabela1[[#This Row],[Type]])</f>
        <v>56</v>
      </c>
      <c r="E390" s="62" t="str">
        <f>IF(A390&lt;=151,"Kanto",IF(A390&lt;=251,"Johto",IF(A390&lt;=386,"Hoenn",IF(A390&lt;=493,"Sinnoh",IF(A390&lt;=649,"Unova",IF(A390&lt;=721,"Kalos",IF(A390&lt;=809,"Alola",IF(A390&lt;=905,"Galar","Paldea"))))))))</f>
        <v>Johto</v>
      </c>
      <c r="F390" t="str">
        <f>IF(G390&gt;=600,"Lendário",IF(G390&gt;=500,"Forte","Normal"))</f>
        <v>Normal</v>
      </c>
      <c r="G390" s="3">
        <v>410</v>
      </c>
      <c r="H390" s="3">
        <v>70</v>
      </c>
      <c r="I390" s="3">
        <v>84</v>
      </c>
      <c r="J390" s="3">
        <v>70</v>
      </c>
      <c r="K390" s="3">
        <v>65</v>
      </c>
      <c r="L390" s="3">
        <v>70</v>
      </c>
      <c r="M390" s="3">
        <v>51</v>
      </c>
      <c r="N390" s="3">
        <f>AVERAGE($I$2:$I$1168)</f>
        <v>78.907455012853475</v>
      </c>
      <c r="O390" s="3" t="str">
        <f>CONCATENATE(A390,"-",B390)</f>
        <v>247-Pupitar</v>
      </c>
    </row>
    <row r="391" spans="1:15">
      <c r="A391" s="63">
        <v>247</v>
      </c>
      <c r="B391" s="2" t="str">
        <f>B390</f>
        <v>Pupitar</v>
      </c>
      <c r="C391" t="s">
        <v>55</v>
      </c>
      <c r="D391" s="22">
        <f>COUNTIF($C$2:$C$1168,Tabela1[[#This Row],[Type]])</f>
        <v>62</v>
      </c>
      <c r="E391" s="62" t="str">
        <f>IF(A391&lt;=151,"Kanto",IF(A391&lt;=251,"Johto",IF(A391&lt;=386,"Hoenn",IF(A391&lt;=493,"Sinnoh",IF(A391&lt;=649,"Unova",IF(A391&lt;=721,"Kalos",IF(A391&lt;=809,"Alola",IF(A391&lt;=905,"Galar","Paldea"))))))))</f>
        <v>Johto</v>
      </c>
      <c r="F391" t="str">
        <f>IF(G391&gt;=600,"Lendário",IF(G391&gt;=500,"Forte","Normal"))</f>
        <v>Normal</v>
      </c>
      <c r="G391" s="3">
        <f>G390</f>
        <v>410</v>
      </c>
      <c r="H391" s="3">
        <f>H390</f>
        <v>70</v>
      </c>
      <c r="I391" s="3">
        <f>I390</f>
        <v>84</v>
      </c>
      <c r="J391" s="3">
        <f>J390</f>
        <v>70</v>
      </c>
      <c r="K391" s="3">
        <f>K390</f>
        <v>65</v>
      </c>
      <c r="L391" s="3">
        <f>L390</f>
        <v>70</v>
      </c>
      <c r="M391" s="3">
        <f>M390</f>
        <v>51</v>
      </c>
      <c r="N391" s="3">
        <f>AVERAGE($I$2:$I$1168)</f>
        <v>78.907455012853475</v>
      </c>
      <c r="O391" s="3" t="str">
        <f>CONCATENATE(A391,"-",B391)</f>
        <v>247-Pupitar</v>
      </c>
    </row>
    <row r="392" spans="1:15">
      <c r="A392" s="63">
        <v>248</v>
      </c>
      <c r="B392" s="2" t="s">
        <v>295</v>
      </c>
      <c r="C392" t="s">
        <v>107</v>
      </c>
      <c r="D392" s="22">
        <f>COUNTIF($C$2:$C$1168,Tabela1[[#This Row],[Type]])</f>
        <v>56</v>
      </c>
      <c r="E392" s="62" t="str">
        <f>IF(A392&lt;=151,"Kanto",IF(A392&lt;=251,"Johto",IF(A392&lt;=386,"Hoenn",IF(A392&lt;=493,"Sinnoh",IF(A392&lt;=649,"Unova",IF(A392&lt;=721,"Kalos",IF(A392&lt;=809,"Alola",IF(A392&lt;=905,"Galar","Paldea"))))))))</f>
        <v>Johto</v>
      </c>
      <c r="F392" t="str">
        <f>IF(G392&gt;=600,"Lendário",IF(G392&gt;=500,"Forte","Normal"))</f>
        <v>Lendário</v>
      </c>
      <c r="G392" s="3">
        <v>600</v>
      </c>
      <c r="H392" s="3">
        <v>100</v>
      </c>
      <c r="I392" s="3">
        <v>134</v>
      </c>
      <c r="J392" s="3">
        <v>110</v>
      </c>
      <c r="K392" s="3">
        <v>95</v>
      </c>
      <c r="L392" s="3">
        <v>100</v>
      </c>
      <c r="M392" s="3">
        <v>61</v>
      </c>
      <c r="N392" s="3">
        <f>AVERAGE($I$2:$I$1168)</f>
        <v>78.907455012853475</v>
      </c>
      <c r="O392" s="3" t="str">
        <f>CONCATENATE(A392,"-",B392)</f>
        <v>248-Tyranitar</v>
      </c>
    </row>
    <row r="393" spans="1:15">
      <c r="A393" s="63">
        <v>248</v>
      </c>
      <c r="B393" s="2" t="str">
        <f>B392</f>
        <v>Tyranitar</v>
      </c>
      <c r="C393" t="s">
        <v>170</v>
      </c>
      <c r="D393" s="22">
        <f>COUNTIF($C$2:$C$1168,Tabela1[[#This Row],[Type]])</f>
        <v>49</v>
      </c>
      <c r="E393" s="62" t="str">
        <f>IF(A393&lt;=151,"Kanto",IF(A393&lt;=251,"Johto",IF(A393&lt;=386,"Hoenn",IF(A393&lt;=493,"Sinnoh",IF(A393&lt;=649,"Unova",IF(A393&lt;=721,"Kalos",IF(A393&lt;=809,"Alola",IF(A393&lt;=905,"Galar","Paldea"))))))))</f>
        <v>Johto</v>
      </c>
      <c r="F393" t="str">
        <f>IF(G393&gt;=600,"Lendário",IF(G393&gt;=500,"Forte","Normal"))</f>
        <v>Lendário</v>
      </c>
      <c r="G393" s="3">
        <f>G392</f>
        <v>600</v>
      </c>
      <c r="H393" s="3">
        <f>H392</f>
        <v>100</v>
      </c>
      <c r="I393" s="3">
        <f>I392</f>
        <v>134</v>
      </c>
      <c r="J393" s="3">
        <f>J392</f>
        <v>110</v>
      </c>
      <c r="K393" s="3">
        <f>K392</f>
        <v>95</v>
      </c>
      <c r="L393" s="3">
        <f>L392</f>
        <v>100</v>
      </c>
      <c r="M393" s="3">
        <f>M392</f>
        <v>61</v>
      </c>
      <c r="N393" s="3">
        <f>AVERAGE($I$2:$I$1168)</f>
        <v>78.907455012853475</v>
      </c>
      <c r="O393" s="3" t="str">
        <f>CONCATENATE(A393,"-",B393)</f>
        <v>248-Tyranitar</v>
      </c>
    </row>
    <row r="394" spans="1:15">
      <c r="A394" s="63">
        <v>248.1</v>
      </c>
      <c r="B394" s="2" t="s">
        <v>296</v>
      </c>
      <c r="C394" t="s">
        <v>107</v>
      </c>
      <c r="D394" s="22">
        <f>COUNTIF($C$2:$C$1168,Tabela1[[#This Row],[Type]])</f>
        <v>56</v>
      </c>
      <c r="E394" s="62" t="str">
        <f>IF(A394&lt;=151,"Kanto",IF(A394&lt;=251,"Johto",IF(A394&lt;=386,"Hoenn",IF(A394&lt;=493,"Sinnoh",IF(A394&lt;=649,"Unova",IF(A394&lt;=721,"Kalos",IF(A394&lt;=809,"Alola",IF(A394&lt;=905,"Galar","Paldea"))))))))</f>
        <v>Johto</v>
      </c>
      <c r="F394" t="str">
        <f>IF(G394&gt;=600,"Lendário",IF(G394&gt;=500,"Forte","Normal"))</f>
        <v>Lendário</v>
      </c>
      <c r="G394" s="3">
        <v>700</v>
      </c>
      <c r="H394" s="3">
        <v>100</v>
      </c>
      <c r="I394" s="3">
        <v>164</v>
      </c>
      <c r="J394" s="3">
        <v>150</v>
      </c>
      <c r="K394" s="3">
        <v>95</v>
      </c>
      <c r="L394" s="3">
        <v>120</v>
      </c>
      <c r="M394" s="3">
        <v>71</v>
      </c>
      <c r="N394" s="3">
        <f>AVERAGE($I$2:$I$1168)</f>
        <v>78.907455012853475</v>
      </c>
      <c r="O394" s="3" t="str">
        <f>CONCATENATE(A394,"-",B394)</f>
        <v>248,1-Mega Tyranitar</v>
      </c>
    </row>
    <row r="395" spans="1:15">
      <c r="A395" s="63">
        <v>248.1</v>
      </c>
      <c r="B395" s="2" t="s">
        <v>296</v>
      </c>
      <c r="C395" t="s">
        <v>170</v>
      </c>
      <c r="D395" s="22">
        <f>COUNTIF($C$2:$C$1168,Tabela1[[#This Row],[Type]])</f>
        <v>49</v>
      </c>
      <c r="E395" s="62" t="str">
        <f>IF(A395&lt;=151,"Kanto",IF(A395&lt;=251,"Johto",IF(A395&lt;=386,"Hoenn",IF(A395&lt;=493,"Sinnoh",IF(A395&lt;=649,"Unova",IF(A395&lt;=721,"Kalos",IF(A395&lt;=809,"Alola",IF(A395&lt;=905,"Galar","Paldea"))))))))</f>
        <v>Johto</v>
      </c>
      <c r="F395" t="str">
        <f>IF(G395&gt;=600,"Lendário",IF(G395&gt;=500,"Forte","Normal"))</f>
        <v>Lendário</v>
      </c>
      <c r="G395" s="3">
        <f>G394</f>
        <v>700</v>
      </c>
      <c r="H395" s="3">
        <f>H394</f>
        <v>100</v>
      </c>
      <c r="I395" s="3">
        <f>I394</f>
        <v>164</v>
      </c>
      <c r="J395" s="3">
        <f>J394</f>
        <v>150</v>
      </c>
      <c r="K395" s="3">
        <f>K394</f>
        <v>95</v>
      </c>
      <c r="L395" s="3">
        <f>L394</f>
        <v>120</v>
      </c>
      <c r="M395" s="3">
        <f>M394</f>
        <v>71</v>
      </c>
      <c r="N395" s="3">
        <f>AVERAGE($I$2:$I$1168)</f>
        <v>78.907455012853475</v>
      </c>
      <c r="O395" s="3" t="str">
        <f>CONCATENATE(A395,"-",B395)</f>
        <v>248,1-Mega Tyranitar</v>
      </c>
    </row>
    <row r="396" spans="1:15">
      <c r="A396" s="63">
        <v>249</v>
      </c>
      <c r="B396" s="2" t="s">
        <v>297</v>
      </c>
      <c r="C396" t="s">
        <v>94</v>
      </c>
      <c r="D396" s="22">
        <f>COUNTIF($C$2:$C$1168,Tabela1[[#This Row],[Type]])</f>
        <v>83</v>
      </c>
      <c r="E396" s="62" t="str">
        <f>IF(A396&lt;=151,"Kanto",IF(A396&lt;=251,"Johto",IF(A396&lt;=386,"Hoenn",IF(A396&lt;=493,"Sinnoh",IF(A396&lt;=649,"Unova",IF(A396&lt;=721,"Kalos",IF(A396&lt;=809,"Alola",IF(A396&lt;=905,"Galar","Paldea"))))))))</f>
        <v>Johto</v>
      </c>
      <c r="F396" t="str">
        <f>IF(G396&gt;=600,"Lendário",IF(G396&gt;=500,"Forte","Normal"))</f>
        <v>Lendário</v>
      </c>
      <c r="G396" s="3">
        <v>680</v>
      </c>
      <c r="H396" s="3">
        <v>106</v>
      </c>
      <c r="I396" s="3">
        <v>90</v>
      </c>
      <c r="J396" s="3">
        <v>130</v>
      </c>
      <c r="K396" s="3">
        <v>90</v>
      </c>
      <c r="L396" s="3">
        <v>154</v>
      </c>
      <c r="M396" s="3">
        <v>110</v>
      </c>
      <c r="N396" s="3">
        <f>AVERAGE($I$2:$I$1168)</f>
        <v>78.907455012853475</v>
      </c>
      <c r="O396" s="3" t="str">
        <f>CONCATENATE(A396,"-",B396)</f>
        <v>249-Lugia</v>
      </c>
    </row>
    <row r="397" spans="1:15">
      <c r="A397" s="63">
        <v>249</v>
      </c>
      <c r="B397" s="2" t="str">
        <f>B396</f>
        <v>Lugia</v>
      </c>
      <c r="C397" t="s">
        <v>25</v>
      </c>
      <c r="D397" s="22">
        <f>COUNTIF($C$2:$C$1168,Tabela1[[#This Row],[Type]])</f>
        <v>100</v>
      </c>
      <c r="E397" s="62" t="str">
        <f>IF(A397&lt;=151,"Kanto",IF(A397&lt;=251,"Johto",IF(A397&lt;=386,"Hoenn",IF(A397&lt;=493,"Sinnoh",IF(A397&lt;=649,"Unova",IF(A397&lt;=721,"Kalos",IF(A397&lt;=809,"Alola",IF(A397&lt;=905,"Galar","Paldea"))))))))</f>
        <v>Johto</v>
      </c>
      <c r="F397" t="str">
        <f>IF(G397&gt;=600,"Lendário",IF(G397&gt;=500,"Forte","Normal"))</f>
        <v>Lendário</v>
      </c>
      <c r="G397" s="3">
        <f>G396</f>
        <v>680</v>
      </c>
      <c r="H397" s="3">
        <f>H396</f>
        <v>106</v>
      </c>
      <c r="I397" s="3">
        <f>I396</f>
        <v>90</v>
      </c>
      <c r="J397" s="3">
        <f>J396</f>
        <v>130</v>
      </c>
      <c r="K397" s="3">
        <f>K396</f>
        <v>90</v>
      </c>
      <c r="L397" s="3">
        <f>L396</f>
        <v>154</v>
      </c>
      <c r="M397" s="3">
        <f>M396</f>
        <v>110</v>
      </c>
      <c r="N397" s="3">
        <f>AVERAGE($I$2:$I$1168)</f>
        <v>78.907455012853475</v>
      </c>
      <c r="O397" s="3" t="str">
        <f>CONCATENATE(A397,"-",B397)</f>
        <v>249-Lugia</v>
      </c>
    </row>
    <row r="398" spans="1:15">
      <c r="A398" s="63">
        <v>250</v>
      </c>
      <c r="B398" s="2" t="s">
        <v>298</v>
      </c>
      <c r="C398" t="s">
        <v>22</v>
      </c>
      <c r="D398" s="22">
        <f>COUNTIF($C$2:$C$1168,Tabela1[[#This Row],[Type]])</f>
        <v>62</v>
      </c>
      <c r="E398" s="62" t="str">
        <f>IF(A398&lt;=151,"Kanto",IF(A398&lt;=251,"Johto",IF(A398&lt;=386,"Hoenn",IF(A398&lt;=493,"Sinnoh",IF(A398&lt;=649,"Unova",IF(A398&lt;=721,"Kalos",IF(A398&lt;=809,"Alola",IF(A398&lt;=905,"Galar","Paldea"))))))))</f>
        <v>Johto</v>
      </c>
      <c r="F398" t="str">
        <f>IF(G398&gt;=600,"Lendário",IF(G398&gt;=500,"Forte","Normal"))</f>
        <v>Lendário</v>
      </c>
      <c r="G398" s="3">
        <v>680</v>
      </c>
      <c r="H398" s="3">
        <v>106</v>
      </c>
      <c r="I398" s="3">
        <v>130</v>
      </c>
      <c r="J398" s="3">
        <v>90</v>
      </c>
      <c r="K398" s="3">
        <v>110</v>
      </c>
      <c r="L398" s="3">
        <v>154</v>
      </c>
      <c r="M398" s="3">
        <v>90</v>
      </c>
      <c r="N398" s="3">
        <f>AVERAGE($I$2:$I$1168)</f>
        <v>78.907455012853475</v>
      </c>
      <c r="O398" s="3" t="str">
        <f>CONCATENATE(A398,"-",B398)</f>
        <v>250-Ho-oh</v>
      </c>
    </row>
    <row r="399" spans="1:15">
      <c r="A399" s="63">
        <v>250</v>
      </c>
      <c r="B399" s="2" t="str">
        <f>B398</f>
        <v>Ho-oh</v>
      </c>
      <c r="C399" t="s">
        <v>25</v>
      </c>
      <c r="D399" s="22">
        <f>COUNTIF($C$2:$C$1168,Tabela1[[#This Row],[Type]])</f>
        <v>100</v>
      </c>
      <c r="E399" s="62" t="str">
        <f>IF(A399&lt;=151,"Kanto",IF(A399&lt;=251,"Johto",IF(A399&lt;=386,"Hoenn",IF(A399&lt;=493,"Sinnoh",IF(A399&lt;=649,"Unova",IF(A399&lt;=721,"Kalos",IF(A399&lt;=809,"Alola",IF(A399&lt;=905,"Galar","Paldea"))))))))</f>
        <v>Johto</v>
      </c>
      <c r="F399" t="str">
        <f>IF(G399&gt;=600,"Lendário",IF(G399&gt;=500,"Forte","Normal"))</f>
        <v>Lendário</v>
      </c>
      <c r="G399" s="3">
        <f>G398</f>
        <v>680</v>
      </c>
      <c r="H399" s="3">
        <f>H398</f>
        <v>106</v>
      </c>
      <c r="I399" s="3">
        <f>I398</f>
        <v>130</v>
      </c>
      <c r="J399" s="3">
        <f>J398</f>
        <v>90</v>
      </c>
      <c r="K399" s="3">
        <f>K398</f>
        <v>110</v>
      </c>
      <c r="L399" s="3">
        <f>L398</f>
        <v>154</v>
      </c>
      <c r="M399" s="3">
        <f>M398</f>
        <v>90</v>
      </c>
      <c r="N399" s="3">
        <f>AVERAGE($I$2:$I$1168)</f>
        <v>78.907455012853475</v>
      </c>
      <c r="O399" s="3" t="str">
        <f>CONCATENATE(A399,"-",B399)</f>
        <v>250-Ho-oh</v>
      </c>
    </row>
    <row r="400" spans="1:15">
      <c r="A400" s="63">
        <v>251</v>
      </c>
      <c r="B400" s="2" t="s">
        <v>299</v>
      </c>
      <c r="C400" t="s">
        <v>94</v>
      </c>
      <c r="D400" s="22">
        <f>COUNTIF($C$2:$C$1168,Tabela1[[#This Row],[Type]])</f>
        <v>83</v>
      </c>
      <c r="E400" s="62" t="str">
        <f>IF(A400&lt;=151,"Kanto",IF(A400&lt;=251,"Johto",IF(A400&lt;=386,"Hoenn",IF(A400&lt;=493,"Sinnoh",IF(A400&lt;=649,"Unova",IF(A400&lt;=721,"Kalos",IF(A400&lt;=809,"Alola",IF(A400&lt;=905,"Galar","Paldea"))))))))</f>
        <v>Johto</v>
      </c>
      <c r="F400" t="str">
        <f>IF(G400&gt;=600,"Lendário",IF(G400&gt;=500,"Forte","Normal"))</f>
        <v>Lendário</v>
      </c>
      <c r="G400" s="3">
        <v>600</v>
      </c>
      <c r="H400" s="3">
        <v>100</v>
      </c>
      <c r="I400" s="3">
        <v>100</v>
      </c>
      <c r="J400" s="3">
        <v>100</v>
      </c>
      <c r="K400" s="3">
        <v>100</v>
      </c>
      <c r="L400" s="3">
        <v>100</v>
      </c>
      <c r="M400" s="3">
        <v>100</v>
      </c>
      <c r="N400" s="3">
        <f>AVERAGE($I$2:$I$1168)</f>
        <v>78.907455012853475</v>
      </c>
      <c r="O400" s="3" t="str">
        <f>CONCATENATE(A400,"-",B400)</f>
        <v>251-Celebi</v>
      </c>
    </row>
    <row r="401" spans="1:15">
      <c r="A401" s="63">
        <v>251</v>
      </c>
      <c r="B401" s="2" t="str">
        <f>B400</f>
        <v>Celebi</v>
      </c>
      <c r="C401" t="s">
        <v>16</v>
      </c>
      <c r="D401" s="22">
        <f>COUNTIF($C$2:$C$1168,Tabela1[[#This Row],[Type]])</f>
        <v>93</v>
      </c>
      <c r="E401" s="62" t="str">
        <f>IF(A401&lt;=151,"Kanto",IF(A401&lt;=251,"Johto",IF(A401&lt;=386,"Hoenn",IF(A401&lt;=493,"Sinnoh",IF(A401&lt;=649,"Unova",IF(A401&lt;=721,"Kalos",IF(A401&lt;=809,"Alola",IF(A401&lt;=905,"Galar","Paldea"))))))))</f>
        <v>Johto</v>
      </c>
      <c r="F401" t="str">
        <f>IF(G401&gt;=600,"Lendário",IF(G401&gt;=500,"Forte","Normal"))</f>
        <v>Lendário</v>
      </c>
      <c r="G401" s="3">
        <f>G400</f>
        <v>600</v>
      </c>
      <c r="H401" s="3">
        <f>H400</f>
        <v>100</v>
      </c>
      <c r="I401" s="3">
        <f>I400</f>
        <v>100</v>
      </c>
      <c r="J401" s="3">
        <f>J400</f>
        <v>100</v>
      </c>
      <c r="K401" s="3">
        <f>K400</f>
        <v>100</v>
      </c>
      <c r="L401" s="3">
        <f>L400</f>
        <v>100</v>
      </c>
      <c r="M401" s="3">
        <f>M400</f>
        <v>100</v>
      </c>
      <c r="N401" s="3">
        <f>AVERAGE($I$2:$I$1168)</f>
        <v>78.907455012853475</v>
      </c>
      <c r="O401" s="3" t="str">
        <f>CONCATENATE(A401,"-",B401)</f>
        <v>251-Celebi</v>
      </c>
    </row>
    <row r="402" spans="1:15">
      <c r="A402" s="63">
        <v>252</v>
      </c>
      <c r="B402" s="2" t="s">
        <v>300</v>
      </c>
      <c r="C402" t="s">
        <v>16</v>
      </c>
      <c r="D402" s="22">
        <f>COUNTIF($C$2:$C$1168,Tabela1[[#This Row],[Type]])</f>
        <v>93</v>
      </c>
      <c r="E402" s="62" t="str">
        <f>IF(A402&lt;=151,"Kanto",IF(A402&lt;=251,"Johto",IF(A402&lt;=386,"Hoenn",IF(A402&lt;=493,"Sinnoh",IF(A402&lt;=649,"Unova",IF(A402&lt;=721,"Kalos",IF(A402&lt;=809,"Alola",IF(A402&lt;=905,"Galar","Paldea"))))))))</f>
        <v>Hoenn</v>
      </c>
      <c r="F402" t="str">
        <f>IF(G402&gt;=600,"Lendário",IF(G402&gt;=500,"Forte","Normal"))</f>
        <v>Normal</v>
      </c>
      <c r="G402" s="3">
        <v>310</v>
      </c>
      <c r="H402" s="3">
        <v>40</v>
      </c>
      <c r="I402" s="3">
        <v>45</v>
      </c>
      <c r="J402" s="3">
        <v>35</v>
      </c>
      <c r="K402" s="3">
        <v>65</v>
      </c>
      <c r="L402" s="3">
        <v>55</v>
      </c>
      <c r="M402" s="3">
        <v>70</v>
      </c>
      <c r="N402" s="3">
        <f>AVERAGE($I$2:$I$1168)</f>
        <v>78.907455012853475</v>
      </c>
      <c r="O402" s="3" t="str">
        <f>CONCATENATE(A402,"-",B402)</f>
        <v>252-Treecko</v>
      </c>
    </row>
    <row r="403" spans="1:15">
      <c r="A403" s="63">
        <v>253</v>
      </c>
      <c r="B403" s="2" t="s">
        <v>301</v>
      </c>
      <c r="C403" t="s">
        <v>16</v>
      </c>
      <c r="D403" s="22">
        <f>COUNTIF($C$2:$C$1168,Tabela1[[#This Row],[Type]])</f>
        <v>93</v>
      </c>
      <c r="E403" s="62" t="str">
        <f>IF(A403&lt;=151,"Kanto",IF(A403&lt;=251,"Johto",IF(A403&lt;=386,"Hoenn",IF(A403&lt;=493,"Sinnoh",IF(A403&lt;=649,"Unova",IF(A403&lt;=721,"Kalos",IF(A403&lt;=809,"Alola",IF(A403&lt;=905,"Galar","Paldea"))))))))</f>
        <v>Hoenn</v>
      </c>
      <c r="F403" t="str">
        <f>IF(G403&gt;=600,"Lendário",IF(G403&gt;=500,"Forte","Normal"))</f>
        <v>Normal</v>
      </c>
      <c r="G403" s="3">
        <v>405</v>
      </c>
      <c r="H403" s="3">
        <v>50</v>
      </c>
      <c r="I403" s="3">
        <v>65</v>
      </c>
      <c r="J403" s="3">
        <v>45</v>
      </c>
      <c r="K403" s="3">
        <v>85</v>
      </c>
      <c r="L403" s="3">
        <v>65</v>
      </c>
      <c r="M403" s="3">
        <v>95</v>
      </c>
      <c r="N403" s="3">
        <f>AVERAGE($I$2:$I$1168)</f>
        <v>78.907455012853475</v>
      </c>
      <c r="O403" s="3" t="str">
        <f>CONCATENATE(A403,"-",B403)</f>
        <v>253-Grovyle</v>
      </c>
    </row>
    <row r="404" spans="1:15">
      <c r="A404" s="63">
        <v>254</v>
      </c>
      <c r="B404" s="2" t="s">
        <v>302</v>
      </c>
      <c r="C404" t="s">
        <v>16</v>
      </c>
      <c r="D404" s="22">
        <f>COUNTIF($C$2:$C$1168,Tabela1[[#This Row],[Type]])</f>
        <v>93</v>
      </c>
      <c r="E404" s="62" t="str">
        <f>IF(A404&lt;=151,"Kanto",IF(A404&lt;=251,"Johto",IF(A404&lt;=386,"Hoenn",IF(A404&lt;=493,"Sinnoh",IF(A404&lt;=649,"Unova",IF(A404&lt;=721,"Kalos",IF(A404&lt;=809,"Alola",IF(A404&lt;=905,"Galar","Paldea"))))))))</f>
        <v>Hoenn</v>
      </c>
      <c r="F404" t="str">
        <f>IF(G404&gt;=600,"Lendário",IF(G404&gt;=500,"Forte","Normal"))</f>
        <v>Forte</v>
      </c>
      <c r="G404" s="3">
        <v>530</v>
      </c>
      <c r="H404" s="3">
        <v>70</v>
      </c>
      <c r="I404" s="3">
        <v>85</v>
      </c>
      <c r="J404" s="3">
        <v>65</v>
      </c>
      <c r="K404" s="3">
        <v>105</v>
      </c>
      <c r="L404" s="3">
        <v>85</v>
      </c>
      <c r="M404" s="3">
        <v>120</v>
      </c>
      <c r="N404" s="3">
        <f>AVERAGE($I$2:$I$1168)</f>
        <v>78.907455012853475</v>
      </c>
      <c r="O404" s="3" t="str">
        <f>CONCATENATE(A404,"-",B404)</f>
        <v>254-Sceptile</v>
      </c>
    </row>
    <row r="405" spans="1:15">
      <c r="A405" s="63">
        <v>255</v>
      </c>
      <c r="B405" s="2" t="s">
        <v>303</v>
      </c>
      <c r="C405" t="s">
        <v>22</v>
      </c>
      <c r="D405" s="22">
        <f>COUNTIF($C$2:$C$1168,Tabela1[[#This Row],[Type]])</f>
        <v>62</v>
      </c>
      <c r="E405" s="62" t="str">
        <f>IF(A405&lt;=151,"Kanto",IF(A405&lt;=251,"Johto",IF(A405&lt;=386,"Hoenn",IF(A405&lt;=493,"Sinnoh",IF(A405&lt;=649,"Unova",IF(A405&lt;=721,"Kalos",IF(A405&lt;=809,"Alola",IF(A405&lt;=905,"Galar","Paldea"))))))))</f>
        <v>Hoenn</v>
      </c>
      <c r="F405" t="str">
        <f>IF(G405&gt;=600,"Lendário",IF(G405&gt;=500,"Forte","Normal"))</f>
        <v>Normal</v>
      </c>
      <c r="G405" s="3">
        <v>310</v>
      </c>
      <c r="H405" s="3">
        <v>45</v>
      </c>
      <c r="I405" s="3">
        <v>60</v>
      </c>
      <c r="J405" s="3">
        <v>40</v>
      </c>
      <c r="K405" s="3">
        <v>70</v>
      </c>
      <c r="L405" s="3">
        <v>50</v>
      </c>
      <c r="M405" s="3">
        <v>45</v>
      </c>
      <c r="N405" s="3">
        <f>AVERAGE($I$2:$I$1168)</f>
        <v>78.907455012853475</v>
      </c>
      <c r="O405" s="3" t="str">
        <f>CONCATENATE(A405,"-",B405)</f>
        <v>255-Torchic</v>
      </c>
    </row>
    <row r="406" spans="1:15">
      <c r="A406" s="63">
        <v>256</v>
      </c>
      <c r="B406" s="2" t="s">
        <v>304</v>
      </c>
      <c r="C406" t="s">
        <v>22</v>
      </c>
      <c r="D406" s="22">
        <f>COUNTIF($C$2:$C$1168,Tabela1[[#This Row],[Type]])</f>
        <v>62</v>
      </c>
      <c r="E406" s="62" t="str">
        <f>IF(A406&lt;=151,"Kanto",IF(A406&lt;=251,"Johto",IF(A406&lt;=386,"Hoenn",IF(A406&lt;=493,"Sinnoh",IF(A406&lt;=649,"Unova",IF(A406&lt;=721,"Kalos",IF(A406&lt;=809,"Alola",IF(A406&lt;=905,"Galar","Paldea"))))))))</f>
        <v>Hoenn</v>
      </c>
      <c r="F406" t="str">
        <f>IF(G406&gt;=600,"Lendário",IF(G406&gt;=500,"Forte","Normal"))</f>
        <v>Normal</v>
      </c>
      <c r="G406" s="3">
        <v>405</v>
      </c>
      <c r="H406" s="3">
        <v>60</v>
      </c>
      <c r="I406" s="3">
        <v>85</v>
      </c>
      <c r="J406" s="3">
        <v>60</v>
      </c>
      <c r="K406" s="3">
        <v>85</v>
      </c>
      <c r="L406" s="3">
        <v>60</v>
      </c>
      <c r="M406" s="3">
        <v>55</v>
      </c>
      <c r="N406" s="3">
        <f>AVERAGE($I$2:$I$1168)</f>
        <v>78.907455012853475</v>
      </c>
      <c r="O406" s="3" t="str">
        <f>CONCATENATE(A406,"-",B406)</f>
        <v>256-Combusken</v>
      </c>
    </row>
    <row r="407" spans="1:15">
      <c r="A407" s="63">
        <v>256</v>
      </c>
      <c r="B407" s="2" t="str">
        <f>B406</f>
        <v>Combusken</v>
      </c>
      <c r="C407" t="s">
        <v>86</v>
      </c>
      <c r="D407" s="22">
        <f>COUNTIF($C$2:$C$1168,Tabela1[[#This Row],[Type]])</f>
        <v>51</v>
      </c>
      <c r="E407" s="62" t="str">
        <f>IF(A407&lt;=151,"Kanto",IF(A407&lt;=251,"Johto",IF(A407&lt;=386,"Hoenn",IF(A407&lt;=493,"Sinnoh",IF(A407&lt;=649,"Unova",IF(A407&lt;=721,"Kalos",IF(A407&lt;=809,"Alola",IF(A407&lt;=905,"Galar","Paldea"))))))))</f>
        <v>Hoenn</v>
      </c>
      <c r="F407" t="str">
        <f>IF(G407&gt;=600,"Lendário",IF(G407&gt;=500,"Forte","Normal"))</f>
        <v>Normal</v>
      </c>
      <c r="G407" s="3">
        <f>G406</f>
        <v>405</v>
      </c>
      <c r="H407" s="3">
        <f>H406</f>
        <v>60</v>
      </c>
      <c r="I407" s="3">
        <f>I406</f>
        <v>85</v>
      </c>
      <c r="J407" s="3">
        <f>J406</f>
        <v>60</v>
      </c>
      <c r="K407" s="3">
        <f>K406</f>
        <v>85</v>
      </c>
      <c r="L407" s="3">
        <f>L406</f>
        <v>60</v>
      </c>
      <c r="M407" s="3">
        <f>M406</f>
        <v>55</v>
      </c>
      <c r="N407" s="3">
        <f>AVERAGE($I$2:$I$1168)</f>
        <v>78.907455012853475</v>
      </c>
      <c r="O407" s="3" t="str">
        <f>CONCATENATE(A407,"-",B407)</f>
        <v>256-Combusken</v>
      </c>
    </row>
    <row r="408" spans="1:15">
      <c r="A408" s="63">
        <v>257</v>
      </c>
      <c r="B408" s="2" t="s">
        <v>305</v>
      </c>
      <c r="C408" t="s">
        <v>22</v>
      </c>
      <c r="D408" s="22">
        <f>COUNTIF($C$2:$C$1168,Tabela1[[#This Row],[Type]])</f>
        <v>62</v>
      </c>
      <c r="E408" s="62" t="str">
        <f>IF(A408&lt;=151,"Kanto",IF(A408&lt;=251,"Johto",IF(A408&lt;=386,"Hoenn",IF(A408&lt;=493,"Sinnoh",IF(A408&lt;=649,"Unova",IF(A408&lt;=721,"Kalos",IF(A408&lt;=809,"Alola",IF(A408&lt;=905,"Galar","Paldea"))))))))</f>
        <v>Hoenn</v>
      </c>
      <c r="F408" t="str">
        <f>IF(G408&gt;=600,"Lendário",IF(G408&gt;=500,"Forte","Normal"))</f>
        <v>Forte</v>
      </c>
      <c r="G408" s="3">
        <v>530</v>
      </c>
      <c r="H408" s="3">
        <v>80</v>
      </c>
      <c r="I408" s="3">
        <v>120</v>
      </c>
      <c r="J408" s="3">
        <v>70</v>
      </c>
      <c r="K408" s="3">
        <v>110</v>
      </c>
      <c r="L408" s="3">
        <v>70</v>
      </c>
      <c r="M408" s="3">
        <v>80</v>
      </c>
      <c r="N408" s="3">
        <f>AVERAGE($I$2:$I$1168)</f>
        <v>78.907455012853475</v>
      </c>
      <c r="O408" s="3" t="str">
        <f>CONCATENATE(A408,"-",B408)</f>
        <v>257-Blaziken</v>
      </c>
    </row>
    <row r="409" spans="1:15">
      <c r="A409" s="63">
        <v>257</v>
      </c>
      <c r="B409" s="2" t="str">
        <f>B408</f>
        <v>Blaziken</v>
      </c>
      <c r="C409" t="s">
        <v>86</v>
      </c>
      <c r="D409" s="22">
        <f>COUNTIF($C$2:$C$1168,Tabela1[[#This Row],[Type]])</f>
        <v>51</v>
      </c>
      <c r="E409" s="62" t="str">
        <f>IF(A409&lt;=151,"Kanto",IF(A409&lt;=251,"Johto",IF(A409&lt;=386,"Hoenn",IF(A409&lt;=493,"Sinnoh",IF(A409&lt;=649,"Unova",IF(A409&lt;=721,"Kalos",IF(A409&lt;=809,"Alola",IF(A409&lt;=905,"Galar","Paldea"))))))))</f>
        <v>Hoenn</v>
      </c>
      <c r="F409" t="str">
        <f>IF(G409&gt;=600,"Lendário",IF(G409&gt;=500,"Forte","Normal"))</f>
        <v>Forte</v>
      </c>
      <c r="G409" s="3">
        <f>G408</f>
        <v>530</v>
      </c>
      <c r="H409" s="3">
        <f>H408</f>
        <v>80</v>
      </c>
      <c r="I409" s="3">
        <f>I408</f>
        <v>120</v>
      </c>
      <c r="J409" s="3">
        <f>J408</f>
        <v>70</v>
      </c>
      <c r="K409" s="3">
        <f>K408</f>
        <v>110</v>
      </c>
      <c r="L409" s="3">
        <f>L408</f>
        <v>70</v>
      </c>
      <c r="M409" s="3">
        <f>M408</f>
        <v>80</v>
      </c>
      <c r="N409" s="3">
        <f>AVERAGE($I$2:$I$1168)</f>
        <v>78.907455012853475</v>
      </c>
      <c r="O409" s="3" t="str">
        <f>CONCATENATE(A409,"-",B409)</f>
        <v>257-Blaziken</v>
      </c>
    </row>
    <row r="410" spans="1:15">
      <c r="A410" s="63">
        <v>257.10000000000002</v>
      </c>
      <c r="B410" s="2" t="s">
        <v>306</v>
      </c>
      <c r="C410" t="s">
        <v>22</v>
      </c>
      <c r="D410" s="22">
        <f>COUNTIF($C$2:$C$1168,Tabela1[[#This Row],[Type]])</f>
        <v>62</v>
      </c>
      <c r="E410" s="62" t="str">
        <f>IF(A410&lt;=151,"Kanto",IF(A410&lt;=251,"Johto",IF(A410&lt;=386,"Hoenn",IF(A410&lt;=493,"Sinnoh",IF(A410&lt;=649,"Unova",IF(A410&lt;=721,"Kalos",IF(A410&lt;=809,"Alola",IF(A410&lt;=905,"Galar","Paldea"))))))))</f>
        <v>Hoenn</v>
      </c>
      <c r="F410" t="str">
        <f>IF(G410&gt;=600,"Lendário",IF(G410&gt;=500,"Forte","Normal"))</f>
        <v>Lendário</v>
      </c>
      <c r="G410" s="3">
        <v>630</v>
      </c>
      <c r="H410" s="3">
        <v>80</v>
      </c>
      <c r="I410" s="3">
        <v>160</v>
      </c>
      <c r="J410" s="3">
        <v>80</v>
      </c>
      <c r="K410" s="3">
        <v>130</v>
      </c>
      <c r="L410" s="3">
        <v>80</v>
      </c>
      <c r="M410" s="3">
        <v>100</v>
      </c>
      <c r="N410" s="3">
        <f>AVERAGE($I$2:$I$1168)</f>
        <v>78.907455012853475</v>
      </c>
      <c r="O410" s="3" t="str">
        <f>CONCATENATE(A410,"-",B410)</f>
        <v>257,1-Mega Blaziken</v>
      </c>
    </row>
    <row r="411" spans="1:15">
      <c r="A411" s="63">
        <v>257.10000000000002</v>
      </c>
      <c r="B411" s="2" t="s">
        <v>306</v>
      </c>
      <c r="C411" t="s">
        <v>86</v>
      </c>
      <c r="D411" s="22">
        <f>COUNTIF($C$2:$C$1168,Tabela1[[#This Row],[Type]])</f>
        <v>51</v>
      </c>
      <c r="E411" s="62" t="str">
        <f>IF(A411&lt;=151,"Kanto",IF(A411&lt;=251,"Johto",IF(A411&lt;=386,"Hoenn",IF(A411&lt;=493,"Sinnoh",IF(A411&lt;=649,"Unova",IF(A411&lt;=721,"Kalos",IF(A411&lt;=809,"Alola",IF(A411&lt;=905,"Galar","Paldea"))))))))</f>
        <v>Hoenn</v>
      </c>
      <c r="F411" t="str">
        <f>IF(G411&gt;=600,"Lendário",IF(G411&gt;=500,"Forte","Normal"))</f>
        <v>Lendário</v>
      </c>
      <c r="G411" s="3">
        <f>G410</f>
        <v>630</v>
      </c>
      <c r="H411" s="3">
        <f>H410</f>
        <v>80</v>
      </c>
      <c r="I411" s="3">
        <f>I410</f>
        <v>160</v>
      </c>
      <c r="J411" s="3">
        <f>J410</f>
        <v>80</v>
      </c>
      <c r="K411" s="3">
        <f>K410</f>
        <v>130</v>
      </c>
      <c r="L411" s="3">
        <f>L410</f>
        <v>80</v>
      </c>
      <c r="M411" s="3">
        <f>M410</f>
        <v>100</v>
      </c>
      <c r="N411" s="3">
        <f>AVERAGE($I$2:$I$1168)</f>
        <v>78.907455012853475</v>
      </c>
      <c r="O411" s="3" t="str">
        <f>CONCATENATE(A411,"-",B411)</f>
        <v>257,1-Mega Blaziken</v>
      </c>
    </row>
    <row r="412" spans="1:15">
      <c r="A412" s="63">
        <v>258</v>
      </c>
      <c r="B412" s="2" t="s">
        <v>307</v>
      </c>
      <c r="C412" t="s">
        <v>30</v>
      </c>
      <c r="D412" s="22">
        <f>COUNTIF($C$2:$C$1168,Tabela1[[#This Row],[Type]])</f>
        <v>121</v>
      </c>
      <c r="E412" s="62" t="str">
        <f>IF(A412&lt;=151,"Kanto",IF(A412&lt;=251,"Johto",IF(A412&lt;=386,"Hoenn",IF(A412&lt;=493,"Sinnoh",IF(A412&lt;=649,"Unova",IF(A412&lt;=721,"Kalos",IF(A412&lt;=809,"Alola",IF(A412&lt;=905,"Galar","Paldea"))))))))</f>
        <v>Hoenn</v>
      </c>
      <c r="F412" t="str">
        <f>IF(G412&gt;=600,"Lendário",IF(G412&gt;=500,"Forte","Normal"))</f>
        <v>Normal</v>
      </c>
      <c r="G412" s="3">
        <v>310</v>
      </c>
      <c r="H412" s="3">
        <v>50</v>
      </c>
      <c r="I412" s="3">
        <v>70</v>
      </c>
      <c r="J412" s="3">
        <v>50</v>
      </c>
      <c r="K412" s="3">
        <v>50</v>
      </c>
      <c r="L412" s="3">
        <v>50</v>
      </c>
      <c r="M412" s="3">
        <v>40</v>
      </c>
      <c r="N412" s="3">
        <f>AVERAGE($I$2:$I$1168)</f>
        <v>78.907455012853475</v>
      </c>
      <c r="O412" s="3" t="str">
        <f>CONCATENATE(A412,"-",B412)</f>
        <v>258-Mudkip</v>
      </c>
    </row>
    <row r="413" spans="1:15">
      <c r="A413" s="63">
        <v>259</v>
      </c>
      <c r="B413" s="2" t="s">
        <v>308</v>
      </c>
      <c r="C413" t="s">
        <v>30</v>
      </c>
      <c r="D413" s="22">
        <f>COUNTIF($C$2:$C$1168,Tabela1[[#This Row],[Type]])</f>
        <v>121</v>
      </c>
      <c r="E413" s="62" t="str">
        <f>IF(A413&lt;=151,"Kanto",IF(A413&lt;=251,"Johto",IF(A413&lt;=386,"Hoenn",IF(A413&lt;=493,"Sinnoh",IF(A413&lt;=649,"Unova",IF(A413&lt;=721,"Kalos",IF(A413&lt;=809,"Alola",IF(A413&lt;=905,"Galar","Paldea"))))))))</f>
        <v>Hoenn</v>
      </c>
      <c r="F413" t="str">
        <f>IF(G413&gt;=600,"Lendário",IF(G413&gt;=500,"Forte","Normal"))</f>
        <v>Normal</v>
      </c>
      <c r="G413" s="3">
        <v>405</v>
      </c>
      <c r="H413" s="3">
        <v>70</v>
      </c>
      <c r="I413" s="3">
        <v>85</v>
      </c>
      <c r="J413" s="3">
        <v>70</v>
      </c>
      <c r="K413" s="3">
        <v>60</v>
      </c>
      <c r="L413" s="3">
        <v>70</v>
      </c>
      <c r="M413" s="3">
        <v>50</v>
      </c>
      <c r="N413" s="3">
        <f>AVERAGE($I$2:$I$1168)</f>
        <v>78.907455012853475</v>
      </c>
      <c r="O413" s="3" t="str">
        <f>CONCATENATE(A413,"-",B413)</f>
        <v>259-Marshtomp</v>
      </c>
    </row>
    <row r="414" spans="1:15">
      <c r="A414" s="63">
        <v>259</v>
      </c>
      <c r="B414" s="2" t="str">
        <f>B413</f>
        <v>Marshtomp</v>
      </c>
      <c r="C414" t="s">
        <v>55</v>
      </c>
      <c r="D414" s="22">
        <f>COUNTIF($C$2:$C$1168,Tabela1[[#This Row],[Type]])</f>
        <v>62</v>
      </c>
      <c r="E414" s="62" t="str">
        <f>IF(A414&lt;=151,"Kanto",IF(A414&lt;=251,"Johto",IF(A414&lt;=386,"Hoenn",IF(A414&lt;=493,"Sinnoh",IF(A414&lt;=649,"Unova",IF(A414&lt;=721,"Kalos",IF(A414&lt;=809,"Alola",IF(A414&lt;=905,"Galar","Paldea"))))))))</f>
        <v>Hoenn</v>
      </c>
      <c r="F414" t="str">
        <f>IF(G414&gt;=600,"Lendário",IF(G414&gt;=500,"Forte","Normal"))</f>
        <v>Normal</v>
      </c>
      <c r="G414" s="3">
        <f>G413</f>
        <v>405</v>
      </c>
      <c r="H414" s="3">
        <f>H413</f>
        <v>70</v>
      </c>
      <c r="I414" s="3">
        <f>I413</f>
        <v>85</v>
      </c>
      <c r="J414" s="3">
        <f>J413</f>
        <v>70</v>
      </c>
      <c r="K414" s="3">
        <f>K413</f>
        <v>60</v>
      </c>
      <c r="L414" s="3">
        <f>L413</f>
        <v>70</v>
      </c>
      <c r="M414" s="3">
        <f>M413</f>
        <v>50</v>
      </c>
      <c r="N414" s="3">
        <f>AVERAGE($I$2:$I$1168)</f>
        <v>78.907455012853475</v>
      </c>
      <c r="O414" s="3" t="str">
        <f>CONCATENATE(A414,"-",B414)</f>
        <v>259-Marshtomp</v>
      </c>
    </row>
    <row r="415" spans="1:15">
      <c r="A415" s="63">
        <v>260</v>
      </c>
      <c r="B415" s="2" t="s">
        <v>309</v>
      </c>
      <c r="C415" t="s">
        <v>30</v>
      </c>
      <c r="D415" s="22">
        <f>COUNTIF($C$2:$C$1168,Tabela1[[#This Row],[Type]])</f>
        <v>121</v>
      </c>
      <c r="E415" s="62" t="str">
        <f>IF(A415&lt;=151,"Kanto",IF(A415&lt;=251,"Johto",IF(A415&lt;=386,"Hoenn",IF(A415&lt;=493,"Sinnoh",IF(A415&lt;=649,"Unova",IF(A415&lt;=721,"Kalos",IF(A415&lt;=809,"Alola",IF(A415&lt;=905,"Galar","Paldea"))))))))</f>
        <v>Hoenn</v>
      </c>
      <c r="F415" t="str">
        <f>IF(G415&gt;=600,"Lendário",IF(G415&gt;=500,"Forte","Normal"))</f>
        <v>Forte</v>
      </c>
      <c r="G415" s="3">
        <v>535</v>
      </c>
      <c r="H415" s="3">
        <v>100</v>
      </c>
      <c r="I415" s="3">
        <v>110</v>
      </c>
      <c r="J415" s="3">
        <v>90</v>
      </c>
      <c r="K415" s="3">
        <v>85</v>
      </c>
      <c r="L415" s="3">
        <v>90</v>
      </c>
      <c r="M415" s="3">
        <v>60</v>
      </c>
      <c r="N415" s="3">
        <f>AVERAGE($I$2:$I$1168)</f>
        <v>78.907455012853475</v>
      </c>
      <c r="O415" s="3" t="str">
        <f>CONCATENATE(A415,"-",B415)</f>
        <v>260-Swampert</v>
      </c>
    </row>
    <row r="416" spans="1:15">
      <c r="A416" s="63">
        <v>260</v>
      </c>
      <c r="B416" s="2" t="str">
        <f>B415</f>
        <v>Swampert</v>
      </c>
      <c r="C416" t="s">
        <v>55</v>
      </c>
      <c r="D416" s="22">
        <f>COUNTIF($C$2:$C$1168,Tabela1[[#This Row],[Type]])</f>
        <v>62</v>
      </c>
      <c r="E416" s="62" t="str">
        <f>IF(A416&lt;=151,"Kanto",IF(A416&lt;=251,"Johto",IF(A416&lt;=386,"Hoenn",IF(A416&lt;=493,"Sinnoh",IF(A416&lt;=649,"Unova",IF(A416&lt;=721,"Kalos",IF(A416&lt;=809,"Alola",IF(A416&lt;=905,"Galar","Paldea"))))))))</f>
        <v>Hoenn</v>
      </c>
      <c r="F416" t="str">
        <f>IF(G416&gt;=600,"Lendário",IF(G416&gt;=500,"Forte","Normal"))</f>
        <v>Forte</v>
      </c>
      <c r="G416" s="3">
        <f>G415</f>
        <v>535</v>
      </c>
      <c r="H416" s="3">
        <f>H415</f>
        <v>100</v>
      </c>
      <c r="I416" s="3">
        <f>I415</f>
        <v>110</v>
      </c>
      <c r="J416" s="3">
        <f>J415</f>
        <v>90</v>
      </c>
      <c r="K416" s="3">
        <f>K415</f>
        <v>85</v>
      </c>
      <c r="L416" s="3">
        <f>L415</f>
        <v>90</v>
      </c>
      <c r="M416" s="3">
        <f>M415</f>
        <v>60</v>
      </c>
      <c r="N416" s="3">
        <f>AVERAGE($I$2:$I$1168)</f>
        <v>78.907455012853475</v>
      </c>
      <c r="O416" s="3" t="str">
        <f>CONCATENATE(A416,"-",B416)</f>
        <v>260-Swampert</v>
      </c>
    </row>
    <row r="417" spans="1:15">
      <c r="A417" s="63">
        <v>261</v>
      </c>
      <c r="B417" s="2" t="s">
        <v>310</v>
      </c>
      <c r="C417" t="s">
        <v>170</v>
      </c>
      <c r="D417" s="22">
        <f>COUNTIF($C$2:$C$1168,Tabela1[[#This Row],[Type]])</f>
        <v>49</v>
      </c>
      <c r="E417" s="62" t="str">
        <f>IF(A417&lt;=151,"Kanto",IF(A417&lt;=251,"Johto",IF(A417&lt;=386,"Hoenn",IF(A417&lt;=493,"Sinnoh",IF(A417&lt;=649,"Unova",IF(A417&lt;=721,"Kalos",IF(A417&lt;=809,"Alola",IF(A417&lt;=905,"Galar","Paldea"))))))))</f>
        <v>Hoenn</v>
      </c>
      <c r="F417" t="str">
        <f>IF(G417&gt;=600,"Lendário",IF(G417&gt;=500,"Forte","Normal"))</f>
        <v>Normal</v>
      </c>
      <c r="G417" s="3">
        <v>220</v>
      </c>
      <c r="H417" s="3">
        <v>35</v>
      </c>
      <c r="I417" s="3">
        <v>55</v>
      </c>
      <c r="J417" s="3">
        <v>35</v>
      </c>
      <c r="K417" s="3">
        <v>30</v>
      </c>
      <c r="L417" s="3">
        <v>30</v>
      </c>
      <c r="M417" s="3">
        <v>35</v>
      </c>
      <c r="N417" s="3">
        <f>AVERAGE($I$2:$I$1168)</f>
        <v>78.907455012853475</v>
      </c>
      <c r="O417" s="3" t="str">
        <f>CONCATENATE(A417,"-",B417)</f>
        <v>261-Poochyena</v>
      </c>
    </row>
    <row r="418" spans="1:15">
      <c r="A418" s="63">
        <v>262</v>
      </c>
      <c r="B418" s="2" t="s">
        <v>311</v>
      </c>
      <c r="C418" t="s">
        <v>170</v>
      </c>
      <c r="D418" s="22">
        <f>COUNTIF($C$2:$C$1168,Tabela1[[#This Row],[Type]])</f>
        <v>49</v>
      </c>
      <c r="E418" s="62" t="str">
        <f>IF(A418&lt;=151,"Kanto",IF(A418&lt;=251,"Johto",IF(A418&lt;=386,"Hoenn",IF(A418&lt;=493,"Sinnoh",IF(A418&lt;=649,"Unova",IF(A418&lt;=721,"Kalos",IF(A418&lt;=809,"Alola",IF(A418&lt;=905,"Galar","Paldea"))))))))</f>
        <v>Hoenn</v>
      </c>
      <c r="F418" t="str">
        <f>IF(G418&gt;=600,"Lendário",IF(G418&gt;=500,"Forte","Normal"))</f>
        <v>Normal</v>
      </c>
      <c r="G418" s="3">
        <v>420</v>
      </c>
      <c r="H418" s="3">
        <v>70</v>
      </c>
      <c r="I418" s="3">
        <v>90</v>
      </c>
      <c r="J418" s="3">
        <v>70</v>
      </c>
      <c r="K418" s="3">
        <v>60</v>
      </c>
      <c r="L418" s="3">
        <v>60</v>
      </c>
      <c r="M418" s="3">
        <v>70</v>
      </c>
      <c r="N418" s="3">
        <f>AVERAGE($I$2:$I$1168)</f>
        <v>78.907455012853475</v>
      </c>
      <c r="O418" s="3" t="str">
        <f>CONCATENATE(A418,"-",B418)</f>
        <v>262-Mightyena</v>
      </c>
    </row>
    <row r="419" spans="1:15">
      <c r="A419" s="63">
        <v>262</v>
      </c>
      <c r="B419" s="2" t="str">
        <f>B418</f>
        <v>Mightyena</v>
      </c>
      <c r="C419" t="s">
        <v>64</v>
      </c>
      <c r="D419" s="22">
        <f>COUNTIF($C$2:$C$1168,Tabela1[[#This Row],[Type]])</f>
        <v>34</v>
      </c>
      <c r="E419" s="62" t="str">
        <f>IF(A419&lt;=151,"Kanto",IF(A419&lt;=251,"Johto",IF(A419&lt;=386,"Hoenn",IF(A419&lt;=493,"Sinnoh",IF(A419&lt;=649,"Unova",IF(A419&lt;=721,"Kalos",IF(A419&lt;=809,"Alola",IF(A419&lt;=905,"Galar","Paldea"))))))))</f>
        <v>Hoenn</v>
      </c>
      <c r="F419" t="str">
        <f>IF(G419&gt;=600,"Lendário",IF(G419&gt;=500,"Forte","Normal"))</f>
        <v>Normal</v>
      </c>
      <c r="G419" s="3">
        <f>G418</f>
        <v>420</v>
      </c>
      <c r="H419" s="3">
        <f>H418</f>
        <v>70</v>
      </c>
      <c r="I419" s="3">
        <f>I418</f>
        <v>90</v>
      </c>
      <c r="J419" s="3">
        <f>J418</f>
        <v>70</v>
      </c>
      <c r="K419" s="3">
        <f>K418</f>
        <v>60</v>
      </c>
      <c r="L419" s="3">
        <f>L418</f>
        <v>60</v>
      </c>
      <c r="M419" s="3">
        <f>M418</f>
        <v>70</v>
      </c>
      <c r="N419" s="3">
        <f>AVERAGE($I$2:$I$1168)</f>
        <v>78.907455012853475</v>
      </c>
      <c r="O419" s="3" t="str">
        <f>CONCATENATE(A419,"-",B419)</f>
        <v>262-Mightyena</v>
      </c>
    </row>
    <row r="420" spans="1:15">
      <c r="A420" s="63">
        <v>262</v>
      </c>
      <c r="B420" s="2" t="str">
        <f>B419</f>
        <v>Mightyena</v>
      </c>
      <c r="C420" t="s">
        <v>64</v>
      </c>
      <c r="D420" s="22">
        <f>COUNTIF($C$2:$C$1168,Tabela1[[#This Row],[Type]])</f>
        <v>34</v>
      </c>
      <c r="E420" s="62" t="str">
        <f>IF(A420&lt;=151,"Kanto",IF(A420&lt;=251,"Johto",IF(A420&lt;=386,"Hoenn",IF(A420&lt;=493,"Sinnoh",IF(A420&lt;=649,"Unova",IF(A420&lt;=721,"Kalos",IF(A420&lt;=809,"Alola",IF(A420&lt;=905,"Galar","Paldea"))))))))</f>
        <v>Hoenn</v>
      </c>
      <c r="F420" t="str">
        <f>IF(G420&gt;=600,"Lendário",IF(G420&gt;=500,"Forte","Normal"))</f>
        <v>Normal</v>
      </c>
      <c r="G420" s="3">
        <f>G419</f>
        <v>420</v>
      </c>
      <c r="H420" s="3">
        <f>H419</f>
        <v>70</v>
      </c>
      <c r="I420" s="3">
        <f>I419</f>
        <v>90</v>
      </c>
      <c r="J420" s="3">
        <f>J419</f>
        <v>70</v>
      </c>
      <c r="K420" s="3">
        <f>K419</f>
        <v>60</v>
      </c>
      <c r="L420" s="3">
        <f>L419</f>
        <v>60</v>
      </c>
      <c r="M420" s="3">
        <f>M419</f>
        <v>70</v>
      </c>
      <c r="N420" s="3">
        <f>AVERAGE($I$2:$I$1168)</f>
        <v>78.907455012853475</v>
      </c>
      <c r="O420" s="3" t="str">
        <f>CONCATENATE(A420,"-",B420)</f>
        <v>262-Mightyena</v>
      </c>
    </row>
    <row r="421" spans="1:15">
      <c r="A421" s="63">
        <v>263</v>
      </c>
      <c r="B421" s="2" t="s">
        <v>312</v>
      </c>
      <c r="C421" t="s">
        <v>42</v>
      </c>
      <c r="D421" s="22">
        <f>COUNTIF($C$2:$C$1168,Tabela1[[#This Row],[Type]])</f>
        <v>99</v>
      </c>
      <c r="E421" s="62" t="str">
        <f>IF(A421&lt;=151,"Kanto",IF(A421&lt;=251,"Johto",IF(A421&lt;=386,"Hoenn",IF(A421&lt;=493,"Sinnoh",IF(A421&lt;=649,"Unova",IF(A421&lt;=721,"Kalos",IF(A421&lt;=809,"Alola",IF(A421&lt;=905,"Galar","Paldea"))))))))</f>
        <v>Hoenn</v>
      </c>
      <c r="F421" t="str">
        <f>IF(G421&gt;=600,"Lendário",IF(G421&gt;=500,"Forte","Normal"))</f>
        <v>Normal</v>
      </c>
      <c r="G421" s="3">
        <v>240</v>
      </c>
      <c r="H421" s="3">
        <v>38</v>
      </c>
      <c r="I421" s="3">
        <v>30</v>
      </c>
      <c r="J421" s="3">
        <v>41</v>
      </c>
      <c r="K421" s="3">
        <v>30</v>
      </c>
      <c r="L421" s="3">
        <v>41</v>
      </c>
      <c r="M421" s="3">
        <v>60</v>
      </c>
      <c r="N421" s="3">
        <f>AVERAGE($I$2:$I$1168)</f>
        <v>78.907455012853475</v>
      </c>
      <c r="O421" s="3" t="str">
        <f>CONCATENATE(A421,"-",B421)</f>
        <v>263-Zigzagoon</v>
      </c>
    </row>
    <row r="422" spans="1:15">
      <c r="A422" s="63">
        <v>264</v>
      </c>
      <c r="B422" s="2" t="s">
        <v>313</v>
      </c>
      <c r="C422" t="s">
        <v>42</v>
      </c>
      <c r="D422" s="22">
        <f>COUNTIF($C$2:$C$1168,Tabela1[[#This Row],[Type]])</f>
        <v>99</v>
      </c>
      <c r="E422" s="62" t="str">
        <f>IF(A422&lt;=151,"Kanto",IF(A422&lt;=251,"Johto",IF(A422&lt;=386,"Hoenn",IF(A422&lt;=493,"Sinnoh",IF(A422&lt;=649,"Unova",IF(A422&lt;=721,"Kalos",IF(A422&lt;=809,"Alola",IF(A422&lt;=905,"Galar","Paldea"))))))))</f>
        <v>Hoenn</v>
      </c>
      <c r="F422" t="str">
        <f>IF(G422&gt;=600,"Lendário",IF(G422&gt;=500,"Forte","Normal"))</f>
        <v>Normal</v>
      </c>
      <c r="G422" s="3">
        <v>420</v>
      </c>
      <c r="H422" s="3">
        <v>78</v>
      </c>
      <c r="I422" s="3">
        <v>70</v>
      </c>
      <c r="J422" s="3">
        <v>61</v>
      </c>
      <c r="K422" s="3">
        <v>50</v>
      </c>
      <c r="L422" s="3">
        <v>61</v>
      </c>
      <c r="M422" s="3">
        <v>100</v>
      </c>
      <c r="N422" s="3">
        <f>AVERAGE($I$2:$I$1168)</f>
        <v>78.907455012853475</v>
      </c>
      <c r="O422" s="3" t="str">
        <f>CONCATENATE(A422,"-",B422)</f>
        <v>264-Linoone</v>
      </c>
    </row>
    <row r="423" spans="1:15">
      <c r="A423" s="63">
        <v>265</v>
      </c>
      <c r="B423" s="2" t="s">
        <v>314</v>
      </c>
      <c r="C423" t="s">
        <v>35</v>
      </c>
      <c r="D423" s="22">
        <f>COUNTIF($C$2:$C$1168,Tabela1[[#This Row],[Type]])</f>
        <v>71</v>
      </c>
      <c r="E423" s="62" t="str">
        <f>IF(A423&lt;=151,"Kanto",IF(A423&lt;=251,"Johto",IF(A423&lt;=386,"Hoenn",IF(A423&lt;=493,"Sinnoh",IF(A423&lt;=649,"Unova",IF(A423&lt;=721,"Kalos",IF(A423&lt;=809,"Alola",IF(A423&lt;=905,"Galar","Paldea"))))))))</f>
        <v>Hoenn</v>
      </c>
      <c r="F423" t="str">
        <f>IF(G423&gt;=600,"Lendário",IF(G423&gt;=500,"Forte","Normal"))</f>
        <v>Normal</v>
      </c>
      <c r="G423" s="3">
        <v>195</v>
      </c>
      <c r="H423" s="3">
        <v>45</v>
      </c>
      <c r="I423" s="3">
        <v>45</v>
      </c>
      <c r="J423" s="3">
        <v>35</v>
      </c>
      <c r="K423" s="3">
        <v>20</v>
      </c>
      <c r="L423" s="3">
        <v>30</v>
      </c>
      <c r="M423" s="3">
        <v>20</v>
      </c>
      <c r="N423" s="3">
        <f>AVERAGE($I$2:$I$1168)</f>
        <v>78.907455012853475</v>
      </c>
      <c r="O423" s="3" t="str">
        <f>CONCATENATE(A423,"-",B423)</f>
        <v>265-Wurmple</v>
      </c>
    </row>
    <row r="424" spans="1:15">
      <c r="A424" s="63">
        <v>266</v>
      </c>
      <c r="B424" s="2" t="s">
        <v>315</v>
      </c>
      <c r="C424" t="s">
        <v>35</v>
      </c>
      <c r="D424" s="22">
        <f>COUNTIF($C$2:$C$1168,Tabela1[[#This Row],[Type]])</f>
        <v>71</v>
      </c>
      <c r="E424" s="62" t="str">
        <f>IF(A424&lt;=151,"Kanto",IF(A424&lt;=251,"Johto",IF(A424&lt;=386,"Hoenn",IF(A424&lt;=493,"Sinnoh",IF(A424&lt;=649,"Unova",IF(A424&lt;=721,"Kalos",IF(A424&lt;=809,"Alola",IF(A424&lt;=905,"Galar","Paldea"))))))))</f>
        <v>Hoenn</v>
      </c>
      <c r="F424" t="str">
        <f>IF(G424&gt;=600,"Lendário",IF(G424&gt;=500,"Forte","Normal"))</f>
        <v>Normal</v>
      </c>
      <c r="G424" s="3">
        <v>205</v>
      </c>
      <c r="H424" s="3">
        <v>50</v>
      </c>
      <c r="I424" s="3">
        <v>35</v>
      </c>
      <c r="J424" s="3">
        <v>55</v>
      </c>
      <c r="K424" s="3">
        <v>25</v>
      </c>
      <c r="L424" s="3">
        <v>25</v>
      </c>
      <c r="M424" s="3">
        <v>15</v>
      </c>
      <c r="N424" s="3">
        <f>AVERAGE($I$2:$I$1168)</f>
        <v>78.907455012853475</v>
      </c>
      <c r="O424" s="3" t="str">
        <f>CONCATENATE(A424,"-",B424)</f>
        <v>266-Silcoon</v>
      </c>
    </row>
    <row r="425" spans="1:15">
      <c r="A425" s="63">
        <v>267</v>
      </c>
      <c r="B425" s="2" t="s">
        <v>316</v>
      </c>
      <c r="C425" t="s">
        <v>35</v>
      </c>
      <c r="D425" s="22">
        <f>COUNTIF($C$2:$C$1168,Tabela1[[#This Row],[Type]])</f>
        <v>71</v>
      </c>
      <c r="E425" s="62" t="str">
        <f>IF(A425&lt;=151,"Kanto",IF(A425&lt;=251,"Johto",IF(A425&lt;=386,"Hoenn",IF(A425&lt;=493,"Sinnoh",IF(A425&lt;=649,"Unova",IF(A425&lt;=721,"Kalos",IF(A425&lt;=809,"Alola",IF(A425&lt;=905,"Galar","Paldea"))))))))</f>
        <v>Hoenn</v>
      </c>
      <c r="F425" t="str">
        <f>IF(G425&gt;=600,"Lendário",IF(G425&gt;=500,"Forte","Normal"))</f>
        <v>Normal</v>
      </c>
      <c r="G425" s="3">
        <v>385</v>
      </c>
      <c r="H425" s="3">
        <v>60</v>
      </c>
      <c r="I425" s="3">
        <v>70</v>
      </c>
      <c r="J425" s="3">
        <v>50</v>
      </c>
      <c r="K425" s="3">
        <v>90</v>
      </c>
      <c r="L425" s="3">
        <v>50</v>
      </c>
      <c r="M425" s="3">
        <v>65</v>
      </c>
      <c r="N425" s="3">
        <f>AVERAGE($I$2:$I$1168)</f>
        <v>78.907455012853475</v>
      </c>
      <c r="O425" s="3" t="str">
        <f>CONCATENATE(A425,"-",B425)</f>
        <v>267-Beautifly</v>
      </c>
    </row>
    <row r="426" spans="1:15">
      <c r="A426" s="63">
        <v>267</v>
      </c>
      <c r="B426" s="2" t="str">
        <f>B425</f>
        <v>Beautifly</v>
      </c>
      <c r="C426" t="s">
        <v>25</v>
      </c>
      <c r="D426" s="22">
        <f>COUNTIF($C$2:$C$1168,Tabela1[[#This Row],[Type]])</f>
        <v>100</v>
      </c>
      <c r="E426" s="62" t="str">
        <f>IF(A426&lt;=151,"Kanto",IF(A426&lt;=251,"Johto",IF(A426&lt;=386,"Hoenn",IF(A426&lt;=493,"Sinnoh",IF(A426&lt;=649,"Unova",IF(A426&lt;=721,"Kalos",IF(A426&lt;=809,"Alola",IF(A426&lt;=905,"Galar","Paldea"))))))))</f>
        <v>Hoenn</v>
      </c>
      <c r="F426" t="str">
        <f>IF(G426&gt;=600,"Lendário",IF(G426&gt;=500,"Forte","Normal"))</f>
        <v>Normal</v>
      </c>
      <c r="G426" s="3">
        <f>G425</f>
        <v>385</v>
      </c>
      <c r="H426" s="3">
        <f>H425</f>
        <v>60</v>
      </c>
      <c r="I426" s="3">
        <f>I425</f>
        <v>70</v>
      </c>
      <c r="J426" s="3">
        <f>J425</f>
        <v>50</v>
      </c>
      <c r="K426" s="3">
        <f>K425</f>
        <v>90</v>
      </c>
      <c r="L426" s="3">
        <f>L425</f>
        <v>50</v>
      </c>
      <c r="M426" s="3">
        <f>M425</f>
        <v>65</v>
      </c>
      <c r="N426" s="3">
        <f>AVERAGE($I$2:$I$1168)</f>
        <v>78.907455012853475</v>
      </c>
      <c r="O426" s="3" t="str">
        <f>CONCATENATE(A426,"-",B426)</f>
        <v>267-Beautifly</v>
      </c>
    </row>
    <row r="427" spans="1:15">
      <c r="A427" s="63">
        <v>268</v>
      </c>
      <c r="B427" s="2" t="s">
        <v>317</v>
      </c>
      <c r="C427" t="s">
        <v>35</v>
      </c>
      <c r="D427" s="22">
        <f>COUNTIF($C$2:$C$1168,Tabela1[[#This Row],[Type]])</f>
        <v>71</v>
      </c>
      <c r="E427" s="62" t="str">
        <f>IF(A427&lt;=151,"Kanto",IF(A427&lt;=251,"Johto",IF(A427&lt;=386,"Hoenn",IF(A427&lt;=493,"Sinnoh",IF(A427&lt;=649,"Unova",IF(A427&lt;=721,"Kalos",IF(A427&lt;=809,"Alola",IF(A427&lt;=905,"Galar","Paldea"))))))))</f>
        <v>Hoenn</v>
      </c>
      <c r="F427" t="str">
        <f>IF(G427&gt;=600,"Lendário",IF(G427&gt;=500,"Forte","Normal"))</f>
        <v>Normal</v>
      </c>
      <c r="G427" s="3">
        <v>205</v>
      </c>
      <c r="H427" s="3">
        <v>50</v>
      </c>
      <c r="I427" s="3">
        <v>35</v>
      </c>
      <c r="J427" s="3">
        <v>55</v>
      </c>
      <c r="K427" s="3">
        <v>25</v>
      </c>
      <c r="L427" s="3">
        <v>25</v>
      </c>
      <c r="M427" s="3">
        <v>15</v>
      </c>
      <c r="N427" s="3">
        <f>AVERAGE($I$2:$I$1168)</f>
        <v>78.907455012853475</v>
      </c>
      <c r="O427" s="3" t="str">
        <f>CONCATENATE(A427,"-",B427)</f>
        <v>268-Cascoon</v>
      </c>
    </row>
    <row r="428" spans="1:15">
      <c r="A428" s="63">
        <v>269</v>
      </c>
      <c r="B428" s="2" t="s">
        <v>318</v>
      </c>
      <c r="C428" t="s">
        <v>35</v>
      </c>
      <c r="D428" s="22">
        <f>COUNTIF($C$2:$C$1168,Tabela1[[#This Row],[Type]])</f>
        <v>71</v>
      </c>
      <c r="E428" s="62" t="str">
        <f>IF(A428&lt;=151,"Kanto",IF(A428&lt;=251,"Johto",IF(A428&lt;=386,"Hoenn",IF(A428&lt;=493,"Sinnoh",IF(A428&lt;=649,"Unova",IF(A428&lt;=721,"Kalos",IF(A428&lt;=809,"Alola",IF(A428&lt;=905,"Galar","Paldea"))))))))</f>
        <v>Hoenn</v>
      </c>
      <c r="F428" t="str">
        <f>IF(G428&gt;=600,"Lendário",IF(G428&gt;=500,"Forte","Normal"))</f>
        <v>Normal</v>
      </c>
      <c r="G428" s="3">
        <v>385</v>
      </c>
      <c r="H428" s="3">
        <v>60</v>
      </c>
      <c r="I428" s="3">
        <v>50</v>
      </c>
      <c r="J428" s="3">
        <v>70</v>
      </c>
      <c r="K428" s="3">
        <v>50</v>
      </c>
      <c r="L428" s="3">
        <v>90</v>
      </c>
      <c r="M428" s="3">
        <v>65</v>
      </c>
      <c r="N428" s="3">
        <f>AVERAGE($I$2:$I$1168)</f>
        <v>78.907455012853475</v>
      </c>
      <c r="O428" s="3" t="str">
        <f>CONCATENATE(A428,"-",B428)</f>
        <v>269-Dustox</v>
      </c>
    </row>
    <row r="429" spans="1:15">
      <c r="A429" s="63">
        <v>269</v>
      </c>
      <c r="B429" s="2" t="str">
        <f>B428</f>
        <v>Dustox</v>
      </c>
      <c r="C429" t="s">
        <v>17</v>
      </c>
      <c r="D429" s="22">
        <f>COUNTIF($C$2:$C$1168,Tabela1[[#This Row],[Type]])</f>
        <v>61</v>
      </c>
      <c r="E429" s="62" t="str">
        <f>IF(A429&lt;=151,"Kanto",IF(A429&lt;=251,"Johto",IF(A429&lt;=386,"Hoenn",IF(A429&lt;=493,"Sinnoh",IF(A429&lt;=649,"Unova",IF(A429&lt;=721,"Kalos",IF(A429&lt;=809,"Alola",IF(A429&lt;=905,"Galar","Paldea"))))))))</f>
        <v>Hoenn</v>
      </c>
      <c r="F429" t="str">
        <f>IF(G429&gt;=600,"Lendário",IF(G429&gt;=500,"Forte","Normal"))</f>
        <v>Normal</v>
      </c>
      <c r="G429" s="3">
        <f>G428</f>
        <v>385</v>
      </c>
      <c r="H429" s="3">
        <f>H428</f>
        <v>60</v>
      </c>
      <c r="I429" s="3">
        <f>I428</f>
        <v>50</v>
      </c>
      <c r="J429" s="3">
        <f>J428</f>
        <v>70</v>
      </c>
      <c r="K429" s="3">
        <f>K428</f>
        <v>50</v>
      </c>
      <c r="L429" s="3">
        <f>L428</f>
        <v>90</v>
      </c>
      <c r="M429" s="3">
        <f>M428</f>
        <v>65</v>
      </c>
      <c r="N429" s="3">
        <f>AVERAGE($I$2:$I$1168)</f>
        <v>78.907455012853475</v>
      </c>
      <c r="O429" s="3" t="str">
        <f>CONCATENATE(A429,"-",B429)</f>
        <v>269-Dustox</v>
      </c>
    </row>
    <row r="430" spans="1:15">
      <c r="A430" s="63">
        <v>270</v>
      </c>
      <c r="B430" s="2" t="s">
        <v>319</v>
      </c>
      <c r="C430" t="s">
        <v>30</v>
      </c>
      <c r="D430" s="22">
        <f>COUNTIF($C$2:$C$1168,Tabela1[[#This Row],[Type]])</f>
        <v>121</v>
      </c>
      <c r="E430" s="62" t="str">
        <f>IF(A430&lt;=151,"Kanto",IF(A430&lt;=251,"Johto",IF(A430&lt;=386,"Hoenn",IF(A430&lt;=493,"Sinnoh",IF(A430&lt;=649,"Unova",IF(A430&lt;=721,"Kalos",IF(A430&lt;=809,"Alola",IF(A430&lt;=905,"Galar","Paldea"))))))))</f>
        <v>Hoenn</v>
      </c>
      <c r="F430" t="str">
        <f>IF(G430&gt;=600,"Lendário",IF(G430&gt;=500,"Forte","Normal"))</f>
        <v>Normal</v>
      </c>
      <c r="G430" s="3">
        <v>220</v>
      </c>
      <c r="H430" s="3">
        <v>40</v>
      </c>
      <c r="I430" s="3">
        <v>30</v>
      </c>
      <c r="J430" s="3">
        <v>30</v>
      </c>
      <c r="K430" s="3">
        <v>40</v>
      </c>
      <c r="L430" s="3">
        <v>50</v>
      </c>
      <c r="M430" s="3">
        <v>30</v>
      </c>
      <c r="N430" s="3">
        <f>AVERAGE($I$2:$I$1168)</f>
        <v>78.907455012853475</v>
      </c>
      <c r="O430" s="3" t="str">
        <f>CONCATENATE(A430,"-",B430)</f>
        <v>270-Lotad</v>
      </c>
    </row>
    <row r="431" spans="1:15">
      <c r="A431" s="63">
        <v>270</v>
      </c>
      <c r="B431" s="2" t="str">
        <f>B430</f>
        <v>Lotad</v>
      </c>
      <c r="C431" t="s">
        <v>16</v>
      </c>
      <c r="D431" s="22">
        <f>COUNTIF($C$2:$C$1168,Tabela1[[#This Row],[Type]])</f>
        <v>93</v>
      </c>
      <c r="E431" s="62" t="str">
        <f>IF(A431&lt;=151,"Kanto",IF(A431&lt;=251,"Johto",IF(A431&lt;=386,"Hoenn",IF(A431&lt;=493,"Sinnoh",IF(A431&lt;=649,"Unova",IF(A431&lt;=721,"Kalos",IF(A431&lt;=809,"Alola",IF(A431&lt;=905,"Galar","Paldea"))))))))</f>
        <v>Hoenn</v>
      </c>
      <c r="F431" t="str">
        <f>IF(G431&gt;=600,"Lendário",IF(G431&gt;=500,"Forte","Normal"))</f>
        <v>Normal</v>
      </c>
      <c r="G431" s="3">
        <f>G430</f>
        <v>220</v>
      </c>
      <c r="H431" s="3">
        <f>H430</f>
        <v>40</v>
      </c>
      <c r="I431" s="3">
        <f>I430</f>
        <v>30</v>
      </c>
      <c r="J431" s="3">
        <f>J430</f>
        <v>30</v>
      </c>
      <c r="K431" s="3">
        <f>K430</f>
        <v>40</v>
      </c>
      <c r="L431" s="3">
        <f>L430</f>
        <v>50</v>
      </c>
      <c r="M431" s="3">
        <f>M430</f>
        <v>30</v>
      </c>
      <c r="N431" s="3">
        <f>AVERAGE($I$2:$I$1168)</f>
        <v>78.907455012853475</v>
      </c>
      <c r="O431" s="3" t="str">
        <f>CONCATENATE(A431,"-",B431)</f>
        <v>270-Lotad</v>
      </c>
    </row>
    <row r="432" spans="1:15">
      <c r="A432" s="63">
        <v>271</v>
      </c>
      <c r="B432" s="2" t="s">
        <v>320</v>
      </c>
      <c r="C432" t="s">
        <v>30</v>
      </c>
      <c r="D432" s="22">
        <f>COUNTIF($C$2:$C$1168,Tabela1[[#This Row],[Type]])</f>
        <v>121</v>
      </c>
      <c r="E432" s="62" t="str">
        <f>IF(A432&lt;=151,"Kanto",IF(A432&lt;=251,"Johto",IF(A432&lt;=386,"Hoenn",IF(A432&lt;=493,"Sinnoh",IF(A432&lt;=649,"Unova",IF(A432&lt;=721,"Kalos",IF(A432&lt;=809,"Alola",IF(A432&lt;=905,"Galar","Paldea"))))))))</f>
        <v>Hoenn</v>
      </c>
      <c r="F432" t="str">
        <f>IF(G432&gt;=600,"Lendário",IF(G432&gt;=500,"Forte","Normal"))</f>
        <v>Normal</v>
      </c>
      <c r="G432" s="3">
        <v>340</v>
      </c>
      <c r="H432" s="3">
        <v>60</v>
      </c>
      <c r="I432" s="3">
        <v>50</v>
      </c>
      <c r="J432" s="3">
        <v>50</v>
      </c>
      <c r="K432" s="3">
        <v>60</v>
      </c>
      <c r="L432" s="3">
        <v>70</v>
      </c>
      <c r="M432" s="3">
        <v>50</v>
      </c>
      <c r="N432" s="3">
        <f>AVERAGE($I$2:$I$1168)</f>
        <v>78.907455012853475</v>
      </c>
      <c r="O432" s="3" t="str">
        <f>CONCATENATE(A432,"-",B432)</f>
        <v>271-Lombre</v>
      </c>
    </row>
    <row r="433" spans="1:15">
      <c r="A433" s="63">
        <v>271</v>
      </c>
      <c r="B433" s="2" t="str">
        <f>B432</f>
        <v>Lombre</v>
      </c>
      <c r="C433" t="s">
        <v>16</v>
      </c>
      <c r="D433" s="22">
        <f>COUNTIF($C$2:$C$1168,Tabela1[[#This Row],[Type]])</f>
        <v>93</v>
      </c>
      <c r="E433" s="62" t="str">
        <f>IF(A433&lt;=151,"Kanto",IF(A433&lt;=251,"Johto",IF(A433&lt;=386,"Hoenn",IF(A433&lt;=493,"Sinnoh",IF(A433&lt;=649,"Unova",IF(A433&lt;=721,"Kalos",IF(A433&lt;=809,"Alola",IF(A433&lt;=905,"Galar","Paldea"))))))))</f>
        <v>Hoenn</v>
      </c>
      <c r="F433" t="str">
        <f>IF(G433&gt;=600,"Lendário",IF(G433&gt;=500,"Forte","Normal"))</f>
        <v>Normal</v>
      </c>
      <c r="G433" s="3">
        <f>G432</f>
        <v>340</v>
      </c>
      <c r="H433" s="3">
        <f>H432</f>
        <v>60</v>
      </c>
      <c r="I433" s="3">
        <f>I432</f>
        <v>50</v>
      </c>
      <c r="J433" s="3">
        <f>J432</f>
        <v>50</v>
      </c>
      <c r="K433" s="3">
        <f>K432</f>
        <v>60</v>
      </c>
      <c r="L433" s="3">
        <f>L432</f>
        <v>70</v>
      </c>
      <c r="M433" s="3">
        <f>M432</f>
        <v>50</v>
      </c>
      <c r="N433" s="3">
        <f>AVERAGE($I$2:$I$1168)</f>
        <v>78.907455012853475</v>
      </c>
      <c r="O433" s="3" t="str">
        <f>CONCATENATE(A433,"-",B433)</f>
        <v>271-Lombre</v>
      </c>
    </row>
    <row r="434" spans="1:15">
      <c r="A434" s="63">
        <v>272</v>
      </c>
      <c r="B434" s="2" t="s">
        <v>321</v>
      </c>
      <c r="C434" t="s">
        <v>30</v>
      </c>
      <c r="D434" s="22">
        <f>COUNTIF($C$2:$C$1168,Tabela1[[#This Row],[Type]])</f>
        <v>121</v>
      </c>
      <c r="E434" s="62" t="str">
        <f>IF(A434&lt;=151,"Kanto",IF(A434&lt;=251,"Johto",IF(A434&lt;=386,"Hoenn",IF(A434&lt;=493,"Sinnoh",IF(A434&lt;=649,"Unova",IF(A434&lt;=721,"Kalos",IF(A434&lt;=809,"Alola",IF(A434&lt;=905,"Galar","Paldea"))))))))</f>
        <v>Hoenn</v>
      </c>
      <c r="F434" t="str">
        <f>IF(G434&gt;=600,"Lendário",IF(G434&gt;=500,"Forte","Normal"))</f>
        <v>Normal</v>
      </c>
      <c r="G434" s="3">
        <v>480</v>
      </c>
      <c r="H434" s="3">
        <v>80</v>
      </c>
      <c r="I434" s="3">
        <v>70</v>
      </c>
      <c r="J434" s="3">
        <v>70</v>
      </c>
      <c r="K434" s="3">
        <v>90</v>
      </c>
      <c r="L434" s="3">
        <v>100</v>
      </c>
      <c r="M434" s="3">
        <v>70</v>
      </c>
      <c r="N434" s="3">
        <f>AVERAGE($I$2:$I$1168)</f>
        <v>78.907455012853475</v>
      </c>
      <c r="O434" s="3" t="str">
        <f>CONCATENATE(A434,"-",B434)</f>
        <v>272-Ludicolo</v>
      </c>
    </row>
    <row r="435" spans="1:15">
      <c r="A435" s="63">
        <v>272</v>
      </c>
      <c r="B435" s="2" t="str">
        <f>B434</f>
        <v>Ludicolo</v>
      </c>
      <c r="C435" t="s">
        <v>16</v>
      </c>
      <c r="D435" s="22">
        <f>COUNTIF($C$2:$C$1168,Tabela1[[#This Row],[Type]])</f>
        <v>93</v>
      </c>
      <c r="E435" s="62" t="str">
        <f>IF(A435&lt;=151,"Kanto",IF(A435&lt;=251,"Johto",IF(A435&lt;=386,"Hoenn",IF(A435&lt;=493,"Sinnoh",IF(A435&lt;=649,"Unova",IF(A435&lt;=721,"Kalos",IF(A435&lt;=809,"Alola",IF(A435&lt;=905,"Galar","Paldea"))))))))</f>
        <v>Hoenn</v>
      </c>
      <c r="F435" t="str">
        <f>IF(G435&gt;=600,"Lendário",IF(G435&gt;=500,"Forte","Normal"))</f>
        <v>Normal</v>
      </c>
      <c r="G435" s="3">
        <f>G434</f>
        <v>480</v>
      </c>
      <c r="H435" s="3">
        <f>H434</f>
        <v>80</v>
      </c>
      <c r="I435" s="3">
        <f>I434</f>
        <v>70</v>
      </c>
      <c r="J435" s="3">
        <f>J434</f>
        <v>70</v>
      </c>
      <c r="K435" s="3">
        <f>K434</f>
        <v>90</v>
      </c>
      <c r="L435" s="3">
        <f>L434</f>
        <v>100</v>
      </c>
      <c r="M435" s="3">
        <f>M434</f>
        <v>70</v>
      </c>
      <c r="N435" s="3">
        <f>AVERAGE($I$2:$I$1168)</f>
        <v>78.907455012853475</v>
      </c>
      <c r="O435" s="3" t="str">
        <f>CONCATENATE(A435,"-",B435)</f>
        <v>272-Ludicolo</v>
      </c>
    </row>
    <row r="436" spans="1:15">
      <c r="A436" s="63">
        <v>273</v>
      </c>
      <c r="B436" s="2" t="s">
        <v>322</v>
      </c>
      <c r="C436" t="s">
        <v>16</v>
      </c>
      <c r="D436" s="22">
        <f>COUNTIF($C$2:$C$1168,Tabela1[[#This Row],[Type]])</f>
        <v>93</v>
      </c>
      <c r="E436" s="62" t="str">
        <f>IF(A436&lt;=151,"Kanto",IF(A436&lt;=251,"Johto",IF(A436&lt;=386,"Hoenn",IF(A436&lt;=493,"Sinnoh",IF(A436&lt;=649,"Unova",IF(A436&lt;=721,"Kalos",IF(A436&lt;=809,"Alola",IF(A436&lt;=905,"Galar","Paldea"))))))))</f>
        <v>Hoenn</v>
      </c>
      <c r="F436" t="str">
        <f>IF(G436&gt;=600,"Lendário",IF(G436&gt;=500,"Forte","Normal"))</f>
        <v>Normal</v>
      </c>
      <c r="G436" s="3">
        <v>220</v>
      </c>
      <c r="H436" s="3">
        <v>40</v>
      </c>
      <c r="I436" s="3">
        <v>40</v>
      </c>
      <c r="J436" s="3">
        <v>50</v>
      </c>
      <c r="K436" s="3">
        <v>30</v>
      </c>
      <c r="L436" s="3">
        <v>30</v>
      </c>
      <c r="M436" s="3">
        <v>30</v>
      </c>
      <c r="N436" s="3">
        <f>AVERAGE($I$2:$I$1168)</f>
        <v>78.907455012853475</v>
      </c>
      <c r="O436" s="3" t="str">
        <f>CONCATENATE(A436,"-",B436)</f>
        <v>273-Seedot</v>
      </c>
    </row>
    <row r="437" spans="1:15">
      <c r="A437" s="63">
        <v>274</v>
      </c>
      <c r="B437" s="2" t="s">
        <v>323</v>
      </c>
      <c r="C437" t="s">
        <v>16</v>
      </c>
      <c r="D437" s="22">
        <f>COUNTIF($C$2:$C$1168,Tabela1[[#This Row],[Type]])</f>
        <v>93</v>
      </c>
      <c r="E437" s="62" t="str">
        <f>IF(A437&lt;=151,"Kanto",IF(A437&lt;=251,"Johto",IF(A437&lt;=386,"Hoenn",IF(A437&lt;=493,"Sinnoh",IF(A437&lt;=649,"Unova",IF(A437&lt;=721,"Kalos",IF(A437&lt;=809,"Alola",IF(A437&lt;=905,"Galar","Paldea"))))))))</f>
        <v>Hoenn</v>
      </c>
      <c r="F437" t="str">
        <f>IF(G437&gt;=600,"Lendário",IF(G437&gt;=500,"Forte","Normal"))</f>
        <v>Normal</v>
      </c>
      <c r="G437" s="3">
        <v>340</v>
      </c>
      <c r="H437" s="3">
        <v>70</v>
      </c>
      <c r="I437" s="3">
        <v>70</v>
      </c>
      <c r="J437" s="3">
        <v>40</v>
      </c>
      <c r="K437" s="3">
        <v>60</v>
      </c>
      <c r="L437" s="3">
        <v>40</v>
      </c>
      <c r="M437" s="3">
        <v>60</v>
      </c>
      <c r="N437" s="3">
        <f>AVERAGE($I$2:$I$1168)</f>
        <v>78.907455012853475</v>
      </c>
      <c r="O437" s="3" t="str">
        <f>CONCATENATE(A437,"-",B437)</f>
        <v>274-Nuzleaf</v>
      </c>
    </row>
    <row r="438" spans="1:15">
      <c r="A438" s="63">
        <v>274</v>
      </c>
      <c r="B438" s="2" t="str">
        <f>B437</f>
        <v>Nuzleaf</v>
      </c>
      <c r="C438" t="s">
        <v>170</v>
      </c>
      <c r="D438" s="22">
        <f>COUNTIF($C$2:$C$1168,Tabela1[[#This Row],[Type]])</f>
        <v>49</v>
      </c>
      <c r="E438" s="62" t="str">
        <f>IF(A438&lt;=151,"Kanto",IF(A438&lt;=251,"Johto",IF(A438&lt;=386,"Hoenn",IF(A438&lt;=493,"Sinnoh",IF(A438&lt;=649,"Unova",IF(A438&lt;=721,"Kalos",IF(A438&lt;=809,"Alola",IF(A438&lt;=905,"Galar","Paldea"))))))))</f>
        <v>Hoenn</v>
      </c>
      <c r="F438" t="str">
        <f>IF(G438&gt;=600,"Lendário",IF(G438&gt;=500,"Forte","Normal"))</f>
        <v>Normal</v>
      </c>
      <c r="G438" s="3">
        <f>G437</f>
        <v>340</v>
      </c>
      <c r="H438" s="3">
        <f>H437</f>
        <v>70</v>
      </c>
      <c r="I438" s="3">
        <f>I437</f>
        <v>70</v>
      </c>
      <c r="J438" s="3">
        <f>J437</f>
        <v>40</v>
      </c>
      <c r="K438" s="3">
        <f>K437</f>
        <v>60</v>
      </c>
      <c r="L438" s="3">
        <f>L437</f>
        <v>40</v>
      </c>
      <c r="M438" s="3">
        <f>M437</f>
        <v>60</v>
      </c>
      <c r="N438" s="3">
        <f>AVERAGE($I$2:$I$1168)</f>
        <v>78.907455012853475</v>
      </c>
      <c r="O438" s="3" t="str">
        <f>CONCATENATE(A438,"-",B438)</f>
        <v>274-Nuzleaf</v>
      </c>
    </row>
    <row r="439" spans="1:15">
      <c r="A439" s="63">
        <v>275</v>
      </c>
      <c r="B439" s="2" t="s">
        <v>324</v>
      </c>
      <c r="C439" t="s">
        <v>16</v>
      </c>
      <c r="D439" s="22">
        <f>COUNTIF($C$2:$C$1168,Tabela1[[#This Row],[Type]])</f>
        <v>93</v>
      </c>
      <c r="E439" s="62" t="str">
        <f>IF(A439&lt;=151,"Kanto",IF(A439&lt;=251,"Johto",IF(A439&lt;=386,"Hoenn",IF(A439&lt;=493,"Sinnoh",IF(A439&lt;=649,"Unova",IF(A439&lt;=721,"Kalos",IF(A439&lt;=809,"Alola",IF(A439&lt;=905,"Galar","Paldea"))))))))</f>
        <v>Hoenn</v>
      </c>
      <c r="F439" t="str">
        <f>IF(G439&gt;=600,"Lendário",IF(G439&gt;=500,"Forte","Normal"))</f>
        <v>Normal</v>
      </c>
      <c r="G439" s="3">
        <v>480</v>
      </c>
      <c r="H439" s="3">
        <v>90</v>
      </c>
      <c r="I439" s="3">
        <v>100</v>
      </c>
      <c r="J439" s="3">
        <v>60</v>
      </c>
      <c r="K439" s="3">
        <v>90</v>
      </c>
      <c r="L439" s="3">
        <v>60</v>
      </c>
      <c r="M439" s="3">
        <v>80</v>
      </c>
      <c r="N439" s="3">
        <f>AVERAGE($I$2:$I$1168)</f>
        <v>78.907455012853475</v>
      </c>
      <c r="O439" s="3" t="str">
        <f>CONCATENATE(A439,"-",B439)</f>
        <v>275-Shiftry</v>
      </c>
    </row>
    <row r="440" spans="1:15">
      <c r="A440" s="63">
        <v>275</v>
      </c>
      <c r="B440" s="2" t="str">
        <f>B439</f>
        <v>Shiftry</v>
      </c>
      <c r="C440" t="s">
        <v>170</v>
      </c>
      <c r="D440" s="22">
        <f>COUNTIF($C$2:$C$1168,Tabela1[[#This Row],[Type]])</f>
        <v>49</v>
      </c>
      <c r="E440" s="62" t="str">
        <f>IF(A440&lt;=151,"Kanto",IF(A440&lt;=251,"Johto",IF(A440&lt;=386,"Hoenn",IF(A440&lt;=493,"Sinnoh",IF(A440&lt;=649,"Unova",IF(A440&lt;=721,"Kalos",IF(A440&lt;=809,"Alola",IF(A440&lt;=905,"Galar","Paldea"))))))))</f>
        <v>Hoenn</v>
      </c>
      <c r="F440" t="str">
        <f>IF(G440&gt;=600,"Lendário",IF(G440&gt;=500,"Forte","Normal"))</f>
        <v>Normal</v>
      </c>
      <c r="G440" s="3">
        <f>G439</f>
        <v>480</v>
      </c>
      <c r="H440" s="3">
        <f>H439</f>
        <v>90</v>
      </c>
      <c r="I440" s="3">
        <f>I439</f>
        <v>100</v>
      </c>
      <c r="J440" s="3">
        <f>J439</f>
        <v>60</v>
      </c>
      <c r="K440" s="3">
        <f>K439</f>
        <v>90</v>
      </c>
      <c r="L440" s="3">
        <f>L439</f>
        <v>60</v>
      </c>
      <c r="M440" s="3">
        <f>M439</f>
        <v>80</v>
      </c>
      <c r="N440" s="3">
        <f>AVERAGE($I$2:$I$1168)</f>
        <v>78.907455012853475</v>
      </c>
      <c r="O440" s="3" t="str">
        <f>CONCATENATE(A440,"-",B440)</f>
        <v>275-Shiftry</v>
      </c>
    </row>
    <row r="441" spans="1:15">
      <c r="A441" s="63">
        <v>276</v>
      </c>
      <c r="B441" s="2" t="s">
        <v>325</v>
      </c>
      <c r="C441" t="s">
        <v>42</v>
      </c>
      <c r="D441" s="22">
        <f>COUNTIF($C$2:$C$1168,Tabela1[[#This Row],[Type]])</f>
        <v>99</v>
      </c>
      <c r="E441" s="62" t="str">
        <f>IF(A441&lt;=151,"Kanto",IF(A441&lt;=251,"Johto",IF(A441&lt;=386,"Hoenn",IF(A441&lt;=493,"Sinnoh",IF(A441&lt;=649,"Unova",IF(A441&lt;=721,"Kalos",IF(A441&lt;=809,"Alola",IF(A441&lt;=905,"Galar","Paldea"))))))))</f>
        <v>Hoenn</v>
      </c>
      <c r="F441" t="str">
        <f>IF(G441&gt;=600,"Lendário",IF(G441&gt;=500,"Forte","Normal"))</f>
        <v>Normal</v>
      </c>
      <c r="G441" s="3">
        <v>270</v>
      </c>
      <c r="H441" s="3">
        <v>40</v>
      </c>
      <c r="I441" s="3">
        <v>55</v>
      </c>
      <c r="J441" s="3">
        <v>30</v>
      </c>
      <c r="K441" s="3">
        <v>30</v>
      </c>
      <c r="L441" s="3">
        <v>30</v>
      </c>
      <c r="M441" s="3">
        <v>85</v>
      </c>
      <c r="N441" s="3">
        <f>AVERAGE($I$2:$I$1168)</f>
        <v>78.907455012853475</v>
      </c>
      <c r="O441" s="3" t="str">
        <f>CONCATENATE(A441,"-",B441)</f>
        <v>276-Taillow</v>
      </c>
    </row>
    <row r="442" spans="1:15">
      <c r="A442" s="63">
        <v>277</v>
      </c>
      <c r="B442" s="2" t="s">
        <v>326</v>
      </c>
      <c r="C442" t="s">
        <v>42</v>
      </c>
      <c r="D442" s="22">
        <f>COUNTIF($C$2:$C$1168,Tabela1[[#This Row],[Type]])</f>
        <v>99</v>
      </c>
      <c r="E442" s="62" t="str">
        <f>IF(A442&lt;=151,"Kanto",IF(A442&lt;=251,"Johto",IF(A442&lt;=386,"Hoenn",IF(A442&lt;=493,"Sinnoh",IF(A442&lt;=649,"Unova",IF(A442&lt;=721,"Kalos",IF(A442&lt;=809,"Alola",IF(A442&lt;=905,"Galar","Paldea"))))))))</f>
        <v>Hoenn</v>
      </c>
      <c r="F442" t="str">
        <f>IF(G442&gt;=600,"Lendário",IF(G442&gt;=500,"Forte","Normal"))</f>
        <v>Normal</v>
      </c>
      <c r="G442" s="3">
        <v>430</v>
      </c>
      <c r="H442" s="3">
        <v>60</v>
      </c>
      <c r="I442" s="3">
        <v>85</v>
      </c>
      <c r="J442" s="3">
        <v>60</v>
      </c>
      <c r="K442" s="3">
        <v>50</v>
      </c>
      <c r="L442" s="3">
        <v>50</v>
      </c>
      <c r="M442" s="3">
        <v>125</v>
      </c>
      <c r="N442" s="3">
        <f>AVERAGE($I$2:$I$1168)</f>
        <v>78.907455012853475</v>
      </c>
      <c r="O442" s="3" t="str">
        <f>CONCATENATE(A442,"-",B442)</f>
        <v>277-Swellow</v>
      </c>
    </row>
    <row r="443" spans="1:15">
      <c r="A443" s="63">
        <v>278</v>
      </c>
      <c r="B443" s="2" t="s">
        <v>327</v>
      </c>
      <c r="C443" t="s">
        <v>30</v>
      </c>
      <c r="D443" s="22">
        <f>COUNTIF($C$2:$C$1168,Tabela1[[#This Row],[Type]])</f>
        <v>121</v>
      </c>
      <c r="E443" s="62" t="str">
        <f>IF(A443&lt;=151,"Kanto",IF(A443&lt;=251,"Johto",IF(A443&lt;=386,"Hoenn",IF(A443&lt;=493,"Sinnoh",IF(A443&lt;=649,"Unova",IF(A443&lt;=721,"Kalos",IF(A443&lt;=809,"Alola",IF(A443&lt;=905,"Galar","Paldea"))))))))</f>
        <v>Hoenn</v>
      </c>
      <c r="F443" t="str">
        <f>IF(G443&gt;=600,"Lendário",IF(G443&gt;=500,"Forte","Normal"))</f>
        <v>Normal</v>
      </c>
      <c r="G443" s="3">
        <v>270</v>
      </c>
      <c r="H443" s="3">
        <v>40</v>
      </c>
      <c r="I443" s="3">
        <v>30</v>
      </c>
      <c r="J443" s="3">
        <v>30</v>
      </c>
      <c r="K443" s="3">
        <v>55</v>
      </c>
      <c r="L443" s="3">
        <v>30</v>
      </c>
      <c r="M443" s="3">
        <v>85</v>
      </c>
      <c r="N443" s="3">
        <f>AVERAGE($I$2:$I$1168)</f>
        <v>78.907455012853475</v>
      </c>
      <c r="O443" s="3" t="str">
        <f>CONCATENATE(A443,"-",B443)</f>
        <v>278-Wingull</v>
      </c>
    </row>
    <row r="444" spans="1:15">
      <c r="A444" s="63">
        <v>278</v>
      </c>
      <c r="B444" s="2" t="str">
        <f>B443</f>
        <v>Wingull</v>
      </c>
      <c r="C444" t="s">
        <v>25</v>
      </c>
      <c r="D444" s="22">
        <f>COUNTIF($C$2:$C$1168,Tabela1[[#This Row],[Type]])</f>
        <v>100</v>
      </c>
      <c r="E444" s="62" t="str">
        <f>IF(A444&lt;=151,"Kanto",IF(A444&lt;=251,"Johto",IF(A444&lt;=386,"Hoenn",IF(A444&lt;=493,"Sinnoh",IF(A444&lt;=649,"Unova",IF(A444&lt;=721,"Kalos",IF(A444&lt;=809,"Alola",IF(A444&lt;=905,"Galar","Paldea"))))))))</f>
        <v>Hoenn</v>
      </c>
      <c r="F444" t="str">
        <f>IF(G444&gt;=600,"Lendário",IF(G444&gt;=500,"Forte","Normal"))</f>
        <v>Normal</v>
      </c>
      <c r="G444" s="3">
        <f>G443</f>
        <v>270</v>
      </c>
      <c r="H444" s="3">
        <f>H443</f>
        <v>40</v>
      </c>
      <c r="I444" s="3">
        <f>I443</f>
        <v>30</v>
      </c>
      <c r="J444" s="3">
        <f>J443</f>
        <v>30</v>
      </c>
      <c r="K444" s="3">
        <f>K443</f>
        <v>55</v>
      </c>
      <c r="L444" s="3">
        <f>L443</f>
        <v>30</v>
      </c>
      <c r="M444" s="3">
        <f>M443</f>
        <v>85</v>
      </c>
      <c r="N444" s="3">
        <f>AVERAGE($I$2:$I$1168)</f>
        <v>78.907455012853475</v>
      </c>
      <c r="O444" s="3" t="str">
        <f>CONCATENATE(A444,"-",B444)</f>
        <v>278-Wingull</v>
      </c>
    </row>
    <row r="445" spans="1:15">
      <c r="A445" s="63">
        <v>279</v>
      </c>
      <c r="B445" s="2" t="s">
        <v>328</v>
      </c>
      <c r="C445" t="s">
        <v>30</v>
      </c>
      <c r="D445" s="22">
        <f>COUNTIF($C$2:$C$1168,Tabela1[[#This Row],[Type]])</f>
        <v>121</v>
      </c>
      <c r="E445" s="62" t="str">
        <f>IF(A445&lt;=151,"Kanto",IF(A445&lt;=251,"Johto",IF(A445&lt;=386,"Hoenn",IF(A445&lt;=493,"Sinnoh",IF(A445&lt;=649,"Unova",IF(A445&lt;=721,"Kalos",IF(A445&lt;=809,"Alola",IF(A445&lt;=905,"Galar","Paldea"))))))))</f>
        <v>Hoenn</v>
      </c>
      <c r="F445" t="str">
        <f>IF(G445&gt;=600,"Lendário",IF(G445&gt;=500,"Forte","Normal"))</f>
        <v>Normal</v>
      </c>
      <c r="G445" s="3">
        <v>430</v>
      </c>
      <c r="H445" s="3">
        <v>60</v>
      </c>
      <c r="I445" s="3">
        <v>50</v>
      </c>
      <c r="J445" s="3">
        <v>100</v>
      </c>
      <c r="K445" s="3">
        <v>85</v>
      </c>
      <c r="L445" s="3">
        <v>70</v>
      </c>
      <c r="M445" s="3">
        <v>65</v>
      </c>
      <c r="N445" s="3">
        <f>AVERAGE($I$2:$I$1168)</f>
        <v>78.907455012853475</v>
      </c>
      <c r="O445" s="3" t="str">
        <f>CONCATENATE(A445,"-",B445)</f>
        <v>279-Pelipper</v>
      </c>
    </row>
    <row r="446" spans="1:15">
      <c r="A446" s="63">
        <v>279</v>
      </c>
      <c r="B446" s="2" t="str">
        <f>B445</f>
        <v>Pelipper</v>
      </c>
      <c r="C446" t="s">
        <v>25</v>
      </c>
      <c r="D446" s="22">
        <f>COUNTIF($C$2:$C$1168,Tabela1[[#This Row],[Type]])</f>
        <v>100</v>
      </c>
      <c r="E446" s="62" t="str">
        <f>IF(A446&lt;=151,"Kanto",IF(A446&lt;=251,"Johto",IF(A446&lt;=386,"Hoenn",IF(A446&lt;=493,"Sinnoh",IF(A446&lt;=649,"Unova",IF(A446&lt;=721,"Kalos",IF(A446&lt;=809,"Alola",IF(A446&lt;=905,"Galar","Paldea"))))))))</f>
        <v>Hoenn</v>
      </c>
      <c r="F446" t="str">
        <f>IF(G446&gt;=600,"Lendário",IF(G446&gt;=500,"Forte","Normal"))</f>
        <v>Normal</v>
      </c>
      <c r="G446" s="3">
        <f>G445</f>
        <v>430</v>
      </c>
      <c r="H446" s="3">
        <f>H445</f>
        <v>60</v>
      </c>
      <c r="I446" s="3">
        <f>I445</f>
        <v>50</v>
      </c>
      <c r="J446" s="3">
        <f>J445</f>
        <v>100</v>
      </c>
      <c r="K446" s="3">
        <f>K445</f>
        <v>85</v>
      </c>
      <c r="L446" s="3">
        <f>L445</f>
        <v>70</v>
      </c>
      <c r="M446" s="3">
        <f>M445</f>
        <v>65</v>
      </c>
      <c r="N446" s="3">
        <f>AVERAGE($I$2:$I$1168)</f>
        <v>78.907455012853475</v>
      </c>
      <c r="O446" s="3" t="str">
        <f>CONCATENATE(A446,"-",B446)</f>
        <v>279-Pelipper</v>
      </c>
    </row>
    <row r="447" spans="1:15">
      <c r="A447" s="63">
        <v>280</v>
      </c>
      <c r="B447" s="2" t="s">
        <v>329</v>
      </c>
      <c r="C447" t="s">
        <v>94</v>
      </c>
      <c r="D447" s="22">
        <f>COUNTIF($C$2:$C$1168,Tabela1[[#This Row],[Type]])</f>
        <v>83</v>
      </c>
      <c r="E447" s="62" t="str">
        <f>IF(A447&lt;=151,"Kanto",IF(A447&lt;=251,"Johto",IF(A447&lt;=386,"Hoenn",IF(A447&lt;=493,"Sinnoh",IF(A447&lt;=649,"Unova",IF(A447&lt;=721,"Kalos",IF(A447&lt;=809,"Alola",IF(A447&lt;=905,"Galar","Paldea"))))))))</f>
        <v>Hoenn</v>
      </c>
      <c r="F447" t="str">
        <f>IF(G447&gt;=600,"Lendário",IF(G447&gt;=500,"Forte","Normal"))</f>
        <v>Normal</v>
      </c>
      <c r="G447" s="3">
        <v>198</v>
      </c>
      <c r="H447" s="3">
        <v>28</v>
      </c>
      <c r="I447" s="3">
        <v>25</v>
      </c>
      <c r="J447" s="3">
        <v>25</v>
      </c>
      <c r="K447" s="3">
        <v>45</v>
      </c>
      <c r="L447" s="3">
        <v>35</v>
      </c>
      <c r="M447" s="3">
        <v>40</v>
      </c>
      <c r="N447" s="3">
        <f>AVERAGE($I$2:$I$1168)</f>
        <v>78.907455012853475</v>
      </c>
      <c r="O447" s="3" t="str">
        <f>CONCATENATE(A447,"-",B447)</f>
        <v>280-Ralts</v>
      </c>
    </row>
    <row r="448" spans="1:15">
      <c r="A448" s="63">
        <v>281</v>
      </c>
      <c r="B448" s="2" t="s">
        <v>330</v>
      </c>
      <c r="C448" t="s">
        <v>94</v>
      </c>
      <c r="D448" s="22">
        <f>COUNTIF($C$2:$C$1168,Tabela1[[#This Row],[Type]])</f>
        <v>83</v>
      </c>
      <c r="E448" s="62" t="str">
        <f>IF(A448&lt;=151,"Kanto",IF(A448&lt;=251,"Johto",IF(A448&lt;=386,"Hoenn",IF(A448&lt;=493,"Sinnoh",IF(A448&lt;=649,"Unova",IF(A448&lt;=721,"Kalos",IF(A448&lt;=809,"Alola",IF(A448&lt;=905,"Galar","Paldea"))))))))</f>
        <v>Hoenn</v>
      </c>
      <c r="F448" t="str">
        <f>IF(G448&gt;=600,"Lendário",IF(G448&gt;=500,"Forte","Normal"))</f>
        <v>Normal</v>
      </c>
      <c r="G448" s="3">
        <v>278</v>
      </c>
      <c r="H448" s="3">
        <v>38</v>
      </c>
      <c r="I448" s="3">
        <v>35</v>
      </c>
      <c r="J448" s="3">
        <v>35</v>
      </c>
      <c r="K448" s="3">
        <v>65</v>
      </c>
      <c r="L448" s="3">
        <v>55</v>
      </c>
      <c r="M448" s="3">
        <v>50</v>
      </c>
      <c r="N448" s="3">
        <f>AVERAGE($I$2:$I$1168)</f>
        <v>78.907455012853475</v>
      </c>
      <c r="O448" s="3" t="str">
        <f>CONCATENATE(A448,"-",B448)</f>
        <v>281-Kirlia</v>
      </c>
    </row>
    <row r="449" spans="1:15">
      <c r="A449" s="63">
        <v>282</v>
      </c>
      <c r="B449" s="2" t="s">
        <v>331</v>
      </c>
      <c r="C449" t="s">
        <v>94</v>
      </c>
      <c r="D449" s="22">
        <f>COUNTIF($C$2:$C$1168,Tabela1[[#This Row],[Type]])</f>
        <v>83</v>
      </c>
      <c r="E449" s="62" t="str">
        <f>IF(A449&lt;=151,"Kanto",IF(A449&lt;=251,"Johto",IF(A449&lt;=386,"Hoenn",IF(A449&lt;=493,"Sinnoh",IF(A449&lt;=649,"Unova",IF(A449&lt;=721,"Kalos",IF(A449&lt;=809,"Alola",IF(A449&lt;=905,"Galar","Paldea"))))))))</f>
        <v>Hoenn</v>
      </c>
      <c r="F449" t="str">
        <f>IF(G449&gt;=600,"Lendário",IF(G449&gt;=500,"Forte","Normal"))</f>
        <v>Forte</v>
      </c>
      <c r="G449" s="3">
        <v>518</v>
      </c>
      <c r="H449" s="3">
        <v>68</v>
      </c>
      <c r="I449" s="3">
        <v>65</v>
      </c>
      <c r="J449" s="3">
        <v>65</v>
      </c>
      <c r="K449" s="3">
        <v>125</v>
      </c>
      <c r="L449" s="3">
        <v>115</v>
      </c>
      <c r="M449" s="3">
        <v>80</v>
      </c>
      <c r="N449" s="3">
        <f>AVERAGE($I$2:$I$1168)</f>
        <v>78.907455012853475</v>
      </c>
      <c r="O449" s="3" t="str">
        <f>CONCATENATE(A449,"-",B449)</f>
        <v>282-Gardevoir</v>
      </c>
    </row>
    <row r="450" spans="1:15">
      <c r="A450" s="63">
        <v>282.10000000000002</v>
      </c>
      <c r="B450" s="2" t="s">
        <v>332</v>
      </c>
      <c r="C450" t="s">
        <v>94</v>
      </c>
      <c r="D450" s="22">
        <f>COUNTIF($C$2:$C$1168,Tabela1[[#This Row],[Type]])</f>
        <v>83</v>
      </c>
      <c r="E450" s="62" t="str">
        <f>IF(A450&lt;=151,"Kanto",IF(A450&lt;=251,"Johto",IF(A450&lt;=386,"Hoenn",IF(A450&lt;=493,"Sinnoh",IF(A450&lt;=649,"Unova",IF(A450&lt;=721,"Kalos",IF(A450&lt;=809,"Alola",IF(A450&lt;=905,"Galar","Paldea"))))))))</f>
        <v>Hoenn</v>
      </c>
      <c r="F450" t="str">
        <f>IF(G450&gt;=600,"Lendário",IF(G450&gt;=500,"Forte","Normal"))</f>
        <v>Lendário</v>
      </c>
      <c r="G450" s="3">
        <v>618</v>
      </c>
      <c r="H450" s="3">
        <v>68</v>
      </c>
      <c r="I450" s="3">
        <v>85</v>
      </c>
      <c r="J450" s="3">
        <v>65</v>
      </c>
      <c r="K450" s="3">
        <v>165</v>
      </c>
      <c r="L450" s="3">
        <v>135</v>
      </c>
      <c r="M450" s="3">
        <v>100</v>
      </c>
      <c r="N450" s="3">
        <f>AVERAGE($I$2:$I$1168)</f>
        <v>78.907455012853475</v>
      </c>
      <c r="O450" s="3" t="str">
        <f>CONCATENATE(A450,"-",B450)</f>
        <v>282,1-Mega Gardevoir</v>
      </c>
    </row>
    <row r="451" spans="1:15">
      <c r="A451" s="63">
        <v>283</v>
      </c>
      <c r="B451" s="2" t="s">
        <v>333</v>
      </c>
      <c r="C451" t="s">
        <v>35</v>
      </c>
      <c r="D451" s="22">
        <f>COUNTIF($C$2:$C$1168,Tabela1[[#This Row],[Type]])</f>
        <v>71</v>
      </c>
      <c r="E451" s="62" t="str">
        <f>IF(A451&lt;=151,"Kanto",IF(A451&lt;=251,"Johto",IF(A451&lt;=386,"Hoenn",IF(A451&lt;=493,"Sinnoh",IF(A451&lt;=649,"Unova",IF(A451&lt;=721,"Kalos",IF(A451&lt;=809,"Alola",IF(A451&lt;=905,"Galar","Paldea"))))))))</f>
        <v>Hoenn</v>
      </c>
      <c r="F451" t="str">
        <f>IF(G451&gt;=600,"Lendário",IF(G451&gt;=500,"Forte","Normal"))</f>
        <v>Normal</v>
      </c>
      <c r="G451" s="3">
        <v>269</v>
      </c>
      <c r="H451" s="3">
        <v>40</v>
      </c>
      <c r="I451" s="3">
        <v>30</v>
      </c>
      <c r="J451" s="3">
        <v>32</v>
      </c>
      <c r="K451" s="3">
        <v>50</v>
      </c>
      <c r="L451" s="3">
        <v>52</v>
      </c>
      <c r="M451" s="3">
        <v>65</v>
      </c>
      <c r="N451" s="3">
        <f>AVERAGE($I$2:$I$1168)</f>
        <v>78.907455012853475</v>
      </c>
      <c r="O451" s="3" t="str">
        <f>CONCATENATE(A451,"-",B451)</f>
        <v>283-Surskit</v>
      </c>
    </row>
    <row r="452" spans="1:15">
      <c r="A452" s="63">
        <v>283</v>
      </c>
      <c r="B452" s="2" t="str">
        <f>B451</f>
        <v>Surskit</v>
      </c>
      <c r="C452" t="s">
        <v>30</v>
      </c>
      <c r="D452" s="22">
        <f>COUNTIF($C$2:$C$1168,Tabela1[[#This Row],[Type]])</f>
        <v>121</v>
      </c>
      <c r="E452" s="62" t="str">
        <f>IF(A452&lt;=151,"Kanto",IF(A452&lt;=251,"Johto",IF(A452&lt;=386,"Hoenn",IF(A452&lt;=493,"Sinnoh",IF(A452&lt;=649,"Unova",IF(A452&lt;=721,"Kalos",IF(A452&lt;=809,"Alola",IF(A452&lt;=905,"Galar","Paldea"))))))))</f>
        <v>Hoenn</v>
      </c>
      <c r="F452" t="str">
        <f>IF(G452&gt;=600,"Lendário",IF(G452&gt;=500,"Forte","Normal"))</f>
        <v>Normal</v>
      </c>
      <c r="G452" s="3">
        <f>G451</f>
        <v>269</v>
      </c>
      <c r="H452" s="3">
        <f>H451</f>
        <v>40</v>
      </c>
      <c r="I452" s="3">
        <f>I451</f>
        <v>30</v>
      </c>
      <c r="J452" s="3">
        <f>J451</f>
        <v>32</v>
      </c>
      <c r="K452" s="3">
        <f>K451</f>
        <v>50</v>
      </c>
      <c r="L452" s="3">
        <f>L451</f>
        <v>52</v>
      </c>
      <c r="M452" s="3">
        <f>M451</f>
        <v>65</v>
      </c>
      <c r="N452" s="3">
        <f>AVERAGE($I$2:$I$1168)</f>
        <v>78.907455012853475</v>
      </c>
      <c r="O452" s="3" t="str">
        <f>CONCATENATE(A452,"-",B452)</f>
        <v>283-Surskit</v>
      </c>
    </row>
    <row r="453" spans="1:15">
      <c r="A453" s="63">
        <v>284</v>
      </c>
      <c r="B453" s="2" t="s">
        <v>334</v>
      </c>
      <c r="C453" t="s">
        <v>35</v>
      </c>
      <c r="D453" s="22">
        <f>COUNTIF($C$2:$C$1168,Tabela1[[#This Row],[Type]])</f>
        <v>71</v>
      </c>
      <c r="E453" s="62" t="str">
        <f>IF(A453&lt;=151,"Kanto",IF(A453&lt;=251,"Johto",IF(A453&lt;=386,"Hoenn",IF(A453&lt;=493,"Sinnoh",IF(A453&lt;=649,"Unova",IF(A453&lt;=721,"Kalos",IF(A453&lt;=809,"Alola",IF(A453&lt;=905,"Galar","Paldea"))))))))</f>
        <v>Hoenn</v>
      </c>
      <c r="F453" t="str">
        <f>IF(G453&gt;=600,"Lendário",IF(G453&gt;=500,"Forte","Normal"))</f>
        <v>Normal</v>
      </c>
      <c r="G453" s="3">
        <v>414</v>
      </c>
      <c r="H453" s="3">
        <v>70</v>
      </c>
      <c r="I453" s="3">
        <v>60</v>
      </c>
      <c r="J453" s="3">
        <v>62</v>
      </c>
      <c r="K453" s="3">
        <v>80</v>
      </c>
      <c r="L453" s="3">
        <v>82</v>
      </c>
      <c r="M453" s="3">
        <v>60</v>
      </c>
      <c r="N453" s="3">
        <f>AVERAGE($I$2:$I$1168)</f>
        <v>78.907455012853475</v>
      </c>
      <c r="O453" s="3" t="str">
        <f>CONCATENATE(A453,"-",B453)</f>
        <v>284-Masquerain</v>
      </c>
    </row>
    <row r="454" spans="1:15">
      <c r="A454" s="63">
        <v>284</v>
      </c>
      <c r="B454" s="2" t="str">
        <f>B453</f>
        <v>Masquerain</v>
      </c>
      <c r="C454" t="s">
        <v>25</v>
      </c>
      <c r="D454" s="22">
        <f>COUNTIF($C$2:$C$1168,Tabela1[[#This Row],[Type]])</f>
        <v>100</v>
      </c>
      <c r="E454" s="62" t="str">
        <f>IF(A454&lt;=151,"Kanto",IF(A454&lt;=251,"Johto",IF(A454&lt;=386,"Hoenn",IF(A454&lt;=493,"Sinnoh",IF(A454&lt;=649,"Unova",IF(A454&lt;=721,"Kalos",IF(A454&lt;=809,"Alola",IF(A454&lt;=905,"Galar","Paldea"))))))))</f>
        <v>Hoenn</v>
      </c>
      <c r="F454" t="str">
        <f>IF(G454&gt;=600,"Lendário",IF(G454&gt;=500,"Forte","Normal"))</f>
        <v>Normal</v>
      </c>
      <c r="G454" s="3">
        <f>G453</f>
        <v>414</v>
      </c>
      <c r="H454" s="3">
        <f>H453</f>
        <v>70</v>
      </c>
      <c r="I454" s="3">
        <f>I453</f>
        <v>60</v>
      </c>
      <c r="J454" s="3">
        <f>J453</f>
        <v>62</v>
      </c>
      <c r="K454" s="3">
        <f>K453</f>
        <v>80</v>
      </c>
      <c r="L454" s="3">
        <f>L453</f>
        <v>82</v>
      </c>
      <c r="M454" s="3">
        <f>M453</f>
        <v>60</v>
      </c>
      <c r="N454" s="3">
        <f>AVERAGE($I$2:$I$1168)</f>
        <v>78.907455012853475</v>
      </c>
      <c r="O454" s="3" t="str">
        <f>CONCATENATE(A454,"-",B454)</f>
        <v>284-Masquerain</v>
      </c>
    </row>
    <row r="455" spans="1:15">
      <c r="A455" s="63">
        <v>285</v>
      </c>
      <c r="B455" s="2" t="s">
        <v>335</v>
      </c>
      <c r="C455" t="s">
        <v>16</v>
      </c>
      <c r="D455" s="22">
        <f>COUNTIF($C$2:$C$1168,Tabela1[[#This Row],[Type]])</f>
        <v>93</v>
      </c>
      <c r="E455" s="62" t="str">
        <f>IF(A455&lt;=151,"Kanto",IF(A455&lt;=251,"Johto",IF(A455&lt;=386,"Hoenn",IF(A455&lt;=493,"Sinnoh",IF(A455&lt;=649,"Unova",IF(A455&lt;=721,"Kalos",IF(A455&lt;=809,"Alola",IF(A455&lt;=905,"Galar","Paldea"))))))))</f>
        <v>Hoenn</v>
      </c>
      <c r="F455" t="str">
        <f>IF(G455&gt;=600,"Lendário",IF(G455&gt;=500,"Forte","Normal"))</f>
        <v>Normal</v>
      </c>
      <c r="G455" s="3">
        <v>295</v>
      </c>
      <c r="H455" s="3">
        <v>60</v>
      </c>
      <c r="I455" s="3">
        <v>40</v>
      </c>
      <c r="J455" s="3">
        <v>60</v>
      </c>
      <c r="K455" s="3">
        <v>40</v>
      </c>
      <c r="L455" s="3">
        <v>60</v>
      </c>
      <c r="M455" s="3">
        <v>35</v>
      </c>
      <c r="N455" s="3">
        <f>AVERAGE($I$2:$I$1168)</f>
        <v>78.907455012853475</v>
      </c>
      <c r="O455" s="3" t="str">
        <f>CONCATENATE(A455,"-",B455)</f>
        <v>285-Shroomish</v>
      </c>
    </row>
    <row r="456" spans="1:15">
      <c r="A456" s="63">
        <v>286</v>
      </c>
      <c r="B456" s="2" t="s">
        <v>336</v>
      </c>
      <c r="C456" t="s">
        <v>16</v>
      </c>
      <c r="D456" s="22">
        <f>COUNTIF($C$2:$C$1168,Tabela1[[#This Row],[Type]])</f>
        <v>93</v>
      </c>
      <c r="E456" s="62" t="str">
        <f>IF(A456&lt;=151,"Kanto",IF(A456&lt;=251,"Johto",IF(A456&lt;=386,"Hoenn",IF(A456&lt;=493,"Sinnoh",IF(A456&lt;=649,"Unova",IF(A456&lt;=721,"Kalos",IF(A456&lt;=809,"Alola",IF(A456&lt;=905,"Galar","Paldea"))))))))</f>
        <v>Hoenn</v>
      </c>
      <c r="F456" t="str">
        <f>IF(G456&gt;=600,"Lendário",IF(G456&gt;=500,"Forte","Normal"))</f>
        <v>Normal</v>
      </c>
      <c r="G456" s="3">
        <v>460</v>
      </c>
      <c r="H456" s="3">
        <v>60</v>
      </c>
      <c r="I456" s="3">
        <v>130</v>
      </c>
      <c r="J456" s="3">
        <v>80</v>
      </c>
      <c r="K456" s="3">
        <v>60</v>
      </c>
      <c r="L456" s="3">
        <v>60</v>
      </c>
      <c r="M456" s="3">
        <v>70</v>
      </c>
      <c r="N456" s="3">
        <f>AVERAGE($I$2:$I$1168)</f>
        <v>78.907455012853475</v>
      </c>
      <c r="O456" s="3" t="str">
        <f>CONCATENATE(A456,"-",B456)</f>
        <v>286-Breloom</v>
      </c>
    </row>
    <row r="457" spans="1:15">
      <c r="A457" s="63">
        <v>286</v>
      </c>
      <c r="B457" s="2" t="str">
        <f>B456</f>
        <v>Breloom</v>
      </c>
      <c r="C457" t="s">
        <v>86</v>
      </c>
      <c r="D457" s="22">
        <f>COUNTIF($C$2:$C$1168,Tabela1[[#This Row],[Type]])</f>
        <v>51</v>
      </c>
      <c r="E457" s="62" t="str">
        <f>IF(A457&lt;=151,"Kanto",IF(A457&lt;=251,"Johto",IF(A457&lt;=386,"Hoenn",IF(A457&lt;=493,"Sinnoh",IF(A457&lt;=649,"Unova",IF(A457&lt;=721,"Kalos",IF(A457&lt;=809,"Alola",IF(A457&lt;=905,"Galar","Paldea"))))))))</f>
        <v>Hoenn</v>
      </c>
      <c r="F457" t="str">
        <f>IF(G457&gt;=600,"Lendário",IF(G457&gt;=500,"Forte","Normal"))</f>
        <v>Normal</v>
      </c>
      <c r="G457" s="3">
        <f>G456</f>
        <v>460</v>
      </c>
      <c r="H457" s="3">
        <f>H456</f>
        <v>60</v>
      </c>
      <c r="I457" s="3">
        <f>I456</f>
        <v>130</v>
      </c>
      <c r="J457" s="3">
        <f>J456</f>
        <v>80</v>
      </c>
      <c r="K457" s="3">
        <f>K456</f>
        <v>60</v>
      </c>
      <c r="L457" s="3">
        <f>L456</f>
        <v>60</v>
      </c>
      <c r="M457" s="3">
        <f>M456</f>
        <v>70</v>
      </c>
      <c r="N457" s="3">
        <f>AVERAGE($I$2:$I$1168)</f>
        <v>78.907455012853475</v>
      </c>
      <c r="O457" s="3" t="str">
        <f>CONCATENATE(A457,"-",B457)</f>
        <v>286-Breloom</v>
      </c>
    </row>
    <row r="458" spans="1:15">
      <c r="A458" s="63">
        <v>287</v>
      </c>
      <c r="B458" s="2" t="s">
        <v>337</v>
      </c>
      <c r="C458" t="s">
        <v>42</v>
      </c>
      <c r="D458" s="22">
        <f>COUNTIF($C$2:$C$1168,Tabela1[[#This Row],[Type]])</f>
        <v>99</v>
      </c>
      <c r="E458" s="62" t="str">
        <f>IF(A458&lt;=151,"Kanto",IF(A458&lt;=251,"Johto",IF(A458&lt;=386,"Hoenn",IF(A458&lt;=493,"Sinnoh",IF(A458&lt;=649,"Unova",IF(A458&lt;=721,"Kalos",IF(A458&lt;=809,"Alola",IF(A458&lt;=905,"Galar","Paldea"))))))))</f>
        <v>Hoenn</v>
      </c>
      <c r="F458" t="str">
        <f>IF(G458&gt;=600,"Lendário",IF(G458&gt;=500,"Forte","Normal"))</f>
        <v>Normal</v>
      </c>
      <c r="G458" s="3">
        <v>280</v>
      </c>
      <c r="H458" s="3">
        <v>60</v>
      </c>
      <c r="I458" s="3">
        <v>60</v>
      </c>
      <c r="J458" s="3">
        <v>60</v>
      </c>
      <c r="K458" s="3">
        <v>35</v>
      </c>
      <c r="L458" s="3">
        <v>35</v>
      </c>
      <c r="M458" s="3">
        <v>30</v>
      </c>
      <c r="N458" s="3">
        <f>AVERAGE($I$2:$I$1168)</f>
        <v>78.907455012853475</v>
      </c>
      <c r="O458" s="3" t="str">
        <f>CONCATENATE(A458,"-",B458)</f>
        <v>287-Slakoth</v>
      </c>
    </row>
    <row r="459" spans="1:15">
      <c r="A459" s="63">
        <v>288</v>
      </c>
      <c r="B459" s="2" t="s">
        <v>338</v>
      </c>
      <c r="C459" t="s">
        <v>42</v>
      </c>
      <c r="D459" s="22">
        <f>COUNTIF($C$2:$C$1168,Tabela1[[#This Row],[Type]])</f>
        <v>99</v>
      </c>
      <c r="E459" s="62" t="str">
        <f>IF(A459&lt;=151,"Kanto",IF(A459&lt;=251,"Johto",IF(A459&lt;=386,"Hoenn",IF(A459&lt;=493,"Sinnoh",IF(A459&lt;=649,"Unova",IF(A459&lt;=721,"Kalos",IF(A459&lt;=809,"Alola",IF(A459&lt;=905,"Galar","Paldea"))))))))</f>
        <v>Hoenn</v>
      </c>
      <c r="F459" t="str">
        <f>IF(G459&gt;=600,"Lendário",IF(G459&gt;=500,"Forte","Normal"))</f>
        <v>Normal</v>
      </c>
      <c r="G459" s="3">
        <v>440</v>
      </c>
      <c r="H459" s="3">
        <v>80</v>
      </c>
      <c r="I459" s="3">
        <v>80</v>
      </c>
      <c r="J459" s="3">
        <v>80</v>
      </c>
      <c r="K459" s="3">
        <v>55</v>
      </c>
      <c r="L459" s="3">
        <v>55</v>
      </c>
      <c r="M459" s="3">
        <v>90</v>
      </c>
      <c r="N459" s="3">
        <f>AVERAGE($I$2:$I$1168)</f>
        <v>78.907455012853475</v>
      </c>
      <c r="O459" s="3" t="str">
        <f>CONCATENATE(A459,"-",B459)</f>
        <v>288-Vigoroth</v>
      </c>
    </row>
    <row r="460" spans="1:15">
      <c r="A460" s="63">
        <v>289</v>
      </c>
      <c r="B460" s="2" t="s">
        <v>339</v>
      </c>
      <c r="C460" t="s">
        <v>42</v>
      </c>
      <c r="D460" s="22">
        <f>COUNTIF($C$2:$C$1168,Tabela1[[#This Row],[Type]])</f>
        <v>99</v>
      </c>
      <c r="E460" s="62" t="str">
        <f>IF(A460&lt;=151,"Kanto",IF(A460&lt;=251,"Johto",IF(A460&lt;=386,"Hoenn",IF(A460&lt;=493,"Sinnoh",IF(A460&lt;=649,"Unova",IF(A460&lt;=721,"Kalos",IF(A460&lt;=809,"Alola",IF(A460&lt;=905,"Galar","Paldea"))))))))</f>
        <v>Hoenn</v>
      </c>
      <c r="F460" t="str">
        <f>IF(G460&gt;=600,"Lendário",IF(G460&gt;=500,"Forte","Normal"))</f>
        <v>Lendário</v>
      </c>
      <c r="G460" s="3">
        <v>670</v>
      </c>
      <c r="H460" s="3">
        <v>150</v>
      </c>
      <c r="I460" s="3">
        <v>160</v>
      </c>
      <c r="J460" s="3">
        <v>100</v>
      </c>
      <c r="K460" s="3">
        <v>95</v>
      </c>
      <c r="L460" s="3">
        <v>65</v>
      </c>
      <c r="M460" s="3">
        <v>100</v>
      </c>
      <c r="N460" s="3">
        <f>AVERAGE($I$2:$I$1168)</f>
        <v>78.907455012853475</v>
      </c>
      <c r="O460" s="3" t="str">
        <f>CONCATENATE(A460,"-",B460)</f>
        <v>289-Slaking</v>
      </c>
    </row>
    <row r="461" spans="1:15">
      <c r="A461" s="63">
        <v>290</v>
      </c>
      <c r="B461" s="2" t="s">
        <v>340</v>
      </c>
      <c r="C461" t="s">
        <v>35</v>
      </c>
      <c r="D461" s="22">
        <f>COUNTIF($C$2:$C$1168,Tabela1[[#This Row],[Type]])</f>
        <v>71</v>
      </c>
      <c r="E461" s="62" t="str">
        <f>IF(A461&lt;=151,"Kanto",IF(A461&lt;=251,"Johto",IF(A461&lt;=386,"Hoenn",IF(A461&lt;=493,"Sinnoh",IF(A461&lt;=649,"Unova",IF(A461&lt;=721,"Kalos",IF(A461&lt;=809,"Alola",IF(A461&lt;=905,"Galar","Paldea"))))))))</f>
        <v>Hoenn</v>
      </c>
      <c r="F461" t="str">
        <f>IF(G461&gt;=600,"Lendário",IF(G461&gt;=500,"Forte","Normal"))</f>
        <v>Normal</v>
      </c>
      <c r="G461" s="3">
        <v>266</v>
      </c>
      <c r="H461" s="3">
        <v>31</v>
      </c>
      <c r="I461" s="3">
        <v>45</v>
      </c>
      <c r="J461" s="3">
        <v>90</v>
      </c>
      <c r="K461" s="3">
        <v>30</v>
      </c>
      <c r="L461" s="3">
        <v>30</v>
      </c>
      <c r="M461" s="3">
        <v>40</v>
      </c>
      <c r="N461" s="3">
        <f>AVERAGE($I$2:$I$1168)</f>
        <v>78.907455012853475</v>
      </c>
      <c r="O461" s="3" t="str">
        <f>CONCATENATE(A461,"-",B461)</f>
        <v>290-Nincada</v>
      </c>
    </row>
    <row r="462" spans="1:15">
      <c r="A462" s="63">
        <v>290</v>
      </c>
      <c r="B462" s="2" t="str">
        <f>B461</f>
        <v>Nincada</v>
      </c>
      <c r="C462" t="s">
        <v>55</v>
      </c>
      <c r="D462" s="22">
        <f>COUNTIF($C$2:$C$1168,Tabela1[[#This Row],[Type]])</f>
        <v>62</v>
      </c>
      <c r="E462" s="62" t="str">
        <f>IF(A462&lt;=151,"Kanto",IF(A462&lt;=251,"Johto",IF(A462&lt;=386,"Hoenn",IF(A462&lt;=493,"Sinnoh",IF(A462&lt;=649,"Unova",IF(A462&lt;=721,"Kalos",IF(A462&lt;=809,"Alola",IF(A462&lt;=905,"Galar","Paldea"))))))))</f>
        <v>Hoenn</v>
      </c>
      <c r="F462" t="str">
        <f>IF(G462&gt;=600,"Lendário",IF(G462&gt;=500,"Forte","Normal"))</f>
        <v>Normal</v>
      </c>
      <c r="G462" s="3">
        <f>G461</f>
        <v>266</v>
      </c>
      <c r="H462" s="3">
        <f>H461</f>
        <v>31</v>
      </c>
      <c r="I462" s="3">
        <f>I461</f>
        <v>45</v>
      </c>
      <c r="J462" s="3">
        <f>J461</f>
        <v>90</v>
      </c>
      <c r="K462" s="3">
        <f>K461</f>
        <v>30</v>
      </c>
      <c r="L462" s="3">
        <f>L461</f>
        <v>30</v>
      </c>
      <c r="M462" s="3">
        <f>M461</f>
        <v>40</v>
      </c>
      <c r="N462" s="3">
        <f>AVERAGE($I$2:$I$1168)</f>
        <v>78.907455012853475</v>
      </c>
      <c r="O462" s="3" t="str">
        <f>CONCATENATE(A462,"-",B462)</f>
        <v>290-Nincada</v>
      </c>
    </row>
    <row r="463" spans="1:15">
      <c r="A463" s="63">
        <v>291</v>
      </c>
      <c r="B463" s="2" t="s">
        <v>341</v>
      </c>
      <c r="C463" t="s">
        <v>35</v>
      </c>
      <c r="D463" s="22">
        <f>COUNTIF($C$2:$C$1168,Tabela1[[#This Row],[Type]])</f>
        <v>71</v>
      </c>
      <c r="E463" s="62" t="str">
        <f>IF(A463&lt;=151,"Kanto",IF(A463&lt;=251,"Johto",IF(A463&lt;=386,"Hoenn",IF(A463&lt;=493,"Sinnoh",IF(A463&lt;=649,"Unova",IF(A463&lt;=721,"Kalos",IF(A463&lt;=809,"Alola",IF(A463&lt;=905,"Galar","Paldea"))))))))</f>
        <v>Hoenn</v>
      </c>
      <c r="F463" t="str">
        <f>IF(G463&gt;=600,"Lendário",IF(G463&gt;=500,"Forte","Normal"))</f>
        <v>Normal</v>
      </c>
      <c r="G463" s="3">
        <v>456</v>
      </c>
      <c r="H463" s="3">
        <v>61</v>
      </c>
      <c r="I463" s="3">
        <v>90</v>
      </c>
      <c r="J463" s="3">
        <v>45</v>
      </c>
      <c r="K463" s="3">
        <v>50</v>
      </c>
      <c r="L463" s="3">
        <v>50</v>
      </c>
      <c r="M463" s="3">
        <v>160</v>
      </c>
      <c r="N463" s="3">
        <f>AVERAGE($I$2:$I$1168)</f>
        <v>78.907455012853475</v>
      </c>
      <c r="O463" s="3" t="str">
        <f>CONCATENATE(A463,"-",B463)</f>
        <v>291-Ninjask</v>
      </c>
    </row>
    <row r="464" spans="1:15">
      <c r="A464" s="63">
        <v>291</v>
      </c>
      <c r="B464" s="2" t="str">
        <f>B463</f>
        <v>Ninjask</v>
      </c>
      <c r="C464" t="s">
        <v>25</v>
      </c>
      <c r="D464" s="22">
        <f>COUNTIF($C$2:$C$1168,Tabela1[[#This Row],[Type]])</f>
        <v>100</v>
      </c>
      <c r="E464" s="62" t="str">
        <f>IF(A464&lt;=151,"Kanto",IF(A464&lt;=251,"Johto",IF(A464&lt;=386,"Hoenn",IF(A464&lt;=493,"Sinnoh",IF(A464&lt;=649,"Unova",IF(A464&lt;=721,"Kalos",IF(A464&lt;=809,"Alola",IF(A464&lt;=905,"Galar","Paldea"))))))))</f>
        <v>Hoenn</v>
      </c>
      <c r="F464" t="str">
        <f>IF(G464&gt;=600,"Lendário",IF(G464&gt;=500,"Forte","Normal"))</f>
        <v>Normal</v>
      </c>
      <c r="G464" s="3">
        <f>G463</f>
        <v>456</v>
      </c>
      <c r="H464" s="3">
        <f>H463</f>
        <v>61</v>
      </c>
      <c r="I464" s="3">
        <f>I463</f>
        <v>90</v>
      </c>
      <c r="J464" s="3">
        <f>J463</f>
        <v>45</v>
      </c>
      <c r="K464" s="3">
        <f>K463</f>
        <v>50</v>
      </c>
      <c r="L464" s="3">
        <f>L463</f>
        <v>50</v>
      </c>
      <c r="M464" s="3">
        <f>M463</f>
        <v>160</v>
      </c>
      <c r="N464" s="3">
        <f>AVERAGE($I$2:$I$1168)</f>
        <v>78.907455012853475</v>
      </c>
      <c r="O464" s="3" t="str">
        <f>CONCATENATE(A464,"-",B464)</f>
        <v>291-Ninjask</v>
      </c>
    </row>
    <row r="465" spans="1:15">
      <c r="A465" s="63">
        <v>292</v>
      </c>
      <c r="B465" s="2" t="s">
        <v>342</v>
      </c>
      <c r="C465" t="s">
        <v>35</v>
      </c>
      <c r="D465" s="22">
        <f>COUNTIF($C$2:$C$1168,Tabela1[[#This Row],[Type]])</f>
        <v>71</v>
      </c>
      <c r="E465" s="62" t="str">
        <f>IF(A465&lt;=151,"Kanto",IF(A465&lt;=251,"Johto",IF(A465&lt;=386,"Hoenn",IF(A465&lt;=493,"Sinnoh",IF(A465&lt;=649,"Unova",IF(A465&lt;=721,"Kalos",IF(A465&lt;=809,"Alola",IF(A465&lt;=905,"Galar","Paldea"))))))))</f>
        <v>Hoenn</v>
      </c>
      <c r="F465" t="str">
        <f>IF(G465&gt;=600,"Lendário",IF(G465&gt;=500,"Forte","Normal"))</f>
        <v>Normal</v>
      </c>
      <c r="G465" s="3">
        <v>236</v>
      </c>
      <c r="H465" s="3">
        <v>1</v>
      </c>
      <c r="I465" s="3">
        <v>90</v>
      </c>
      <c r="J465" s="3">
        <v>45</v>
      </c>
      <c r="K465" s="3">
        <v>30</v>
      </c>
      <c r="L465" s="3">
        <v>30</v>
      </c>
      <c r="M465" s="3">
        <v>40</v>
      </c>
      <c r="N465" s="3">
        <f>AVERAGE($I$2:$I$1168)</f>
        <v>78.907455012853475</v>
      </c>
      <c r="O465" s="3" t="str">
        <f>CONCATENATE(A465,"-",B465)</f>
        <v>292-Shedinja</v>
      </c>
    </row>
    <row r="466" spans="1:15">
      <c r="A466" s="63">
        <v>292</v>
      </c>
      <c r="B466" s="2" t="str">
        <f>B465</f>
        <v>Shedinja</v>
      </c>
      <c r="C466" t="s">
        <v>128</v>
      </c>
      <c r="D466" s="22">
        <f>COUNTIF($C$2:$C$1168,Tabela1[[#This Row],[Type]])</f>
        <v>45</v>
      </c>
      <c r="E466" s="62" t="str">
        <f>IF(A466&lt;=151,"Kanto",IF(A466&lt;=251,"Johto",IF(A466&lt;=386,"Hoenn",IF(A466&lt;=493,"Sinnoh",IF(A466&lt;=649,"Unova",IF(A466&lt;=721,"Kalos",IF(A466&lt;=809,"Alola",IF(A466&lt;=905,"Galar","Paldea"))))))))</f>
        <v>Hoenn</v>
      </c>
      <c r="F466" t="str">
        <f>IF(G466&gt;=600,"Lendário",IF(G466&gt;=500,"Forte","Normal"))</f>
        <v>Normal</v>
      </c>
      <c r="G466" s="3">
        <f>G465</f>
        <v>236</v>
      </c>
      <c r="H466" s="3">
        <f>H465</f>
        <v>1</v>
      </c>
      <c r="I466" s="3">
        <f>I465</f>
        <v>90</v>
      </c>
      <c r="J466" s="3">
        <f>J465</f>
        <v>45</v>
      </c>
      <c r="K466" s="3">
        <f>K465</f>
        <v>30</v>
      </c>
      <c r="L466" s="3">
        <f>L465</f>
        <v>30</v>
      </c>
      <c r="M466" s="3">
        <f>M465</f>
        <v>40</v>
      </c>
      <c r="N466" s="3">
        <f>AVERAGE($I$2:$I$1168)</f>
        <v>78.907455012853475</v>
      </c>
      <c r="O466" s="3" t="str">
        <f>CONCATENATE(A466,"-",B466)</f>
        <v>292-Shedinja</v>
      </c>
    </row>
    <row r="467" spans="1:15">
      <c r="A467" s="63">
        <v>293</v>
      </c>
      <c r="B467" s="2" t="s">
        <v>343</v>
      </c>
      <c r="C467" t="s">
        <v>42</v>
      </c>
      <c r="D467" s="22">
        <f>COUNTIF($C$2:$C$1168,Tabela1[[#This Row],[Type]])</f>
        <v>99</v>
      </c>
      <c r="E467" s="62" t="str">
        <f>IF(A467&lt;=151,"Kanto",IF(A467&lt;=251,"Johto",IF(A467&lt;=386,"Hoenn",IF(A467&lt;=493,"Sinnoh",IF(A467&lt;=649,"Unova",IF(A467&lt;=721,"Kalos",IF(A467&lt;=809,"Alola",IF(A467&lt;=905,"Galar","Paldea"))))))))</f>
        <v>Hoenn</v>
      </c>
      <c r="F467" t="str">
        <f>IF(G467&gt;=600,"Lendário",IF(G467&gt;=500,"Forte","Normal"))</f>
        <v>Normal</v>
      </c>
      <c r="G467" s="3">
        <v>240</v>
      </c>
      <c r="H467" s="3">
        <v>64</v>
      </c>
      <c r="I467" s="3">
        <v>51</v>
      </c>
      <c r="J467" s="3">
        <v>23</v>
      </c>
      <c r="K467" s="3">
        <v>51</v>
      </c>
      <c r="L467" s="3">
        <v>23</v>
      </c>
      <c r="M467" s="3">
        <v>28</v>
      </c>
      <c r="N467" s="3">
        <f>AVERAGE($I$2:$I$1168)</f>
        <v>78.907455012853475</v>
      </c>
      <c r="O467" s="3" t="str">
        <f>CONCATENATE(A467,"-",B467)</f>
        <v>293-Whismur</v>
      </c>
    </row>
    <row r="468" spans="1:15">
      <c r="A468" s="63">
        <v>294</v>
      </c>
      <c r="B468" s="2" t="s">
        <v>344</v>
      </c>
      <c r="C468" t="s">
        <v>42</v>
      </c>
      <c r="D468" s="22">
        <f>COUNTIF($C$2:$C$1168,Tabela1[[#This Row],[Type]])</f>
        <v>99</v>
      </c>
      <c r="E468" s="62" t="str">
        <f>IF(A468&lt;=151,"Kanto",IF(A468&lt;=251,"Johto",IF(A468&lt;=386,"Hoenn",IF(A468&lt;=493,"Sinnoh",IF(A468&lt;=649,"Unova",IF(A468&lt;=721,"Kalos",IF(A468&lt;=809,"Alola",IF(A468&lt;=905,"Galar","Paldea"))))))))</f>
        <v>Hoenn</v>
      </c>
      <c r="F468" t="str">
        <f>IF(G468&gt;=600,"Lendário",IF(G468&gt;=500,"Forte","Normal"))</f>
        <v>Normal</v>
      </c>
      <c r="G468" s="3">
        <v>360</v>
      </c>
      <c r="H468" s="3">
        <v>84</v>
      </c>
      <c r="I468" s="3">
        <v>71</v>
      </c>
      <c r="J468" s="3">
        <v>43</v>
      </c>
      <c r="K468" s="3">
        <v>71</v>
      </c>
      <c r="L468" s="3">
        <v>43</v>
      </c>
      <c r="M468" s="3">
        <v>48</v>
      </c>
      <c r="N468" s="3">
        <f>AVERAGE($I$2:$I$1168)</f>
        <v>78.907455012853475</v>
      </c>
      <c r="O468" s="3" t="str">
        <f>CONCATENATE(A468,"-",B468)</f>
        <v>294-Loudred</v>
      </c>
    </row>
    <row r="469" spans="1:15">
      <c r="A469" s="63">
        <v>295</v>
      </c>
      <c r="B469" s="2" t="s">
        <v>345</v>
      </c>
      <c r="C469" t="s">
        <v>42</v>
      </c>
      <c r="D469" s="22">
        <f>COUNTIF($C$2:$C$1168,Tabela1[[#This Row],[Type]])</f>
        <v>99</v>
      </c>
      <c r="E469" s="62" t="str">
        <f>IF(A469&lt;=151,"Kanto",IF(A469&lt;=251,"Johto",IF(A469&lt;=386,"Hoenn",IF(A469&lt;=493,"Sinnoh",IF(A469&lt;=649,"Unova",IF(A469&lt;=721,"Kalos",IF(A469&lt;=809,"Alola",IF(A469&lt;=905,"Galar","Paldea"))))))))</f>
        <v>Hoenn</v>
      </c>
      <c r="F469" t="str">
        <f>IF(G469&gt;=600,"Lendário",IF(G469&gt;=500,"Forte","Normal"))</f>
        <v>Normal</v>
      </c>
      <c r="G469" s="3">
        <v>480</v>
      </c>
      <c r="H469" s="3">
        <v>104</v>
      </c>
      <c r="I469" s="3">
        <v>91</v>
      </c>
      <c r="J469" s="3">
        <v>63</v>
      </c>
      <c r="K469" s="3">
        <v>91</v>
      </c>
      <c r="L469" s="3">
        <v>63</v>
      </c>
      <c r="M469" s="3">
        <v>68</v>
      </c>
      <c r="N469" s="3">
        <f>AVERAGE($I$2:$I$1168)</f>
        <v>78.907455012853475</v>
      </c>
      <c r="O469" s="3" t="str">
        <f>CONCATENATE(A469,"-",B469)</f>
        <v>295-Exploud</v>
      </c>
    </row>
    <row r="470" spans="1:15">
      <c r="A470" s="63">
        <v>296</v>
      </c>
      <c r="B470" s="2" t="s">
        <v>346</v>
      </c>
      <c r="C470" t="s">
        <v>86</v>
      </c>
      <c r="D470" s="22">
        <f>COUNTIF($C$2:$C$1168,Tabela1[[#This Row],[Type]])</f>
        <v>51</v>
      </c>
      <c r="E470" s="62" t="str">
        <f>IF(A470&lt;=151,"Kanto",IF(A470&lt;=251,"Johto",IF(A470&lt;=386,"Hoenn",IF(A470&lt;=493,"Sinnoh",IF(A470&lt;=649,"Unova",IF(A470&lt;=721,"Kalos",IF(A470&lt;=809,"Alola",IF(A470&lt;=905,"Galar","Paldea"))))))))</f>
        <v>Hoenn</v>
      </c>
      <c r="F470" t="str">
        <f>IF(G470&gt;=600,"Lendário",IF(G470&gt;=500,"Forte","Normal"))</f>
        <v>Normal</v>
      </c>
      <c r="G470" s="3">
        <v>237</v>
      </c>
      <c r="H470" s="3">
        <v>72</v>
      </c>
      <c r="I470" s="3">
        <v>60</v>
      </c>
      <c r="J470" s="3">
        <v>30</v>
      </c>
      <c r="K470" s="3">
        <v>20</v>
      </c>
      <c r="L470" s="3">
        <v>30</v>
      </c>
      <c r="M470" s="3">
        <v>25</v>
      </c>
      <c r="N470" s="3">
        <f>AVERAGE($I$2:$I$1168)</f>
        <v>78.907455012853475</v>
      </c>
      <c r="O470" s="3" t="str">
        <f>CONCATENATE(A470,"-",B470)</f>
        <v>296-Makuhita</v>
      </c>
    </row>
    <row r="471" spans="1:15">
      <c r="A471" s="63">
        <v>297</v>
      </c>
      <c r="B471" s="2" t="s">
        <v>347</v>
      </c>
      <c r="C471" t="s">
        <v>86</v>
      </c>
      <c r="D471" s="22">
        <f>COUNTIF($C$2:$C$1168,Tabela1[[#This Row],[Type]])</f>
        <v>51</v>
      </c>
      <c r="E471" s="62" t="str">
        <f>IF(A471&lt;=151,"Kanto",IF(A471&lt;=251,"Johto",IF(A471&lt;=386,"Hoenn",IF(A471&lt;=493,"Sinnoh",IF(A471&lt;=649,"Unova",IF(A471&lt;=721,"Kalos",IF(A471&lt;=809,"Alola",IF(A471&lt;=905,"Galar","Paldea"))))))))</f>
        <v>Hoenn</v>
      </c>
      <c r="F471" t="str">
        <f>IF(G471&gt;=600,"Lendário",IF(G471&gt;=500,"Forte","Normal"))</f>
        <v>Normal</v>
      </c>
      <c r="G471" s="3">
        <v>474</v>
      </c>
      <c r="H471" s="3">
        <v>144</v>
      </c>
      <c r="I471" s="3">
        <v>120</v>
      </c>
      <c r="J471" s="3">
        <v>60</v>
      </c>
      <c r="K471" s="3">
        <v>40</v>
      </c>
      <c r="L471" s="3">
        <v>60</v>
      </c>
      <c r="M471" s="3">
        <v>50</v>
      </c>
      <c r="N471" s="3">
        <f>AVERAGE($I$2:$I$1168)</f>
        <v>78.907455012853475</v>
      </c>
      <c r="O471" s="3" t="str">
        <f>CONCATENATE(A471,"-",B471)</f>
        <v>297-Hariyama</v>
      </c>
    </row>
    <row r="472" spans="1:15">
      <c r="A472" s="63">
        <v>298</v>
      </c>
      <c r="B472" s="2" t="s">
        <v>348</v>
      </c>
      <c r="C472" t="s">
        <v>42</v>
      </c>
      <c r="D472" s="22">
        <f>COUNTIF($C$2:$C$1168,Tabela1[[#This Row],[Type]])</f>
        <v>99</v>
      </c>
      <c r="E472" s="62" t="str">
        <f>IF(A472&lt;=151,"Kanto",IF(A472&lt;=251,"Johto",IF(A472&lt;=386,"Hoenn",IF(A472&lt;=493,"Sinnoh",IF(A472&lt;=649,"Unova",IF(A472&lt;=721,"Kalos",IF(A472&lt;=809,"Alola",IF(A472&lt;=905,"Galar","Paldea"))))))))</f>
        <v>Hoenn</v>
      </c>
      <c r="F472" t="str">
        <f>IF(G472&gt;=600,"Lendário",IF(G472&gt;=500,"Forte","Normal"))</f>
        <v>Normal</v>
      </c>
      <c r="G472" s="3">
        <v>190</v>
      </c>
      <c r="H472" s="3">
        <v>50</v>
      </c>
      <c r="I472" s="3">
        <v>20</v>
      </c>
      <c r="J472" s="3">
        <v>40</v>
      </c>
      <c r="K472" s="3">
        <v>20</v>
      </c>
      <c r="L472" s="3">
        <v>40</v>
      </c>
      <c r="M472" s="3">
        <v>20</v>
      </c>
      <c r="N472" s="3">
        <f>AVERAGE($I$2:$I$1168)</f>
        <v>78.907455012853475</v>
      </c>
      <c r="O472" s="3" t="str">
        <f>CONCATENATE(A472,"-",B472)</f>
        <v>298-Azurill</v>
      </c>
    </row>
    <row r="473" spans="1:15">
      <c r="A473" s="63">
        <v>298</v>
      </c>
      <c r="B473" s="2" t="str">
        <f>B472</f>
        <v>Azurill</v>
      </c>
      <c r="C473" t="s">
        <v>25</v>
      </c>
      <c r="D473" s="22">
        <f>COUNTIF($C$2:$C$1168,Tabela1[[#This Row],[Type]])</f>
        <v>100</v>
      </c>
      <c r="E473" s="62" t="str">
        <f>IF(A473&lt;=151,"Kanto",IF(A473&lt;=251,"Johto",IF(A473&lt;=386,"Hoenn",IF(A473&lt;=493,"Sinnoh",IF(A473&lt;=649,"Unova",IF(A473&lt;=721,"Kalos",IF(A473&lt;=809,"Alola",IF(A473&lt;=905,"Galar","Paldea"))))))))</f>
        <v>Hoenn</v>
      </c>
      <c r="F473" t="str">
        <f>IF(G473&gt;=600,"Lendário",IF(G473&gt;=500,"Forte","Normal"))</f>
        <v>Normal</v>
      </c>
      <c r="G473" s="3">
        <f>G472</f>
        <v>190</v>
      </c>
      <c r="H473" s="3">
        <f>H472</f>
        <v>50</v>
      </c>
      <c r="I473" s="3">
        <f>I472</f>
        <v>20</v>
      </c>
      <c r="J473" s="3">
        <f>J472</f>
        <v>40</v>
      </c>
      <c r="K473" s="3">
        <f>K472</f>
        <v>20</v>
      </c>
      <c r="L473" s="3">
        <f>L472</f>
        <v>40</v>
      </c>
      <c r="M473" s="3">
        <f>M472</f>
        <v>20</v>
      </c>
      <c r="N473" s="3">
        <f>AVERAGE($I$2:$I$1168)</f>
        <v>78.907455012853475</v>
      </c>
      <c r="O473" s="3" t="str">
        <f>CONCATENATE(A473,"-",B473)</f>
        <v>298-Azurill</v>
      </c>
    </row>
    <row r="474" spans="1:15">
      <c r="A474" s="63">
        <v>299</v>
      </c>
      <c r="B474" s="2" t="s">
        <v>349</v>
      </c>
      <c r="C474" t="s">
        <v>107</v>
      </c>
      <c r="D474" s="22">
        <f>COUNTIF($C$2:$C$1168,Tabela1[[#This Row],[Type]])</f>
        <v>56</v>
      </c>
      <c r="E474" s="62" t="str">
        <f>IF(A474&lt;=151,"Kanto",IF(A474&lt;=251,"Johto",IF(A474&lt;=386,"Hoenn",IF(A474&lt;=493,"Sinnoh",IF(A474&lt;=649,"Unova",IF(A474&lt;=721,"Kalos",IF(A474&lt;=809,"Alola",IF(A474&lt;=905,"Galar","Paldea"))))))))</f>
        <v>Hoenn</v>
      </c>
      <c r="F474" t="str">
        <f>IF(G474&gt;=600,"Lendário",IF(G474&gt;=500,"Forte","Normal"))</f>
        <v>Normal</v>
      </c>
      <c r="G474" s="3">
        <v>375</v>
      </c>
      <c r="H474" s="3">
        <v>30</v>
      </c>
      <c r="I474" s="3">
        <v>45</v>
      </c>
      <c r="J474" s="3">
        <v>135</v>
      </c>
      <c r="K474" s="3">
        <v>45</v>
      </c>
      <c r="L474" s="3">
        <v>90</v>
      </c>
      <c r="M474" s="3">
        <v>30</v>
      </c>
      <c r="N474" s="3">
        <f>AVERAGE($I$2:$I$1168)</f>
        <v>78.907455012853475</v>
      </c>
      <c r="O474" s="3" t="str">
        <f>CONCATENATE(A474,"-",B474)</f>
        <v>299-Nosepass</v>
      </c>
    </row>
    <row r="475" spans="1:15">
      <c r="A475" s="63">
        <v>299</v>
      </c>
      <c r="B475" s="2" t="s">
        <v>332</v>
      </c>
      <c r="C475" t="s">
        <v>64</v>
      </c>
      <c r="D475" s="22">
        <f>COUNTIF($C$2:$C$1168,Tabela1[[#This Row],[Type]])</f>
        <v>34</v>
      </c>
      <c r="E475" s="62" t="str">
        <f>IF(A475&lt;=151,"Kanto",IF(A475&lt;=251,"Johto",IF(A475&lt;=386,"Hoenn",IF(A475&lt;=493,"Sinnoh",IF(A475&lt;=649,"Unova",IF(A475&lt;=721,"Kalos",IF(A475&lt;=809,"Alola",IF(A475&lt;=905,"Galar","Paldea"))))))))</f>
        <v>Hoenn</v>
      </c>
      <c r="F475" t="str">
        <f>IF(G475&gt;=600,"Lendário",IF(G475&gt;=500,"Forte","Normal"))</f>
        <v>Normal</v>
      </c>
      <c r="G475" s="3">
        <f>G474</f>
        <v>375</v>
      </c>
      <c r="H475" s="3">
        <f>H474</f>
        <v>30</v>
      </c>
      <c r="I475" s="3">
        <f>I474</f>
        <v>45</v>
      </c>
      <c r="J475" s="3">
        <f>J474</f>
        <v>135</v>
      </c>
      <c r="K475" s="3">
        <f>K474</f>
        <v>45</v>
      </c>
      <c r="L475" s="3">
        <f>L474</f>
        <v>90</v>
      </c>
      <c r="M475" s="3">
        <f>M474</f>
        <v>30</v>
      </c>
      <c r="N475" s="3">
        <f>AVERAGE($I$2:$I$1168)</f>
        <v>78.907455012853475</v>
      </c>
      <c r="O475" s="3" t="str">
        <f>CONCATENATE(A475,"-",B475)</f>
        <v>299-Mega Gardevoir</v>
      </c>
    </row>
    <row r="476" spans="1:15">
      <c r="A476" s="63">
        <v>300</v>
      </c>
      <c r="B476" s="2" t="s">
        <v>350</v>
      </c>
      <c r="C476" t="s">
        <v>42</v>
      </c>
      <c r="D476" s="22">
        <f>COUNTIF($C$2:$C$1168,Tabela1[[#This Row],[Type]])</f>
        <v>99</v>
      </c>
      <c r="E476" s="62" t="str">
        <f>IF(A476&lt;=151,"Kanto",IF(A476&lt;=251,"Johto",IF(A476&lt;=386,"Hoenn",IF(A476&lt;=493,"Sinnoh",IF(A476&lt;=649,"Unova",IF(A476&lt;=721,"Kalos",IF(A476&lt;=809,"Alola",IF(A476&lt;=905,"Galar","Paldea"))))))))</f>
        <v>Hoenn</v>
      </c>
      <c r="F476" t="str">
        <f>IF(G476&gt;=600,"Lendário",IF(G476&gt;=500,"Forte","Normal"))</f>
        <v>Normal</v>
      </c>
      <c r="G476" s="3">
        <v>260</v>
      </c>
      <c r="H476" s="3">
        <v>50</v>
      </c>
      <c r="I476" s="3">
        <v>45</v>
      </c>
      <c r="J476" s="3">
        <v>45</v>
      </c>
      <c r="K476" s="3">
        <v>35</v>
      </c>
      <c r="L476" s="3">
        <v>35</v>
      </c>
      <c r="M476" s="3">
        <v>50</v>
      </c>
      <c r="N476" s="3">
        <f>AVERAGE($I$2:$I$1168)</f>
        <v>78.907455012853475</v>
      </c>
      <c r="O476" s="3" t="str">
        <f>CONCATENATE(A476,"-",B476)</f>
        <v>300-Skitty</v>
      </c>
    </row>
    <row r="477" spans="1:15">
      <c r="A477" s="63">
        <v>301</v>
      </c>
      <c r="B477" s="2" t="s">
        <v>351</v>
      </c>
      <c r="C477" t="s">
        <v>42</v>
      </c>
      <c r="D477" s="22">
        <f>COUNTIF($C$2:$C$1168,Tabela1[[#This Row],[Type]])</f>
        <v>99</v>
      </c>
      <c r="E477" s="62" t="str">
        <f>IF(A477&lt;=151,"Kanto",IF(A477&lt;=251,"Johto",IF(A477&lt;=386,"Hoenn",IF(A477&lt;=493,"Sinnoh",IF(A477&lt;=649,"Unova",IF(A477&lt;=721,"Kalos",IF(A477&lt;=809,"Alola",IF(A477&lt;=905,"Galar","Paldea"))))))))</f>
        <v>Hoenn</v>
      </c>
      <c r="F477" t="str">
        <f>IF(G477&gt;=600,"Lendário",IF(G477&gt;=500,"Forte","Normal"))</f>
        <v>Normal</v>
      </c>
      <c r="G477" s="3">
        <v>380</v>
      </c>
      <c r="H477" s="3">
        <v>70</v>
      </c>
      <c r="I477" s="3">
        <v>65</v>
      </c>
      <c r="J477" s="3">
        <v>65</v>
      </c>
      <c r="K477" s="3">
        <v>55</v>
      </c>
      <c r="L477" s="3">
        <v>55</v>
      </c>
      <c r="M477" s="3">
        <v>70</v>
      </c>
      <c r="N477" s="3">
        <f>AVERAGE($I$2:$I$1168)</f>
        <v>78.907455012853475</v>
      </c>
      <c r="O477" s="3" t="str">
        <f>CONCATENATE(A477,"-",B477)</f>
        <v>301-Delcatty</v>
      </c>
    </row>
    <row r="478" spans="1:15">
      <c r="A478" s="63">
        <v>302</v>
      </c>
      <c r="B478" s="2" t="s">
        <v>352</v>
      </c>
      <c r="C478" t="s">
        <v>170</v>
      </c>
      <c r="D478" s="22">
        <f>COUNTIF($C$2:$C$1168,Tabela1[[#This Row],[Type]])</f>
        <v>49</v>
      </c>
      <c r="E478" s="62" t="str">
        <f>IF(A478&lt;=151,"Kanto",IF(A478&lt;=251,"Johto",IF(A478&lt;=386,"Hoenn",IF(A478&lt;=493,"Sinnoh",IF(A478&lt;=649,"Unova",IF(A478&lt;=721,"Kalos",IF(A478&lt;=809,"Alola",IF(A478&lt;=905,"Galar","Paldea"))))))))</f>
        <v>Hoenn</v>
      </c>
      <c r="F478" t="str">
        <f>IF(G478&gt;=600,"Lendário",IF(G478&gt;=500,"Forte","Normal"))</f>
        <v>Normal</v>
      </c>
      <c r="G478" s="3">
        <v>380</v>
      </c>
      <c r="H478" s="3">
        <v>50</v>
      </c>
      <c r="I478" s="3">
        <v>75</v>
      </c>
      <c r="J478" s="3">
        <v>75</v>
      </c>
      <c r="K478" s="3">
        <v>65</v>
      </c>
      <c r="L478" s="3">
        <v>65</v>
      </c>
      <c r="M478" s="3">
        <v>50</v>
      </c>
      <c r="N478" s="3">
        <f>AVERAGE($I$2:$I$1168)</f>
        <v>78.907455012853475</v>
      </c>
      <c r="O478" s="3" t="str">
        <f>CONCATENATE(A478,"-",B478)</f>
        <v>302-Sableye</v>
      </c>
    </row>
    <row r="479" spans="1:15">
      <c r="A479" s="63">
        <v>302</v>
      </c>
      <c r="B479" s="2" t="str">
        <f>B478</f>
        <v>Sableye</v>
      </c>
      <c r="C479" t="s">
        <v>128</v>
      </c>
      <c r="D479" s="22">
        <f>COUNTIF($C$2:$C$1168,Tabela1[[#This Row],[Type]])</f>
        <v>45</v>
      </c>
      <c r="E479" s="62" t="str">
        <f>IF(A479&lt;=151,"Kanto",IF(A479&lt;=251,"Johto",IF(A479&lt;=386,"Hoenn",IF(A479&lt;=493,"Sinnoh",IF(A479&lt;=649,"Unova",IF(A479&lt;=721,"Kalos",IF(A479&lt;=809,"Alola",IF(A479&lt;=905,"Galar","Paldea"))))))))</f>
        <v>Hoenn</v>
      </c>
      <c r="F479" t="str">
        <f>IF(G479&gt;=600,"Lendário",IF(G479&gt;=500,"Forte","Normal"))</f>
        <v>Normal</v>
      </c>
      <c r="G479" s="3">
        <f>G478</f>
        <v>380</v>
      </c>
      <c r="H479" s="3">
        <f>H478</f>
        <v>50</v>
      </c>
      <c r="I479" s="3">
        <f>I478</f>
        <v>75</v>
      </c>
      <c r="J479" s="3">
        <f>J478</f>
        <v>75</v>
      </c>
      <c r="K479" s="3">
        <f>K478</f>
        <v>65</v>
      </c>
      <c r="L479" s="3">
        <f>L478</f>
        <v>65</v>
      </c>
      <c r="M479" s="3">
        <f>M478</f>
        <v>50</v>
      </c>
      <c r="N479" s="3">
        <f>AVERAGE($I$2:$I$1168)</f>
        <v>78.907455012853475</v>
      </c>
      <c r="O479" s="3" t="str">
        <f>CONCATENATE(A479,"-",B479)</f>
        <v>302-Sableye</v>
      </c>
    </row>
    <row r="480" spans="1:15">
      <c r="A480" s="63">
        <v>303</v>
      </c>
      <c r="B480" s="2" t="s">
        <v>353</v>
      </c>
      <c r="C480" t="s">
        <v>42</v>
      </c>
      <c r="D480" s="22">
        <f>COUNTIF($C$2:$C$1168,Tabela1[[#This Row],[Type]])</f>
        <v>99</v>
      </c>
      <c r="E480" s="62" t="str">
        <f>IF(A480&lt;=151,"Kanto",IF(A480&lt;=251,"Johto",IF(A480&lt;=386,"Hoenn",IF(A480&lt;=493,"Sinnoh",IF(A480&lt;=649,"Unova",IF(A480&lt;=721,"Kalos",IF(A480&lt;=809,"Alola",IF(A480&lt;=905,"Galar","Paldea"))))))))</f>
        <v>Hoenn</v>
      </c>
      <c r="F480" t="str">
        <f>IF(G480&gt;=600,"Lendário",IF(G480&gt;=500,"Forte","Normal"))</f>
        <v>Forte</v>
      </c>
      <c r="G480" s="3">
        <v>590</v>
      </c>
      <c r="H480" s="3">
        <v>105</v>
      </c>
      <c r="I480" s="3">
        <v>125</v>
      </c>
      <c r="J480" s="3">
        <v>100</v>
      </c>
      <c r="K480" s="3">
        <v>60</v>
      </c>
      <c r="L480" s="3">
        <v>100</v>
      </c>
      <c r="M480" s="3">
        <v>100</v>
      </c>
      <c r="N480" s="3">
        <f>AVERAGE($I$2:$I$1168)</f>
        <v>78.907455012853475</v>
      </c>
      <c r="O480" s="3" t="str">
        <f>CONCATENATE(A480,"-",B480)</f>
        <v>303-Mega Kangaskhan</v>
      </c>
    </row>
    <row r="481" spans="1:15">
      <c r="A481" s="63">
        <v>303</v>
      </c>
      <c r="B481" s="2" t="s">
        <v>354</v>
      </c>
      <c r="C481" t="s">
        <v>115</v>
      </c>
      <c r="D481" s="22">
        <f>COUNTIF($C$2:$C$1168,Tabela1[[#This Row],[Type]])</f>
        <v>48</v>
      </c>
      <c r="E481" s="62" t="str">
        <f>IF(A481&lt;=151,"Kanto",IF(A481&lt;=251,"Johto",IF(A481&lt;=386,"Hoenn",IF(A481&lt;=493,"Sinnoh",IF(A481&lt;=649,"Unova",IF(A481&lt;=721,"Kalos",IF(A481&lt;=809,"Alola",IF(A481&lt;=905,"Galar","Paldea"))))))))</f>
        <v>Hoenn</v>
      </c>
      <c r="F481" t="str">
        <f>IF(G481&gt;=600,"Lendário",IF(G481&gt;=500,"Forte","Normal"))</f>
        <v>Normal</v>
      </c>
      <c r="G481" s="3">
        <v>380</v>
      </c>
      <c r="H481" s="3">
        <v>50</v>
      </c>
      <c r="I481" s="3">
        <v>85</v>
      </c>
      <c r="J481" s="3">
        <v>85</v>
      </c>
      <c r="K481" s="3">
        <v>55</v>
      </c>
      <c r="L481" s="3">
        <v>55</v>
      </c>
      <c r="M481" s="3">
        <v>50</v>
      </c>
      <c r="N481" s="3">
        <f>AVERAGE($I$2:$I$1168)</f>
        <v>78.907455012853475</v>
      </c>
      <c r="O481" s="3" t="str">
        <f>CONCATENATE(A481,"-",B481)</f>
        <v>303-Mawile</v>
      </c>
    </row>
    <row r="482" spans="1:15">
      <c r="A482" s="63">
        <v>303</v>
      </c>
      <c r="B482" s="2" t="s">
        <v>353</v>
      </c>
      <c r="C482" t="str">
        <f>C481</f>
        <v>STEEL</v>
      </c>
      <c r="D482" s="22">
        <f>COUNTIF($C$2:$C$1168,Tabela1[[#This Row],[Type]])</f>
        <v>48</v>
      </c>
      <c r="E482" s="62" t="str">
        <f>IF(A482&lt;=151,"Kanto",IF(A482&lt;=251,"Johto",IF(A482&lt;=386,"Hoenn",IF(A482&lt;=493,"Sinnoh",IF(A482&lt;=649,"Unova",IF(A482&lt;=721,"Kalos",IF(A482&lt;=809,"Alola",IF(A482&lt;=905,"Galar","Paldea"))))))))</f>
        <v>Hoenn</v>
      </c>
      <c r="F482" t="str">
        <f>IF(G482&gt;=600,"Lendário",IF(G482&gt;=500,"Forte","Normal"))</f>
        <v>Normal</v>
      </c>
      <c r="G482" s="3">
        <f>G481</f>
        <v>380</v>
      </c>
      <c r="H482" s="3">
        <f>H481</f>
        <v>50</v>
      </c>
      <c r="I482" s="3">
        <f>I481</f>
        <v>85</v>
      </c>
      <c r="J482" s="3">
        <f>J481</f>
        <v>85</v>
      </c>
      <c r="K482" s="3">
        <f>K481</f>
        <v>55</v>
      </c>
      <c r="L482" s="3">
        <f>L481</f>
        <v>55</v>
      </c>
      <c r="M482" s="3">
        <f>M481</f>
        <v>50</v>
      </c>
      <c r="N482" s="3">
        <f>AVERAGE($I$2:$I$1168)</f>
        <v>78.907455012853475</v>
      </c>
      <c r="O482" s="3" t="str">
        <f>CONCATENATE(A482,"-",B482)</f>
        <v>303-Mega Kangaskhan</v>
      </c>
    </row>
    <row r="483" spans="1:15">
      <c r="A483" s="63">
        <v>303.10000000000002</v>
      </c>
      <c r="B483" s="2" t="s">
        <v>355</v>
      </c>
      <c r="C483" t="s">
        <v>115</v>
      </c>
      <c r="D483" s="22">
        <f>COUNTIF($C$2:$C$1168,Tabela1[[#This Row],[Type]])</f>
        <v>48</v>
      </c>
      <c r="E483" s="62" t="str">
        <f>IF(A483&lt;=151,"Kanto",IF(A483&lt;=251,"Johto",IF(A483&lt;=386,"Hoenn",IF(A483&lt;=493,"Sinnoh",IF(A483&lt;=649,"Unova",IF(A483&lt;=721,"Kalos",IF(A483&lt;=809,"Alola",IF(A483&lt;=905,"Galar","Paldea"))))))))</f>
        <v>Hoenn</v>
      </c>
      <c r="F483" t="str">
        <f>IF(G483&gt;=600,"Lendário",IF(G483&gt;=500,"Forte","Normal"))</f>
        <v>Forte</v>
      </c>
      <c r="G483" s="3">
        <v>520</v>
      </c>
      <c r="H483" s="3">
        <v>50</v>
      </c>
      <c r="I483" s="3">
        <v>105</v>
      </c>
      <c r="J483" s="3">
        <v>125</v>
      </c>
      <c r="K483" s="3">
        <v>55</v>
      </c>
      <c r="L483" s="3">
        <v>95</v>
      </c>
      <c r="M483" s="3">
        <v>90</v>
      </c>
      <c r="N483" s="3">
        <f>AVERAGE($I$2:$I$1168)</f>
        <v>78.907455012853475</v>
      </c>
      <c r="O483" s="3" t="str">
        <f>CONCATENATE(A483,"-",B483)</f>
        <v>303,1-Mega Mawile</v>
      </c>
    </row>
    <row r="484" spans="1:15">
      <c r="A484" s="63">
        <v>303.10000000000002</v>
      </c>
      <c r="B484" s="2" t="s">
        <v>355</v>
      </c>
      <c r="C484" t="s">
        <v>64</v>
      </c>
      <c r="D484" s="22">
        <f>COUNTIF($C$2:$C$1168,Tabela1[[#This Row],[Type]])</f>
        <v>34</v>
      </c>
      <c r="E484" s="62" t="str">
        <f>IF(A484&lt;=151,"Kanto",IF(A484&lt;=251,"Johto",IF(A484&lt;=386,"Hoenn",IF(A484&lt;=493,"Sinnoh",IF(A484&lt;=649,"Unova",IF(A484&lt;=721,"Kalos",IF(A484&lt;=809,"Alola",IF(A484&lt;=905,"Galar","Paldea"))))))))</f>
        <v>Hoenn</v>
      </c>
      <c r="F484" t="str">
        <f>IF(G484&gt;=600,"Lendário",IF(G484&gt;=500,"Forte","Normal"))</f>
        <v>Forte</v>
      </c>
      <c r="G484" s="3">
        <f>G483</f>
        <v>520</v>
      </c>
      <c r="H484" s="3">
        <f>H483</f>
        <v>50</v>
      </c>
      <c r="I484" s="3">
        <f>I483</f>
        <v>105</v>
      </c>
      <c r="J484" s="3">
        <f>J483</f>
        <v>125</v>
      </c>
      <c r="K484" s="3">
        <f>K483</f>
        <v>55</v>
      </c>
      <c r="L484" s="3">
        <f>L483</f>
        <v>95</v>
      </c>
      <c r="M484" s="3">
        <f>M483</f>
        <v>90</v>
      </c>
      <c r="N484" s="3">
        <f>AVERAGE($I$2:$I$1168)</f>
        <v>78.907455012853475</v>
      </c>
      <c r="O484" s="3" t="str">
        <f>CONCATENATE(A484,"-",B484)</f>
        <v>303,1-Mega Mawile</v>
      </c>
    </row>
    <row r="485" spans="1:15">
      <c r="A485" s="63">
        <v>304</v>
      </c>
      <c r="B485" s="2" t="s">
        <v>356</v>
      </c>
      <c r="C485" t="s">
        <v>115</v>
      </c>
      <c r="D485" s="22">
        <f>COUNTIF($C$2:$C$1168,Tabela1[[#This Row],[Type]])</f>
        <v>48</v>
      </c>
      <c r="E485" s="62" t="str">
        <f>IF(A485&lt;=151,"Kanto",IF(A485&lt;=251,"Johto",IF(A485&lt;=386,"Hoenn",IF(A485&lt;=493,"Sinnoh",IF(A485&lt;=649,"Unova",IF(A485&lt;=721,"Kalos",IF(A485&lt;=809,"Alola",IF(A485&lt;=905,"Galar","Paldea"))))))))</f>
        <v>Hoenn</v>
      </c>
      <c r="F485" t="str">
        <f>IF(G485&gt;=600,"Lendário",IF(G485&gt;=500,"Forte","Normal"))</f>
        <v>Normal</v>
      </c>
      <c r="G485" s="3">
        <v>330</v>
      </c>
      <c r="H485" s="3">
        <v>50</v>
      </c>
      <c r="I485" s="3">
        <v>70</v>
      </c>
      <c r="J485" s="3">
        <v>100</v>
      </c>
      <c r="K485" s="3">
        <v>40</v>
      </c>
      <c r="L485" s="3">
        <v>40</v>
      </c>
      <c r="M485" s="3">
        <v>30</v>
      </c>
      <c r="N485" s="3">
        <f>AVERAGE($I$2:$I$1168)</f>
        <v>78.907455012853475</v>
      </c>
      <c r="O485" s="3" t="str">
        <f>CONCATENATE(A485,"-",B485)</f>
        <v>304-Aron</v>
      </c>
    </row>
    <row r="486" spans="1:15">
      <c r="A486" s="63">
        <v>304</v>
      </c>
      <c r="B486" s="2" t="str">
        <f>B485</f>
        <v>Aron</v>
      </c>
      <c r="C486" t="s">
        <v>107</v>
      </c>
      <c r="D486" s="22">
        <f>COUNTIF($C$2:$C$1168,Tabela1[[#This Row],[Type]])</f>
        <v>56</v>
      </c>
      <c r="E486" s="62" t="str">
        <f>IF(A486&lt;=151,"Kanto",IF(A486&lt;=251,"Johto",IF(A486&lt;=386,"Hoenn",IF(A486&lt;=493,"Sinnoh",IF(A486&lt;=649,"Unova",IF(A486&lt;=721,"Kalos",IF(A486&lt;=809,"Alola",IF(A486&lt;=905,"Galar","Paldea"))))))))</f>
        <v>Hoenn</v>
      </c>
      <c r="F486" t="str">
        <f>IF(G486&gt;=600,"Lendário",IF(G486&gt;=500,"Forte","Normal"))</f>
        <v>Normal</v>
      </c>
      <c r="G486" s="3">
        <f>G485</f>
        <v>330</v>
      </c>
      <c r="H486" s="3">
        <f>H485</f>
        <v>50</v>
      </c>
      <c r="I486" s="3">
        <f>I485</f>
        <v>70</v>
      </c>
      <c r="J486" s="3">
        <f>J485</f>
        <v>100</v>
      </c>
      <c r="K486" s="3">
        <f>K485</f>
        <v>40</v>
      </c>
      <c r="L486" s="3">
        <f>L485</f>
        <v>40</v>
      </c>
      <c r="M486" s="3">
        <f>M485</f>
        <v>30</v>
      </c>
      <c r="N486" s="3">
        <f>AVERAGE($I$2:$I$1168)</f>
        <v>78.907455012853475</v>
      </c>
      <c r="O486" s="3" t="str">
        <f>CONCATENATE(A486,"-",B486)</f>
        <v>304-Aron</v>
      </c>
    </row>
    <row r="487" spans="1:15">
      <c r="A487" s="63">
        <v>305</v>
      </c>
      <c r="B487" s="2" t="s">
        <v>357</v>
      </c>
      <c r="C487" t="s">
        <v>115</v>
      </c>
      <c r="D487" s="22">
        <f>COUNTIF($C$2:$C$1168,Tabela1[[#This Row],[Type]])</f>
        <v>48</v>
      </c>
      <c r="E487" s="62" t="str">
        <f>IF(A487&lt;=151,"Kanto",IF(A487&lt;=251,"Johto",IF(A487&lt;=386,"Hoenn",IF(A487&lt;=493,"Sinnoh",IF(A487&lt;=649,"Unova",IF(A487&lt;=721,"Kalos",IF(A487&lt;=809,"Alola",IF(A487&lt;=905,"Galar","Paldea"))))))))</f>
        <v>Hoenn</v>
      </c>
      <c r="F487" t="str">
        <f>IF(G487&gt;=600,"Lendário",IF(G487&gt;=500,"Forte","Normal"))</f>
        <v>Normal</v>
      </c>
      <c r="G487" s="3">
        <v>430</v>
      </c>
      <c r="H487" s="3">
        <v>60</v>
      </c>
      <c r="I487" s="3">
        <v>90</v>
      </c>
      <c r="J487" s="3">
        <v>140</v>
      </c>
      <c r="K487" s="3">
        <v>50</v>
      </c>
      <c r="L487" s="3">
        <v>50</v>
      </c>
      <c r="M487" s="3">
        <v>40</v>
      </c>
      <c r="N487" s="3">
        <f>AVERAGE($I$2:$I$1168)</f>
        <v>78.907455012853475</v>
      </c>
      <c r="O487" s="3" t="str">
        <f>CONCATENATE(A487,"-",B487)</f>
        <v>305-Lairon</v>
      </c>
    </row>
    <row r="488" spans="1:15">
      <c r="A488" s="63">
        <v>305</v>
      </c>
      <c r="B488" s="2" t="str">
        <f>B487</f>
        <v>Lairon</v>
      </c>
      <c r="C488" t="s">
        <v>107</v>
      </c>
      <c r="D488" s="22">
        <f>COUNTIF($C$2:$C$1168,Tabela1[[#This Row],[Type]])</f>
        <v>56</v>
      </c>
      <c r="E488" s="62" t="str">
        <f>IF(A488&lt;=151,"Kanto",IF(A488&lt;=251,"Johto",IF(A488&lt;=386,"Hoenn",IF(A488&lt;=493,"Sinnoh",IF(A488&lt;=649,"Unova",IF(A488&lt;=721,"Kalos",IF(A488&lt;=809,"Alola",IF(A488&lt;=905,"Galar","Paldea"))))))))</f>
        <v>Hoenn</v>
      </c>
      <c r="F488" t="str">
        <f>IF(G488&gt;=600,"Lendário",IF(G488&gt;=500,"Forte","Normal"))</f>
        <v>Normal</v>
      </c>
      <c r="G488" s="3">
        <f>G487</f>
        <v>430</v>
      </c>
      <c r="H488" s="3">
        <f>H487</f>
        <v>60</v>
      </c>
      <c r="I488" s="3">
        <f>I487</f>
        <v>90</v>
      </c>
      <c r="J488" s="3">
        <f>J487</f>
        <v>140</v>
      </c>
      <c r="K488" s="3">
        <f>K487</f>
        <v>50</v>
      </c>
      <c r="L488" s="3">
        <f>L487</f>
        <v>50</v>
      </c>
      <c r="M488" s="3">
        <f>M487</f>
        <v>40</v>
      </c>
      <c r="N488" s="3">
        <f>AVERAGE($I$2:$I$1168)</f>
        <v>78.907455012853475</v>
      </c>
      <c r="O488" s="3" t="str">
        <f>CONCATENATE(A488,"-",B488)</f>
        <v>305-Lairon</v>
      </c>
    </row>
    <row r="489" spans="1:15">
      <c r="A489" s="63">
        <v>306</v>
      </c>
      <c r="B489" s="2" t="s">
        <v>358</v>
      </c>
      <c r="C489" t="s">
        <v>115</v>
      </c>
      <c r="D489" s="22">
        <f>COUNTIF($C$2:$C$1168,Tabela1[[#This Row],[Type]])</f>
        <v>48</v>
      </c>
      <c r="E489" s="62" t="str">
        <f>IF(A489&lt;=151,"Kanto",IF(A489&lt;=251,"Johto",IF(A489&lt;=386,"Hoenn",IF(A489&lt;=493,"Sinnoh",IF(A489&lt;=649,"Unova",IF(A489&lt;=721,"Kalos",IF(A489&lt;=809,"Alola",IF(A489&lt;=905,"Galar","Paldea"))))))))</f>
        <v>Hoenn</v>
      </c>
      <c r="F489" t="str">
        <f>IF(G489&gt;=600,"Lendário",IF(G489&gt;=500,"Forte","Normal"))</f>
        <v>Forte</v>
      </c>
      <c r="G489" s="3">
        <v>530</v>
      </c>
      <c r="H489" s="3">
        <v>70</v>
      </c>
      <c r="I489" s="3">
        <v>110</v>
      </c>
      <c r="J489" s="3">
        <v>180</v>
      </c>
      <c r="K489" s="3">
        <v>60</v>
      </c>
      <c r="L489" s="3">
        <v>60</v>
      </c>
      <c r="M489" s="3">
        <v>50</v>
      </c>
      <c r="N489" s="3">
        <f>AVERAGE($I$2:$I$1168)</f>
        <v>78.907455012853475</v>
      </c>
      <c r="O489" s="3" t="str">
        <f>CONCATENATE(A489,"-",B489)</f>
        <v>306-Aggron</v>
      </c>
    </row>
    <row r="490" spans="1:15">
      <c r="A490" s="63">
        <v>306</v>
      </c>
      <c r="B490" s="2" t="str">
        <f>B489</f>
        <v>Aggron</v>
      </c>
      <c r="C490" t="s">
        <v>107</v>
      </c>
      <c r="D490" s="22">
        <f>COUNTIF($C$2:$C$1168,Tabela1[[#This Row],[Type]])</f>
        <v>56</v>
      </c>
      <c r="E490" s="62" t="str">
        <f>IF(A490&lt;=151,"Kanto",IF(A490&lt;=251,"Johto",IF(A490&lt;=386,"Hoenn",IF(A490&lt;=493,"Sinnoh",IF(A490&lt;=649,"Unova",IF(A490&lt;=721,"Kalos",IF(A490&lt;=809,"Alola",IF(A490&lt;=905,"Galar","Paldea"))))))))</f>
        <v>Hoenn</v>
      </c>
      <c r="F490" t="str">
        <f>IF(G490&gt;=600,"Lendário",IF(G490&gt;=500,"Forte","Normal"))</f>
        <v>Forte</v>
      </c>
      <c r="G490" s="3">
        <f>G489</f>
        <v>530</v>
      </c>
      <c r="H490" s="3">
        <f>H489</f>
        <v>70</v>
      </c>
      <c r="I490" s="3">
        <f>I489</f>
        <v>110</v>
      </c>
      <c r="J490" s="3">
        <f>J489</f>
        <v>180</v>
      </c>
      <c r="K490" s="3">
        <f>K489</f>
        <v>60</v>
      </c>
      <c r="L490" s="3">
        <f>L489</f>
        <v>60</v>
      </c>
      <c r="M490" s="3">
        <f>M489</f>
        <v>50</v>
      </c>
      <c r="N490" s="3">
        <f>AVERAGE($I$2:$I$1168)</f>
        <v>78.907455012853475</v>
      </c>
      <c r="O490" s="3" t="str">
        <f>CONCATENATE(A490,"-",B490)</f>
        <v>306-Aggron</v>
      </c>
    </row>
    <row r="491" spans="1:15">
      <c r="A491" s="63">
        <v>306.10000000000002</v>
      </c>
      <c r="B491" s="2" t="s">
        <v>359</v>
      </c>
      <c r="C491" t="s">
        <v>115</v>
      </c>
      <c r="D491" s="22">
        <f>COUNTIF($C$2:$C$1168,Tabela1[[#This Row],[Type]])</f>
        <v>48</v>
      </c>
      <c r="E491" s="62" t="str">
        <f>IF(A491&lt;=151,"Kanto",IF(A491&lt;=251,"Johto",IF(A491&lt;=386,"Hoenn",IF(A491&lt;=493,"Sinnoh",IF(A491&lt;=649,"Unova",IF(A491&lt;=721,"Kalos",IF(A491&lt;=809,"Alola",IF(A491&lt;=905,"Galar","Paldea"))))))))</f>
        <v>Hoenn</v>
      </c>
      <c r="F491" t="str">
        <f>IF(G491&gt;=600,"Lendário",IF(G491&gt;=500,"Forte","Normal"))</f>
        <v>Lendário</v>
      </c>
      <c r="G491" s="3">
        <v>630</v>
      </c>
      <c r="H491" s="3">
        <v>70</v>
      </c>
      <c r="I491" s="3">
        <v>140</v>
      </c>
      <c r="J491" s="3">
        <v>230</v>
      </c>
      <c r="K491" s="3">
        <v>60</v>
      </c>
      <c r="L491" s="3">
        <v>80</v>
      </c>
      <c r="M491" s="3">
        <v>50</v>
      </c>
      <c r="N491" s="3">
        <f>AVERAGE($I$2:$I$1168)</f>
        <v>78.907455012853475</v>
      </c>
      <c r="O491" s="3" t="str">
        <f>CONCATENATE(A491,"-",B491)</f>
        <v>306,1-Mega Aggron</v>
      </c>
    </row>
    <row r="492" spans="1:15">
      <c r="A492" s="63">
        <v>306.10000000000002</v>
      </c>
      <c r="B492" s="2" t="s">
        <v>359</v>
      </c>
      <c r="C492" t="str">
        <f>C491</f>
        <v>STEEL</v>
      </c>
      <c r="D492" s="22">
        <f>COUNTIF($C$2:$C$1168,Tabela1[[#This Row],[Type]])</f>
        <v>48</v>
      </c>
      <c r="E492" s="62" t="str">
        <f>IF(A492&lt;=151,"Kanto",IF(A492&lt;=251,"Johto",IF(A492&lt;=386,"Hoenn",IF(A492&lt;=493,"Sinnoh",IF(A492&lt;=649,"Unova",IF(A492&lt;=721,"Kalos",IF(A492&lt;=809,"Alola",IF(A492&lt;=905,"Galar","Paldea"))))))))</f>
        <v>Hoenn</v>
      </c>
      <c r="F492" t="str">
        <f>IF(G492&gt;=600,"Lendário",IF(G492&gt;=500,"Forte","Normal"))</f>
        <v>Lendário</v>
      </c>
      <c r="G492" s="3">
        <f>G491</f>
        <v>630</v>
      </c>
      <c r="H492" s="3">
        <f>H491</f>
        <v>70</v>
      </c>
      <c r="I492" s="3">
        <f>I491</f>
        <v>140</v>
      </c>
      <c r="J492" s="3">
        <f>J491</f>
        <v>230</v>
      </c>
      <c r="K492" s="3">
        <f>K491</f>
        <v>60</v>
      </c>
      <c r="L492" s="3">
        <f>L491</f>
        <v>80</v>
      </c>
      <c r="M492" s="3">
        <f>M491</f>
        <v>50</v>
      </c>
      <c r="N492" s="3">
        <f>AVERAGE($I$2:$I$1168)</f>
        <v>78.907455012853475</v>
      </c>
      <c r="O492" s="3" t="str">
        <f>CONCATENATE(A492,"-",B492)</f>
        <v>306,1-Mega Aggron</v>
      </c>
    </row>
    <row r="493" spans="1:15">
      <c r="A493" s="63">
        <v>307</v>
      </c>
      <c r="B493" s="2" t="s">
        <v>360</v>
      </c>
      <c r="C493" t="s">
        <v>86</v>
      </c>
      <c r="D493" s="22">
        <f>COUNTIF($C$2:$C$1168,Tabela1[[#This Row],[Type]])</f>
        <v>51</v>
      </c>
      <c r="E493" s="62" t="str">
        <f>IF(A493&lt;=151,"Kanto",IF(A493&lt;=251,"Johto",IF(A493&lt;=386,"Hoenn",IF(A493&lt;=493,"Sinnoh",IF(A493&lt;=649,"Unova",IF(A493&lt;=721,"Kalos",IF(A493&lt;=809,"Alola",IF(A493&lt;=905,"Galar","Paldea"))))))))</f>
        <v>Hoenn</v>
      </c>
      <c r="F493" t="str">
        <f>IF(G493&gt;=600,"Lendário",IF(G493&gt;=500,"Forte","Normal"))</f>
        <v>Normal</v>
      </c>
      <c r="G493" s="3">
        <v>280</v>
      </c>
      <c r="H493" s="3">
        <v>30</v>
      </c>
      <c r="I493" s="3">
        <v>40</v>
      </c>
      <c r="J493" s="3">
        <v>55</v>
      </c>
      <c r="K493" s="3">
        <v>40</v>
      </c>
      <c r="L493" s="3">
        <v>55</v>
      </c>
      <c r="M493" s="3">
        <v>60</v>
      </c>
      <c r="N493" s="3">
        <f>AVERAGE($I$2:$I$1168)</f>
        <v>78.907455012853475</v>
      </c>
      <c r="O493" s="3" t="str">
        <f>CONCATENATE(A493,"-",B493)</f>
        <v>307-Meditite</v>
      </c>
    </row>
    <row r="494" spans="1:15">
      <c r="A494" s="63">
        <v>307</v>
      </c>
      <c r="B494" s="2" t="str">
        <f>B493</f>
        <v>Meditite</v>
      </c>
      <c r="C494" t="s">
        <v>94</v>
      </c>
      <c r="D494" s="22">
        <f>COUNTIF($C$2:$C$1168,Tabela1[[#This Row],[Type]])</f>
        <v>83</v>
      </c>
      <c r="E494" s="62" t="str">
        <f>IF(A494&lt;=151,"Kanto",IF(A494&lt;=251,"Johto",IF(A494&lt;=386,"Hoenn",IF(A494&lt;=493,"Sinnoh",IF(A494&lt;=649,"Unova",IF(A494&lt;=721,"Kalos",IF(A494&lt;=809,"Alola",IF(A494&lt;=905,"Galar","Paldea"))))))))</f>
        <v>Hoenn</v>
      </c>
      <c r="F494" t="str">
        <f>IF(G494&gt;=600,"Lendário",IF(G494&gt;=500,"Forte","Normal"))</f>
        <v>Normal</v>
      </c>
      <c r="G494" s="3">
        <f>G493</f>
        <v>280</v>
      </c>
      <c r="H494" s="3">
        <f>H493</f>
        <v>30</v>
      </c>
      <c r="I494" s="3">
        <f>I493</f>
        <v>40</v>
      </c>
      <c r="J494" s="3">
        <f>J493</f>
        <v>55</v>
      </c>
      <c r="K494" s="3">
        <f>K493</f>
        <v>40</v>
      </c>
      <c r="L494" s="3">
        <f>L493</f>
        <v>55</v>
      </c>
      <c r="M494" s="3">
        <f>M493</f>
        <v>60</v>
      </c>
      <c r="N494" s="3">
        <f>AVERAGE($I$2:$I$1168)</f>
        <v>78.907455012853475</v>
      </c>
      <c r="O494" s="3" t="str">
        <f>CONCATENATE(A494,"-",B494)</f>
        <v>307-Meditite</v>
      </c>
    </row>
    <row r="495" spans="1:15">
      <c r="A495" s="63">
        <v>308</v>
      </c>
      <c r="B495" s="2" t="s">
        <v>361</v>
      </c>
      <c r="C495" t="s">
        <v>86</v>
      </c>
      <c r="D495" s="22">
        <f>COUNTIF($C$2:$C$1168,Tabela1[[#This Row],[Type]])</f>
        <v>51</v>
      </c>
      <c r="E495" s="62" t="str">
        <f>IF(A495&lt;=151,"Kanto",IF(A495&lt;=251,"Johto",IF(A495&lt;=386,"Hoenn",IF(A495&lt;=493,"Sinnoh",IF(A495&lt;=649,"Unova",IF(A495&lt;=721,"Kalos",IF(A495&lt;=809,"Alola",IF(A495&lt;=905,"Galar","Paldea"))))))))</f>
        <v>Hoenn</v>
      </c>
      <c r="F495" t="str">
        <f>IF(G495&gt;=600,"Lendário",IF(G495&gt;=500,"Forte","Normal"))</f>
        <v>Normal</v>
      </c>
      <c r="G495" s="3">
        <v>410</v>
      </c>
      <c r="H495" s="3">
        <v>60</v>
      </c>
      <c r="I495" s="3">
        <v>60</v>
      </c>
      <c r="J495" s="3">
        <v>75</v>
      </c>
      <c r="K495" s="3">
        <v>60</v>
      </c>
      <c r="L495" s="3">
        <v>75</v>
      </c>
      <c r="M495" s="3">
        <v>80</v>
      </c>
      <c r="N495" s="3">
        <f>AVERAGE($I$2:$I$1168)</f>
        <v>78.907455012853475</v>
      </c>
      <c r="O495" s="3" t="str">
        <f>CONCATENATE(A495,"-",B495)</f>
        <v>308-Medicham</v>
      </c>
    </row>
    <row r="496" spans="1:15">
      <c r="A496" s="63">
        <v>308</v>
      </c>
      <c r="B496" s="2" t="str">
        <f>B495</f>
        <v>Medicham</v>
      </c>
      <c r="C496" t="s">
        <v>94</v>
      </c>
      <c r="D496" s="22">
        <f>COUNTIF($C$2:$C$1168,Tabela1[[#This Row],[Type]])</f>
        <v>83</v>
      </c>
      <c r="E496" s="62" t="str">
        <f>IF(A496&lt;=151,"Kanto",IF(A496&lt;=251,"Johto",IF(A496&lt;=386,"Hoenn",IF(A496&lt;=493,"Sinnoh",IF(A496&lt;=649,"Unova",IF(A496&lt;=721,"Kalos",IF(A496&lt;=809,"Alola",IF(A496&lt;=905,"Galar","Paldea"))))))))</f>
        <v>Hoenn</v>
      </c>
      <c r="F496" t="str">
        <f>IF(G496&gt;=600,"Lendário",IF(G496&gt;=500,"Forte","Normal"))</f>
        <v>Normal</v>
      </c>
      <c r="G496" s="3">
        <f>G495</f>
        <v>410</v>
      </c>
      <c r="H496" s="3">
        <f>H495</f>
        <v>60</v>
      </c>
      <c r="I496" s="3">
        <f>I495</f>
        <v>60</v>
      </c>
      <c r="J496" s="3">
        <f>J495</f>
        <v>75</v>
      </c>
      <c r="K496" s="3">
        <f>K495</f>
        <v>60</v>
      </c>
      <c r="L496" s="3">
        <f>L495</f>
        <v>75</v>
      </c>
      <c r="M496" s="3">
        <f>M495</f>
        <v>80</v>
      </c>
      <c r="N496" s="3">
        <f>AVERAGE($I$2:$I$1168)</f>
        <v>78.907455012853475</v>
      </c>
      <c r="O496" s="3" t="str">
        <f>CONCATENATE(A496,"-",B496)</f>
        <v>308-Medicham</v>
      </c>
    </row>
    <row r="497" spans="1:15">
      <c r="A497" s="63">
        <v>308.10000000000002</v>
      </c>
      <c r="B497" s="2" t="s">
        <v>362</v>
      </c>
      <c r="C497" t="s">
        <v>86</v>
      </c>
      <c r="D497" s="22">
        <f>COUNTIF($C$2:$C$1168,Tabela1[[#This Row],[Type]])</f>
        <v>51</v>
      </c>
      <c r="E497" s="62" t="str">
        <f>IF(A497&lt;=151,"Kanto",IF(A497&lt;=251,"Johto",IF(A497&lt;=386,"Hoenn",IF(A497&lt;=493,"Sinnoh",IF(A497&lt;=649,"Unova",IF(A497&lt;=721,"Kalos",IF(A497&lt;=809,"Alola",IF(A497&lt;=905,"Galar","Paldea"))))))))</f>
        <v>Hoenn</v>
      </c>
      <c r="F497" t="str">
        <f>IF(G497&gt;=600,"Lendário",IF(G497&gt;=500,"Forte","Normal"))</f>
        <v>Forte</v>
      </c>
      <c r="G497" s="3">
        <v>510</v>
      </c>
      <c r="H497" s="3">
        <v>60</v>
      </c>
      <c r="I497" s="3">
        <v>100</v>
      </c>
      <c r="J497" s="3">
        <v>85</v>
      </c>
      <c r="K497" s="3">
        <v>80</v>
      </c>
      <c r="L497" s="3">
        <v>85</v>
      </c>
      <c r="M497" s="3">
        <v>100</v>
      </c>
      <c r="N497" s="3">
        <f>AVERAGE($I$2:$I$1168)</f>
        <v>78.907455012853475</v>
      </c>
      <c r="O497" s="3" t="str">
        <f>CONCATENATE(A497,"-",B497)</f>
        <v>308,1-Mega Medicham</v>
      </c>
    </row>
    <row r="498" spans="1:15">
      <c r="A498" s="63">
        <v>308.10000000000002</v>
      </c>
      <c r="B498" s="2" t="s">
        <v>362</v>
      </c>
      <c r="C498" t="s">
        <v>94</v>
      </c>
      <c r="D498" s="22">
        <f>COUNTIF($C$2:$C$1168,Tabela1[[#This Row],[Type]])</f>
        <v>83</v>
      </c>
      <c r="E498" s="62" t="str">
        <f>IF(A498&lt;=151,"Kanto",IF(A498&lt;=251,"Johto",IF(A498&lt;=386,"Hoenn",IF(A498&lt;=493,"Sinnoh",IF(A498&lt;=649,"Unova",IF(A498&lt;=721,"Kalos",IF(A498&lt;=809,"Alola",IF(A498&lt;=905,"Galar","Paldea"))))))))</f>
        <v>Hoenn</v>
      </c>
      <c r="F498" t="str">
        <f>IF(G498&gt;=600,"Lendário",IF(G498&gt;=500,"Forte","Normal"))</f>
        <v>Forte</v>
      </c>
      <c r="G498" s="3">
        <f>G497</f>
        <v>510</v>
      </c>
      <c r="H498" s="3">
        <f>H497</f>
        <v>60</v>
      </c>
      <c r="I498" s="3">
        <f>I497</f>
        <v>100</v>
      </c>
      <c r="J498" s="3">
        <f>J497</f>
        <v>85</v>
      </c>
      <c r="K498" s="3">
        <f>K497</f>
        <v>80</v>
      </c>
      <c r="L498" s="3">
        <f>L497</f>
        <v>85</v>
      </c>
      <c r="M498" s="3">
        <f>M497</f>
        <v>100</v>
      </c>
      <c r="N498" s="3">
        <f>AVERAGE($I$2:$I$1168)</f>
        <v>78.907455012853475</v>
      </c>
      <c r="O498" s="3" t="str">
        <f>CONCATENATE(A498,"-",B498)</f>
        <v>308,1-Mega Medicham</v>
      </c>
    </row>
    <row r="499" spans="1:15">
      <c r="A499" s="63">
        <v>309</v>
      </c>
      <c r="B499" s="2" t="s">
        <v>363</v>
      </c>
      <c r="C499" t="s">
        <v>52</v>
      </c>
      <c r="D499" s="22">
        <f>COUNTIF($C$2:$C$1168,Tabela1[[#This Row],[Type]])</f>
        <v>51</v>
      </c>
      <c r="E499" s="62" t="str">
        <f>IF(A499&lt;=151,"Kanto",IF(A499&lt;=251,"Johto",IF(A499&lt;=386,"Hoenn",IF(A499&lt;=493,"Sinnoh",IF(A499&lt;=649,"Unova",IF(A499&lt;=721,"Kalos",IF(A499&lt;=809,"Alola",IF(A499&lt;=905,"Galar","Paldea"))))))))</f>
        <v>Hoenn</v>
      </c>
      <c r="F499" t="str">
        <f>IF(G499&gt;=600,"Lendário",IF(G499&gt;=500,"Forte","Normal"))</f>
        <v>Normal</v>
      </c>
      <c r="G499" s="3">
        <v>295</v>
      </c>
      <c r="H499" s="3">
        <v>40</v>
      </c>
      <c r="I499" s="3">
        <v>45</v>
      </c>
      <c r="J499" s="3">
        <v>40</v>
      </c>
      <c r="K499" s="3">
        <v>65</v>
      </c>
      <c r="L499" s="3">
        <v>40</v>
      </c>
      <c r="M499" s="3">
        <v>65</v>
      </c>
      <c r="N499" s="3">
        <f>AVERAGE($I$2:$I$1168)</f>
        <v>78.907455012853475</v>
      </c>
      <c r="O499" s="3" t="str">
        <f>CONCATENATE(A499,"-",B499)</f>
        <v>309-Electrike</v>
      </c>
    </row>
    <row r="500" spans="1:15">
      <c r="A500" s="63">
        <v>310</v>
      </c>
      <c r="B500" s="2" t="s">
        <v>364</v>
      </c>
      <c r="C500" t="s">
        <v>52</v>
      </c>
      <c r="D500" s="22">
        <f>COUNTIF($C$2:$C$1168,Tabela1[[#This Row],[Type]])</f>
        <v>51</v>
      </c>
      <c r="E500" s="62" t="str">
        <f>IF(A500&lt;=151,"Kanto",IF(A500&lt;=251,"Johto",IF(A500&lt;=386,"Hoenn",IF(A500&lt;=493,"Sinnoh",IF(A500&lt;=649,"Unova",IF(A500&lt;=721,"Kalos",IF(A500&lt;=809,"Alola",IF(A500&lt;=905,"Galar","Paldea"))))))))</f>
        <v>Hoenn</v>
      </c>
      <c r="F500" t="str">
        <f>IF(G500&gt;=600,"Lendário",IF(G500&gt;=500,"Forte","Normal"))</f>
        <v>Normal</v>
      </c>
      <c r="G500" s="3">
        <v>475</v>
      </c>
      <c r="H500" s="3">
        <v>70</v>
      </c>
      <c r="I500" s="3">
        <v>75</v>
      </c>
      <c r="J500" s="3">
        <v>60</v>
      </c>
      <c r="K500" s="3">
        <v>105</v>
      </c>
      <c r="L500" s="3">
        <v>60</v>
      </c>
      <c r="M500" s="3">
        <v>105</v>
      </c>
      <c r="N500" s="3">
        <f>AVERAGE($I$2:$I$1168)</f>
        <v>78.907455012853475</v>
      </c>
      <c r="O500" s="3" t="str">
        <f>CONCATENATE(A500,"-",B500)</f>
        <v>310-Manectric</v>
      </c>
    </row>
    <row r="501" spans="1:15">
      <c r="A501" s="63">
        <v>310.10000000000002</v>
      </c>
      <c r="B501" s="2" t="s">
        <v>365</v>
      </c>
      <c r="C501" t="s">
        <v>52</v>
      </c>
      <c r="D501" s="22">
        <f>COUNTIF($C$2:$C$1168,Tabela1[[#This Row],[Type]])</f>
        <v>51</v>
      </c>
      <c r="E501" s="62" t="str">
        <f>IF(A501&lt;=151,"Kanto",IF(A501&lt;=251,"Johto",IF(A501&lt;=386,"Hoenn",IF(A501&lt;=493,"Sinnoh",IF(A501&lt;=649,"Unova",IF(A501&lt;=721,"Kalos",IF(A501&lt;=809,"Alola",IF(A501&lt;=905,"Galar","Paldea"))))))))</f>
        <v>Hoenn</v>
      </c>
      <c r="F501" t="str">
        <f>IF(G501&gt;=600,"Lendário",IF(G501&gt;=500,"Forte","Normal"))</f>
        <v>Forte</v>
      </c>
      <c r="G501" s="3">
        <v>575</v>
      </c>
      <c r="H501" s="3">
        <v>70</v>
      </c>
      <c r="I501" s="3">
        <v>75</v>
      </c>
      <c r="J501" s="3">
        <v>80</v>
      </c>
      <c r="K501" s="3">
        <v>135</v>
      </c>
      <c r="L501" s="3">
        <v>80</v>
      </c>
      <c r="M501" s="3">
        <v>135</v>
      </c>
      <c r="N501" s="3">
        <f>AVERAGE($I$2:$I$1168)</f>
        <v>78.907455012853475</v>
      </c>
      <c r="O501" s="3" t="str">
        <f>CONCATENATE(A501,"-",B501)</f>
        <v>310,1-Mega Manectric</v>
      </c>
    </row>
    <row r="502" spans="1:15">
      <c r="A502" s="63">
        <v>310.10000000000002</v>
      </c>
      <c r="B502" s="2" t="s">
        <v>365</v>
      </c>
      <c r="C502" t="str">
        <f>C501</f>
        <v>ELECTRIC</v>
      </c>
      <c r="D502" s="22">
        <f>COUNTIF($C$2:$C$1168,Tabela1[[#This Row],[Type]])</f>
        <v>51</v>
      </c>
      <c r="E502" s="62" t="str">
        <f>IF(A502&lt;=151,"Kanto",IF(A502&lt;=251,"Johto",IF(A502&lt;=386,"Hoenn",IF(A502&lt;=493,"Sinnoh",IF(A502&lt;=649,"Unova",IF(A502&lt;=721,"Kalos",IF(A502&lt;=809,"Alola",IF(A502&lt;=905,"Galar","Paldea"))))))))</f>
        <v>Hoenn</v>
      </c>
      <c r="F502" t="str">
        <f>IF(G502&gt;=600,"Lendário",IF(G502&gt;=500,"Forte","Normal"))</f>
        <v>Forte</v>
      </c>
      <c r="G502" s="3">
        <f>G501</f>
        <v>575</v>
      </c>
      <c r="H502" s="3">
        <f>H501</f>
        <v>70</v>
      </c>
      <c r="I502" s="3">
        <f>I501</f>
        <v>75</v>
      </c>
      <c r="J502" s="3">
        <f>J501</f>
        <v>80</v>
      </c>
      <c r="K502" s="3">
        <f>K501</f>
        <v>135</v>
      </c>
      <c r="L502" s="3">
        <f>L501</f>
        <v>80</v>
      </c>
      <c r="M502" s="3">
        <f>M501</f>
        <v>135</v>
      </c>
      <c r="N502" s="3">
        <f>AVERAGE($I$2:$I$1168)</f>
        <v>78.907455012853475</v>
      </c>
      <c r="O502" s="3" t="str">
        <f>CONCATENATE(A502,"-",B502)</f>
        <v>310,1-Mega Manectric</v>
      </c>
    </row>
    <row r="503" spans="1:15">
      <c r="A503" s="63">
        <v>311</v>
      </c>
      <c r="B503" s="2" t="s">
        <v>366</v>
      </c>
      <c r="C503" t="s">
        <v>52</v>
      </c>
      <c r="D503" s="22">
        <f>COUNTIF($C$2:$C$1168,Tabela1[[#This Row],[Type]])</f>
        <v>51</v>
      </c>
      <c r="E503" s="62" t="str">
        <f>IF(A503&lt;=151,"Kanto",IF(A503&lt;=251,"Johto",IF(A503&lt;=386,"Hoenn",IF(A503&lt;=493,"Sinnoh",IF(A503&lt;=649,"Unova",IF(A503&lt;=721,"Kalos",IF(A503&lt;=809,"Alola",IF(A503&lt;=905,"Galar","Paldea"))))))))</f>
        <v>Hoenn</v>
      </c>
      <c r="F503" t="str">
        <f>IF(G503&gt;=600,"Lendário",IF(G503&gt;=500,"Forte","Normal"))</f>
        <v>Normal</v>
      </c>
      <c r="G503" s="3">
        <v>405</v>
      </c>
      <c r="H503" s="3">
        <v>60</v>
      </c>
      <c r="I503" s="3">
        <v>50</v>
      </c>
      <c r="J503" s="3">
        <v>40</v>
      </c>
      <c r="K503" s="3">
        <v>85</v>
      </c>
      <c r="L503" s="3">
        <v>75</v>
      </c>
      <c r="M503" s="3">
        <v>95</v>
      </c>
      <c r="N503" s="3">
        <f>AVERAGE($I$2:$I$1168)</f>
        <v>78.907455012853475</v>
      </c>
      <c r="O503" s="3" t="str">
        <f>CONCATENATE(A503,"-",B503)</f>
        <v>311-Plusle</v>
      </c>
    </row>
    <row r="504" spans="1:15">
      <c r="A504" s="63">
        <v>312</v>
      </c>
      <c r="B504" s="2" t="s">
        <v>367</v>
      </c>
      <c r="C504" t="s">
        <v>52</v>
      </c>
      <c r="D504" s="22">
        <f>COUNTIF($C$2:$C$1168,Tabela1[[#This Row],[Type]])</f>
        <v>51</v>
      </c>
      <c r="E504" s="62" t="str">
        <f>IF(A504&lt;=151,"Kanto",IF(A504&lt;=251,"Johto",IF(A504&lt;=386,"Hoenn",IF(A504&lt;=493,"Sinnoh",IF(A504&lt;=649,"Unova",IF(A504&lt;=721,"Kalos",IF(A504&lt;=809,"Alola",IF(A504&lt;=905,"Galar","Paldea"))))))))</f>
        <v>Hoenn</v>
      </c>
      <c r="F504" t="str">
        <f>IF(G504&gt;=600,"Lendário",IF(G504&gt;=500,"Forte","Normal"))</f>
        <v>Normal</v>
      </c>
      <c r="G504" s="3">
        <v>405</v>
      </c>
      <c r="H504" s="3">
        <v>60</v>
      </c>
      <c r="I504" s="3">
        <v>40</v>
      </c>
      <c r="J504" s="3">
        <v>50</v>
      </c>
      <c r="K504" s="3">
        <v>75</v>
      </c>
      <c r="L504" s="3">
        <v>85</v>
      </c>
      <c r="M504" s="3">
        <v>95</v>
      </c>
      <c r="N504" s="3">
        <f>AVERAGE($I$2:$I$1168)</f>
        <v>78.907455012853475</v>
      </c>
      <c r="O504" s="3" t="str">
        <f>CONCATENATE(A504,"-",B504)</f>
        <v>312-Minun</v>
      </c>
    </row>
    <row r="505" spans="1:15">
      <c r="A505" s="63">
        <v>313</v>
      </c>
      <c r="B505" s="2" t="s">
        <v>368</v>
      </c>
      <c r="C505" t="s">
        <v>35</v>
      </c>
      <c r="D505" s="22">
        <f>COUNTIF($C$2:$C$1168,Tabela1[[#This Row],[Type]])</f>
        <v>71</v>
      </c>
      <c r="E505" s="62" t="str">
        <f>IF(A505&lt;=151,"Kanto",IF(A505&lt;=251,"Johto",IF(A505&lt;=386,"Hoenn",IF(A505&lt;=493,"Sinnoh",IF(A505&lt;=649,"Unova",IF(A505&lt;=721,"Kalos",IF(A505&lt;=809,"Alola",IF(A505&lt;=905,"Galar","Paldea"))))))))</f>
        <v>Hoenn</v>
      </c>
      <c r="F505" t="str">
        <f>IF(G505&gt;=600,"Lendário",IF(G505&gt;=500,"Forte","Normal"))</f>
        <v>Normal</v>
      </c>
      <c r="G505" s="3">
        <v>400</v>
      </c>
      <c r="H505" s="3">
        <v>65</v>
      </c>
      <c r="I505" s="3">
        <v>73</v>
      </c>
      <c r="J505" s="3">
        <v>55</v>
      </c>
      <c r="K505" s="3">
        <v>47</v>
      </c>
      <c r="L505" s="3">
        <v>75</v>
      </c>
      <c r="M505" s="3">
        <v>85</v>
      </c>
      <c r="N505" s="3">
        <f>AVERAGE($I$2:$I$1168)</f>
        <v>78.907455012853475</v>
      </c>
      <c r="O505" s="3" t="str">
        <f>CONCATENATE(A505,"-",B505)</f>
        <v>313-Volbeat</v>
      </c>
    </row>
    <row r="506" spans="1:15">
      <c r="A506" s="63">
        <v>314</v>
      </c>
      <c r="B506" s="2" t="s">
        <v>369</v>
      </c>
      <c r="C506" t="s">
        <v>35</v>
      </c>
      <c r="D506" s="22">
        <f>COUNTIF($C$2:$C$1168,Tabela1[[#This Row],[Type]])</f>
        <v>71</v>
      </c>
      <c r="E506" s="62" t="str">
        <f>IF(A506&lt;=151,"Kanto",IF(A506&lt;=251,"Johto",IF(A506&lt;=386,"Hoenn",IF(A506&lt;=493,"Sinnoh",IF(A506&lt;=649,"Unova",IF(A506&lt;=721,"Kalos",IF(A506&lt;=809,"Alola",IF(A506&lt;=905,"Galar","Paldea"))))))))</f>
        <v>Hoenn</v>
      </c>
      <c r="F506" t="str">
        <f>IF(G506&gt;=600,"Lendário",IF(G506&gt;=500,"Forte","Normal"))</f>
        <v>Normal</v>
      </c>
      <c r="G506" s="3">
        <v>400</v>
      </c>
      <c r="H506" s="3">
        <v>65</v>
      </c>
      <c r="I506" s="3">
        <v>47</v>
      </c>
      <c r="J506" s="3">
        <v>55</v>
      </c>
      <c r="K506" s="3">
        <v>73</v>
      </c>
      <c r="L506" s="3">
        <v>75</v>
      </c>
      <c r="M506" s="3">
        <v>85</v>
      </c>
      <c r="N506" s="3">
        <f>AVERAGE($I$2:$I$1168)</f>
        <v>78.907455012853475</v>
      </c>
      <c r="O506" s="3" t="str">
        <f>CONCATENATE(A506,"-",B506)</f>
        <v>314-Illumise</v>
      </c>
    </row>
    <row r="507" spans="1:15">
      <c r="A507" s="63">
        <v>315</v>
      </c>
      <c r="B507" s="2" t="s">
        <v>370</v>
      </c>
      <c r="C507" t="s">
        <v>16</v>
      </c>
      <c r="D507" s="22">
        <f>COUNTIF($C$2:$C$1168,Tabela1[[#This Row],[Type]])</f>
        <v>93</v>
      </c>
      <c r="E507" s="62" t="str">
        <f>IF(A507&lt;=151,"Kanto",IF(A507&lt;=251,"Johto",IF(A507&lt;=386,"Hoenn",IF(A507&lt;=493,"Sinnoh",IF(A507&lt;=649,"Unova",IF(A507&lt;=721,"Kalos",IF(A507&lt;=809,"Alola",IF(A507&lt;=905,"Galar","Paldea"))))))))</f>
        <v>Hoenn</v>
      </c>
      <c r="F507" t="str">
        <f>IF(G507&gt;=600,"Lendário",IF(G507&gt;=500,"Forte","Normal"))</f>
        <v>Normal</v>
      </c>
      <c r="G507" s="3">
        <v>400</v>
      </c>
      <c r="H507" s="3">
        <v>50</v>
      </c>
      <c r="I507" s="3">
        <v>60</v>
      </c>
      <c r="J507" s="3">
        <v>45</v>
      </c>
      <c r="K507" s="3">
        <v>100</v>
      </c>
      <c r="L507" s="3">
        <v>80</v>
      </c>
      <c r="M507" s="3">
        <v>65</v>
      </c>
      <c r="N507" s="3">
        <f>AVERAGE($I$2:$I$1168)</f>
        <v>78.907455012853475</v>
      </c>
      <c r="O507" s="3" t="str">
        <f>CONCATENATE(A507,"-",B507)</f>
        <v>315-Roselia</v>
      </c>
    </row>
    <row r="508" spans="1:15">
      <c r="A508" s="63">
        <v>315</v>
      </c>
      <c r="B508" s="2" t="str">
        <f>B507</f>
        <v>Roselia</v>
      </c>
      <c r="C508" t="s">
        <v>17</v>
      </c>
      <c r="D508" s="22">
        <f>COUNTIF($C$2:$C$1168,Tabela1[[#This Row],[Type]])</f>
        <v>61</v>
      </c>
      <c r="E508" s="62" t="str">
        <f>IF(A508&lt;=151,"Kanto",IF(A508&lt;=251,"Johto",IF(A508&lt;=386,"Hoenn",IF(A508&lt;=493,"Sinnoh",IF(A508&lt;=649,"Unova",IF(A508&lt;=721,"Kalos",IF(A508&lt;=809,"Alola",IF(A508&lt;=905,"Galar","Paldea"))))))))</f>
        <v>Hoenn</v>
      </c>
      <c r="F508" t="str">
        <f>IF(G508&gt;=600,"Lendário",IF(G508&gt;=500,"Forte","Normal"))</f>
        <v>Normal</v>
      </c>
      <c r="G508" s="3">
        <f>G507</f>
        <v>400</v>
      </c>
      <c r="H508" s="3">
        <f>H507</f>
        <v>50</v>
      </c>
      <c r="I508" s="3">
        <f>I507</f>
        <v>60</v>
      </c>
      <c r="J508" s="3">
        <f>J507</f>
        <v>45</v>
      </c>
      <c r="K508" s="3">
        <f>K507</f>
        <v>100</v>
      </c>
      <c r="L508" s="3">
        <f>L507</f>
        <v>80</v>
      </c>
      <c r="M508" s="3">
        <f>M507</f>
        <v>65</v>
      </c>
      <c r="N508" s="3">
        <f>AVERAGE($I$2:$I$1168)</f>
        <v>78.907455012853475</v>
      </c>
      <c r="O508" s="3" t="str">
        <f>CONCATENATE(A508,"-",B508)</f>
        <v>315-Roselia</v>
      </c>
    </row>
    <row r="509" spans="1:15">
      <c r="A509" s="63">
        <v>316</v>
      </c>
      <c r="B509" s="2" t="s">
        <v>371</v>
      </c>
      <c r="C509" t="s">
        <v>17</v>
      </c>
      <c r="D509" s="22">
        <f>COUNTIF($C$2:$C$1168,Tabela1[[#This Row],[Type]])</f>
        <v>61</v>
      </c>
      <c r="E509" s="62" t="str">
        <f>IF(A509&lt;=151,"Kanto",IF(A509&lt;=251,"Johto",IF(A509&lt;=386,"Hoenn",IF(A509&lt;=493,"Sinnoh",IF(A509&lt;=649,"Unova",IF(A509&lt;=721,"Kalos",IF(A509&lt;=809,"Alola",IF(A509&lt;=905,"Galar","Paldea"))))))))</f>
        <v>Hoenn</v>
      </c>
      <c r="F509" t="str">
        <f>IF(G509&gt;=600,"Lendário",IF(G509&gt;=500,"Forte","Normal"))</f>
        <v>Normal</v>
      </c>
      <c r="G509" s="3">
        <v>302</v>
      </c>
      <c r="H509" s="3">
        <v>70</v>
      </c>
      <c r="I509" s="3">
        <v>43</v>
      </c>
      <c r="J509" s="3">
        <v>53</v>
      </c>
      <c r="K509" s="3">
        <v>43</v>
      </c>
      <c r="L509" s="3">
        <v>53</v>
      </c>
      <c r="M509" s="3">
        <v>40</v>
      </c>
      <c r="N509" s="3">
        <f>AVERAGE($I$2:$I$1168)</f>
        <v>78.907455012853475</v>
      </c>
      <c r="O509" s="3" t="str">
        <f>CONCATENATE(A509,"-",B509)</f>
        <v>316-Gulpin</v>
      </c>
    </row>
    <row r="510" spans="1:15">
      <c r="A510" s="63">
        <v>317</v>
      </c>
      <c r="B510" s="2" t="s">
        <v>372</v>
      </c>
      <c r="C510" t="s">
        <v>17</v>
      </c>
      <c r="D510" s="22">
        <f>COUNTIF($C$2:$C$1168,Tabela1[[#This Row],[Type]])</f>
        <v>61</v>
      </c>
      <c r="E510" s="62" t="str">
        <f>IF(A510&lt;=151,"Kanto",IF(A510&lt;=251,"Johto",IF(A510&lt;=386,"Hoenn",IF(A510&lt;=493,"Sinnoh",IF(A510&lt;=649,"Unova",IF(A510&lt;=721,"Kalos",IF(A510&lt;=809,"Alola",IF(A510&lt;=905,"Galar","Paldea"))))))))</f>
        <v>Hoenn</v>
      </c>
      <c r="F510" t="str">
        <f>IF(G510&gt;=600,"Lendário",IF(G510&gt;=500,"Forte","Normal"))</f>
        <v>Normal</v>
      </c>
      <c r="G510" s="3">
        <v>467</v>
      </c>
      <c r="H510" s="3">
        <v>100</v>
      </c>
      <c r="I510" s="3">
        <v>73</v>
      </c>
      <c r="J510" s="3">
        <v>83</v>
      </c>
      <c r="K510" s="3">
        <v>73</v>
      </c>
      <c r="L510" s="3">
        <v>83</v>
      </c>
      <c r="M510" s="3">
        <v>55</v>
      </c>
      <c r="N510" s="3">
        <f>AVERAGE($I$2:$I$1168)</f>
        <v>78.907455012853475</v>
      </c>
      <c r="O510" s="3" t="str">
        <f>CONCATENATE(A510,"-",B510)</f>
        <v>317-Swalot</v>
      </c>
    </row>
    <row r="511" spans="1:15">
      <c r="A511" s="63">
        <v>318</v>
      </c>
      <c r="B511" s="2" t="s">
        <v>373</v>
      </c>
      <c r="C511" t="s">
        <v>30</v>
      </c>
      <c r="D511" s="22">
        <f>COUNTIF($C$2:$C$1168,Tabela1[[#This Row],[Type]])</f>
        <v>121</v>
      </c>
      <c r="E511" s="62" t="str">
        <f>IF(A511&lt;=151,"Kanto",IF(A511&lt;=251,"Johto",IF(A511&lt;=386,"Hoenn",IF(A511&lt;=493,"Sinnoh",IF(A511&lt;=649,"Unova",IF(A511&lt;=721,"Kalos",IF(A511&lt;=809,"Alola",IF(A511&lt;=905,"Galar","Paldea"))))))))</f>
        <v>Hoenn</v>
      </c>
      <c r="F511" t="str">
        <f>IF(G511&gt;=600,"Lendário",IF(G511&gt;=500,"Forte","Normal"))</f>
        <v>Normal</v>
      </c>
      <c r="G511" s="3">
        <v>305</v>
      </c>
      <c r="H511" s="3">
        <v>45</v>
      </c>
      <c r="I511" s="3">
        <v>90</v>
      </c>
      <c r="J511" s="3">
        <v>20</v>
      </c>
      <c r="K511" s="3">
        <v>65</v>
      </c>
      <c r="L511" s="3">
        <v>20</v>
      </c>
      <c r="M511" s="3">
        <v>65</v>
      </c>
      <c r="N511" s="3">
        <f>AVERAGE($I$2:$I$1168)</f>
        <v>78.907455012853475</v>
      </c>
      <c r="O511" s="3" t="str">
        <f>CONCATENATE(A511,"-",B511)</f>
        <v>318-Carvanha</v>
      </c>
    </row>
    <row r="512" spans="1:15">
      <c r="A512" s="63">
        <v>318</v>
      </c>
      <c r="B512" s="2" t="str">
        <f>B511</f>
        <v>Carvanha</v>
      </c>
      <c r="C512" t="s">
        <v>170</v>
      </c>
      <c r="D512" s="22">
        <f>COUNTIF($C$2:$C$1168,Tabela1[[#This Row],[Type]])</f>
        <v>49</v>
      </c>
      <c r="E512" s="62" t="str">
        <f>IF(A512&lt;=151,"Kanto",IF(A512&lt;=251,"Johto",IF(A512&lt;=386,"Hoenn",IF(A512&lt;=493,"Sinnoh",IF(A512&lt;=649,"Unova",IF(A512&lt;=721,"Kalos",IF(A512&lt;=809,"Alola",IF(A512&lt;=905,"Galar","Paldea"))))))))</f>
        <v>Hoenn</v>
      </c>
      <c r="F512" t="str">
        <f>IF(G512&gt;=600,"Lendário",IF(G512&gt;=500,"Forte","Normal"))</f>
        <v>Normal</v>
      </c>
      <c r="G512" s="3">
        <f>G511</f>
        <v>305</v>
      </c>
      <c r="H512" s="3">
        <f>H511</f>
        <v>45</v>
      </c>
      <c r="I512" s="3">
        <f>I511</f>
        <v>90</v>
      </c>
      <c r="J512" s="3">
        <f>J511</f>
        <v>20</v>
      </c>
      <c r="K512" s="3">
        <f>K511</f>
        <v>65</v>
      </c>
      <c r="L512" s="3">
        <f>L511</f>
        <v>20</v>
      </c>
      <c r="M512" s="3">
        <f>M511</f>
        <v>65</v>
      </c>
      <c r="N512" s="3">
        <f>AVERAGE($I$2:$I$1168)</f>
        <v>78.907455012853475</v>
      </c>
      <c r="O512" s="3" t="str">
        <f>CONCATENATE(A512,"-",B512)</f>
        <v>318-Carvanha</v>
      </c>
    </row>
    <row r="513" spans="1:15">
      <c r="A513" s="63">
        <v>319</v>
      </c>
      <c r="B513" s="2" t="s">
        <v>374</v>
      </c>
      <c r="C513" t="s">
        <v>30</v>
      </c>
      <c r="D513" s="22">
        <f>COUNTIF($C$2:$C$1168,Tabela1[[#This Row],[Type]])</f>
        <v>121</v>
      </c>
      <c r="E513" s="62" t="str">
        <f>IF(A513&lt;=151,"Kanto",IF(A513&lt;=251,"Johto",IF(A513&lt;=386,"Hoenn",IF(A513&lt;=493,"Sinnoh",IF(A513&lt;=649,"Unova",IF(A513&lt;=721,"Kalos",IF(A513&lt;=809,"Alola",IF(A513&lt;=905,"Galar","Paldea"))))))))</f>
        <v>Hoenn</v>
      </c>
      <c r="F513" t="str">
        <f>IF(G513&gt;=600,"Lendário",IF(G513&gt;=500,"Forte","Normal"))</f>
        <v>Normal</v>
      </c>
      <c r="G513" s="3">
        <v>460</v>
      </c>
      <c r="H513" s="3">
        <v>70</v>
      </c>
      <c r="I513" s="3">
        <v>120</v>
      </c>
      <c r="J513" s="3">
        <v>40</v>
      </c>
      <c r="K513" s="3">
        <v>95</v>
      </c>
      <c r="L513" s="3">
        <v>40</v>
      </c>
      <c r="M513" s="3">
        <v>95</v>
      </c>
      <c r="N513" s="3">
        <f>AVERAGE($I$2:$I$1168)</f>
        <v>78.907455012853475</v>
      </c>
      <c r="O513" s="3" t="str">
        <f>CONCATENATE(A513,"-",B513)</f>
        <v>319-Sharpedo</v>
      </c>
    </row>
    <row r="514" spans="1:15">
      <c r="A514" s="63">
        <v>319</v>
      </c>
      <c r="B514" s="2" t="str">
        <f>B513</f>
        <v>Sharpedo</v>
      </c>
      <c r="C514" t="s">
        <v>170</v>
      </c>
      <c r="D514" s="22">
        <f>COUNTIF($C$2:$C$1168,Tabela1[[#This Row],[Type]])</f>
        <v>49</v>
      </c>
      <c r="E514" s="62" t="str">
        <f>IF(A514&lt;=151,"Kanto",IF(A514&lt;=251,"Johto",IF(A514&lt;=386,"Hoenn",IF(A514&lt;=493,"Sinnoh",IF(A514&lt;=649,"Unova",IF(A514&lt;=721,"Kalos",IF(A514&lt;=809,"Alola",IF(A514&lt;=905,"Galar","Paldea"))))))))</f>
        <v>Hoenn</v>
      </c>
      <c r="F514" t="str">
        <f>IF(G514&gt;=600,"Lendário",IF(G514&gt;=500,"Forte","Normal"))</f>
        <v>Normal</v>
      </c>
      <c r="G514" s="3">
        <f>G513</f>
        <v>460</v>
      </c>
      <c r="H514" s="3">
        <f>H513</f>
        <v>70</v>
      </c>
      <c r="I514" s="3">
        <f>I513</f>
        <v>120</v>
      </c>
      <c r="J514" s="3">
        <f>J513</f>
        <v>40</v>
      </c>
      <c r="K514" s="3">
        <f>K513</f>
        <v>95</v>
      </c>
      <c r="L514" s="3">
        <f>L513</f>
        <v>40</v>
      </c>
      <c r="M514" s="3">
        <f>M513</f>
        <v>95</v>
      </c>
      <c r="N514" s="3">
        <f>AVERAGE($I$2:$I$1168)</f>
        <v>78.907455012853475</v>
      </c>
      <c r="O514" s="3" t="str">
        <f>CONCATENATE(A514,"-",B514)</f>
        <v>319-Sharpedo</v>
      </c>
    </row>
    <row r="515" spans="1:15">
      <c r="A515" s="63">
        <v>320</v>
      </c>
      <c r="B515" s="2" t="s">
        <v>375</v>
      </c>
      <c r="C515" t="s">
        <v>30</v>
      </c>
      <c r="D515" s="22">
        <f>COUNTIF($C$2:$C$1168,Tabela1[[#This Row],[Type]])</f>
        <v>121</v>
      </c>
      <c r="E515" s="62" t="str">
        <f>IF(A515&lt;=151,"Kanto",IF(A515&lt;=251,"Johto",IF(A515&lt;=386,"Hoenn",IF(A515&lt;=493,"Sinnoh",IF(A515&lt;=649,"Unova",IF(A515&lt;=721,"Kalos",IF(A515&lt;=809,"Alola",IF(A515&lt;=905,"Galar","Paldea"))))))))</f>
        <v>Hoenn</v>
      </c>
      <c r="F515" t="str">
        <f>IF(G515&gt;=600,"Lendário",IF(G515&gt;=500,"Forte","Normal"))</f>
        <v>Normal</v>
      </c>
      <c r="G515" s="3">
        <v>400</v>
      </c>
      <c r="H515" s="3">
        <v>130</v>
      </c>
      <c r="I515" s="3">
        <v>70</v>
      </c>
      <c r="J515" s="3">
        <v>35</v>
      </c>
      <c r="K515" s="3">
        <v>70</v>
      </c>
      <c r="L515" s="3">
        <v>35</v>
      </c>
      <c r="M515" s="3">
        <v>60</v>
      </c>
      <c r="N515" s="3">
        <f>AVERAGE($I$2:$I$1168)</f>
        <v>78.907455012853475</v>
      </c>
      <c r="O515" s="3" t="str">
        <f>CONCATENATE(A515,"-",B515)</f>
        <v>320-Wailmer</v>
      </c>
    </row>
    <row r="516" spans="1:15">
      <c r="A516" s="63">
        <v>321</v>
      </c>
      <c r="B516" s="2" t="s">
        <v>376</v>
      </c>
      <c r="C516" t="s">
        <v>30</v>
      </c>
      <c r="D516" s="22">
        <f>COUNTIF($C$2:$C$1168,Tabela1[[#This Row],[Type]])</f>
        <v>121</v>
      </c>
      <c r="E516" s="62" t="str">
        <f>IF(A516&lt;=151,"Kanto",IF(A516&lt;=251,"Johto",IF(A516&lt;=386,"Hoenn",IF(A516&lt;=493,"Sinnoh",IF(A516&lt;=649,"Unova",IF(A516&lt;=721,"Kalos",IF(A516&lt;=809,"Alola",IF(A516&lt;=905,"Galar","Paldea"))))))))</f>
        <v>Hoenn</v>
      </c>
      <c r="F516" t="str">
        <f>IF(G516&gt;=600,"Lendário",IF(G516&gt;=500,"Forte","Normal"))</f>
        <v>Forte</v>
      </c>
      <c r="G516" s="3">
        <v>500</v>
      </c>
      <c r="H516" s="3">
        <v>170</v>
      </c>
      <c r="I516" s="3">
        <v>90</v>
      </c>
      <c r="J516" s="3">
        <v>45</v>
      </c>
      <c r="K516" s="3">
        <v>90</v>
      </c>
      <c r="L516" s="3">
        <v>45</v>
      </c>
      <c r="M516" s="3">
        <v>60</v>
      </c>
      <c r="N516" s="3">
        <f>AVERAGE($I$2:$I$1168)</f>
        <v>78.907455012853475</v>
      </c>
      <c r="O516" s="3" t="str">
        <f>CONCATENATE(A516,"-",B516)</f>
        <v>321-Wailord</v>
      </c>
    </row>
    <row r="517" spans="1:15">
      <c r="A517" s="63">
        <v>322</v>
      </c>
      <c r="B517" s="2" t="s">
        <v>377</v>
      </c>
      <c r="C517" t="s">
        <v>22</v>
      </c>
      <c r="D517" s="22">
        <f>COUNTIF($C$2:$C$1168,Tabela1[[#This Row],[Type]])</f>
        <v>62</v>
      </c>
      <c r="E517" s="62" t="str">
        <f>IF(A517&lt;=151,"Kanto",IF(A517&lt;=251,"Johto",IF(A517&lt;=386,"Hoenn",IF(A517&lt;=493,"Sinnoh",IF(A517&lt;=649,"Unova",IF(A517&lt;=721,"Kalos",IF(A517&lt;=809,"Alola",IF(A517&lt;=905,"Galar","Paldea"))))))))</f>
        <v>Hoenn</v>
      </c>
      <c r="F517" t="str">
        <f>IF(G517&gt;=600,"Lendário",IF(G517&gt;=500,"Forte","Normal"))</f>
        <v>Normal</v>
      </c>
      <c r="G517" s="3">
        <v>305</v>
      </c>
      <c r="H517" s="3">
        <v>60</v>
      </c>
      <c r="I517" s="3">
        <v>60</v>
      </c>
      <c r="J517" s="3">
        <v>40</v>
      </c>
      <c r="K517" s="3">
        <v>65</v>
      </c>
      <c r="L517" s="3">
        <v>45</v>
      </c>
      <c r="M517" s="3">
        <v>35</v>
      </c>
      <c r="N517" s="3">
        <f>AVERAGE($I$2:$I$1168)</f>
        <v>78.907455012853475</v>
      </c>
      <c r="O517" s="3" t="str">
        <f>CONCATENATE(A517,"-",B517)</f>
        <v>322-Numel</v>
      </c>
    </row>
    <row r="518" spans="1:15">
      <c r="A518" s="63">
        <v>322</v>
      </c>
      <c r="B518" s="2" t="str">
        <f>B517</f>
        <v>Numel</v>
      </c>
      <c r="C518" t="s">
        <v>55</v>
      </c>
      <c r="D518" s="22">
        <f>COUNTIF($C$2:$C$1168,Tabela1[[#This Row],[Type]])</f>
        <v>62</v>
      </c>
      <c r="E518" s="62" t="str">
        <f>IF(A518&lt;=151,"Kanto",IF(A518&lt;=251,"Johto",IF(A518&lt;=386,"Hoenn",IF(A518&lt;=493,"Sinnoh",IF(A518&lt;=649,"Unova",IF(A518&lt;=721,"Kalos",IF(A518&lt;=809,"Alola",IF(A518&lt;=905,"Galar","Paldea"))))))))</f>
        <v>Hoenn</v>
      </c>
      <c r="F518" t="str">
        <f>IF(G518&gt;=600,"Lendário",IF(G518&gt;=500,"Forte","Normal"))</f>
        <v>Normal</v>
      </c>
      <c r="G518" s="3">
        <f>G517</f>
        <v>305</v>
      </c>
      <c r="H518" s="3">
        <f>H517</f>
        <v>60</v>
      </c>
      <c r="I518" s="3">
        <f>I517</f>
        <v>60</v>
      </c>
      <c r="J518" s="3">
        <f>J517</f>
        <v>40</v>
      </c>
      <c r="K518" s="3">
        <f>K517</f>
        <v>65</v>
      </c>
      <c r="L518" s="3">
        <f>L517</f>
        <v>45</v>
      </c>
      <c r="M518" s="3">
        <f>M517</f>
        <v>35</v>
      </c>
      <c r="N518" s="3">
        <f>AVERAGE($I$2:$I$1168)</f>
        <v>78.907455012853475</v>
      </c>
      <c r="O518" s="3" t="str">
        <f>CONCATENATE(A518,"-",B518)</f>
        <v>322-Numel</v>
      </c>
    </row>
    <row r="519" spans="1:15">
      <c r="A519" s="63">
        <v>323</v>
      </c>
      <c r="B519" s="2" t="s">
        <v>378</v>
      </c>
      <c r="C519" t="s">
        <v>22</v>
      </c>
      <c r="D519" s="22">
        <f>COUNTIF($C$2:$C$1168,Tabela1[[#This Row],[Type]])</f>
        <v>62</v>
      </c>
      <c r="E519" s="62" t="str">
        <f>IF(A519&lt;=151,"Kanto",IF(A519&lt;=251,"Johto",IF(A519&lt;=386,"Hoenn",IF(A519&lt;=493,"Sinnoh",IF(A519&lt;=649,"Unova",IF(A519&lt;=721,"Kalos",IF(A519&lt;=809,"Alola",IF(A519&lt;=905,"Galar","Paldea"))))))))</f>
        <v>Hoenn</v>
      </c>
      <c r="F519" t="str">
        <f>IF(G519&gt;=600,"Lendário",IF(G519&gt;=500,"Forte","Normal"))</f>
        <v>Normal</v>
      </c>
      <c r="G519" s="3">
        <v>460</v>
      </c>
      <c r="H519" s="3">
        <v>70</v>
      </c>
      <c r="I519" s="3">
        <v>100</v>
      </c>
      <c r="J519" s="3">
        <v>70</v>
      </c>
      <c r="K519" s="3">
        <v>105</v>
      </c>
      <c r="L519" s="3">
        <v>75</v>
      </c>
      <c r="M519" s="3">
        <v>40</v>
      </c>
      <c r="N519" s="3">
        <f>AVERAGE($I$2:$I$1168)</f>
        <v>78.907455012853475</v>
      </c>
      <c r="O519" s="3" t="str">
        <f>CONCATENATE(A519,"-",B519)</f>
        <v>323-Camerupt</v>
      </c>
    </row>
    <row r="520" spans="1:15">
      <c r="A520" s="63">
        <v>323</v>
      </c>
      <c r="B520" s="2" t="str">
        <f>B519</f>
        <v>Camerupt</v>
      </c>
      <c r="C520" t="s">
        <v>55</v>
      </c>
      <c r="D520" s="22">
        <f>COUNTIF($C$2:$C$1168,Tabela1[[#This Row],[Type]])</f>
        <v>62</v>
      </c>
      <c r="E520" s="62" t="str">
        <f>IF(A520&lt;=151,"Kanto",IF(A520&lt;=251,"Johto",IF(A520&lt;=386,"Hoenn",IF(A520&lt;=493,"Sinnoh",IF(A520&lt;=649,"Unova",IF(A520&lt;=721,"Kalos",IF(A520&lt;=809,"Alola",IF(A520&lt;=905,"Galar","Paldea"))))))))</f>
        <v>Hoenn</v>
      </c>
      <c r="F520" t="str">
        <f>IF(G520&gt;=600,"Lendário",IF(G520&gt;=500,"Forte","Normal"))</f>
        <v>Normal</v>
      </c>
      <c r="G520" s="3">
        <f>G519</f>
        <v>460</v>
      </c>
      <c r="H520" s="3">
        <f>H519</f>
        <v>70</v>
      </c>
      <c r="I520" s="3">
        <f>I519</f>
        <v>100</v>
      </c>
      <c r="J520" s="3">
        <f>J519</f>
        <v>70</v>
      </c>
      <c r="K520" s="3">
        <f>K519</f>
        <v>105</v>
      </c>
      <c r="L520" s="3">
        <f>L519</f>
        <v>75</v>
      </c>
      <c r="M520" s="3">
        <f>M519</f>
        <v>40</v>
      </c>
      <c r="N520" s="3">
        <f>AVERAGE($I$2:$I$1168)</f>
        <v>78.907455012853475</v>
      </c>
      <c r="O520" s="3" t="str">
        <f>CONCATENATE(A520,"-",B520)</f>
        <v>323-Camerupt</v>
      </c>
    </row>
    <row r="521" spans="1:15">
      <c r="A521" s="63">
        <v>324</v>
      </c>
      <c r="B521" s="2" t="s">
        <v>379</v>
      </c>
      <c r="C521" t="s">
        <v>22</v>
      </c>
      <c r="D521" s="22">
        <f>COUNTIF($C$2:$C$1168,Tabela1[[#This Row],[Type]])</f>
        <v>62</v>
      </c>
      <c r="E521" s="62" t="str">
        <f>IF(A521&lt;=151,"Kanto",IF(A521&lt;=251,"Johto",IF(A521&lt;=386,"Hoenn",IF(A521&lt;=493,"Sinnoh",IF(A521&lt;=649,"Unova",IF(A521&lt;=721,"Kalos",IF(A521&lt;=809,"Alola",IF(A521&lt;=905,"Galar","Paldea"))))))))</f>
        <v>Hoenn</v>
      </c>
      <c r="F521" t="str">
        <f>IF(G521&gt;=600,"Lendário",IF(G521&gt;=500,"Forte","Normal"))</f>
        <v>Normal</v>
      </c>
      <c r="G521" s="3">
        <v>470</v>
      </c>
      <c r="H521" s="3">
        <v>70</v>
      </c>
      <c r="I521" s="3">
        <v>85</v>
      </c>
      <c r="J521" s="3">
        <v>140</v>
      </c>
      <c r="K521" s="3">
        <v>85</v>
      </c>
      <c r="L521" s="3">
        <v>70</v>
      </c>
      <c r="M521" s="3">
        <v>20</v>
      </c>
      <c r="N521" s="3">
        <f>AVERAGE($I$2:$I$1168)</f>
        <v>78.907455012853475</v>
      </c>
      <c r="O521" s="3" t="str">
        <f>CONCATENATE(A521,"-",B521)</f>
        <v>324-Torkoal</v>
      </c>
    </row>
    <row r="522" spans="1:15">
      <c r="A522" s="63">
        <v>325</v>
      </c>
      <c r="B522" s="2" t="s">
        <v>380</v>
      </c>
      <c r="C522" t="s">
        <v>94</v>
      </c>
      <c r="D522" s="22">
        <f>COUNTIF($C$2:$C$1168,Tabela1[[#This Row],[Type]])</f>
        <v>83</v>
      </c>
      <c r="E522" s="62" t="str">
        <f>IF(A522&lt;=151,"Kanto",IF(A522&lt;=251,"Johto",IF(A522&lt;=386,"Hoenn",IF(A522&lt;=493,"Sinnoh",IF(A522&lt;=649,"Unova",IF(A522&lt;=721,"Kalos",IF(A522&lt;=809,"Alola",IF(A522&lt;=905,"Galar","Paldea"))))))))</f>
        <v>Hoenn</v>
      </c>
      <c r="F522" t="str">
        <f>IF(G522&gt;=600,"Lendário",IF(G522&gt;=500,"Forte","Normal"))</f>
        <v>Normal</v>
      </c>
      <c r="G522" s="3">
        <v>330</v>
      </c>
      <c r="H522" s="3">
        <v>60</v>
      </c>
      <c r="I522" s="3">
        <v>25</v>
      </c>
      <c r="J522" s="3">
        <v>35</v>
      </c>
      <c r="K522" s="3">
        <v>70</v>
      </c>
      <c r="L522" s="3">
        <v>80</v>
      </c>
      <c r="M522" s="3">
        <v>60</v>
      </c>
      <c r="N522" s="3">
        <f>AVERAGE($I$2:$I$1168)</f>
        <v>78.907455012853475</v>
      </c>
      <c r="O522" s="3" t="str">
        <f>CONCATENATE(A522,"-",B522)</f>
        <v>325-Spoink</v>
      </c>
    </row>
    <row r="523" spans="1:15">
      <c r="A523" s="63">
        <v>326</v>
      </c>
      <c r="B523" s="2" t="s">
        <v>381</v>
      </c>
      <c r="C523" t="s">
        <v>94</v>
      </c>
      <c r="D523" s="22">
        <f>COUNTIF($C$2:$C$1168,Tabela1[[#This Row],[Type]])</f>
        <v>83</v>
      </c>
      <c r="E523" s="62" t="str">
        <f>IF(A523&lt;=151,"Kanto",IF(A523&lt;=251,"Johto",IF(A523&lt;=386,"Hoenn",IF(A523&lt;=493,"Sinnoh",IF(A523&lt;=649,"Unova",IF(A523&lt;=721,"Kalos",IF(A523&lt;=809,"Alola",IF(A523&lt;=905,"Galar","Paldea"))))))))</f>
        <v>Hoenn</v>
      </c>
      <c r="F523" t="str">
        <f>IF(G523&gt;=600,"Lendário",IF(G523&gt;=500,"Forte","Normal"))</f>
        <v>Normal</v>
      </c>
      <c r="G523" s="3">
        <v>470</v>
      </c>
      <c r="H523" s="3">
        <v>80</v>
      </c>
      <c r="I523" s="3">
        <v>45</v>
      </c>
      <c r="J523" s="3">
        <v>65</v>
      </c>
      <c r="K523" s="3">
        <v>90</v>
      </c>
      <c r="L523" s="3">
        <v>110</v>
      </c>
      <c r="M523" s="3">
        <v>80</v>
      </c>
      <c r="N523" s="3">
        <f>AVERAGE($I$2:$I$1168)</f>
        <v>78.907455012853475</v>
      </c>
      <c r="O523" s="3" t="str">
        <f>CONCATENATE(A523,"-",B523)</f>
        <v>326-Grumpig</v>
      </c>
    </row>
    <row r="524" spans="1:15">
      <c r="A524" s="63">
        <v>327</v>
      </c>
      <c r="B524" s="2" t="s">
        <v>382</v>
      </c>
      <c r="C524" t="s">
        <v>42</v>
      </c>
      <c r="D524" s="22">
        <f>COUNTIF($C$2:$C$1168,Tabela1[[#This Row],[Type]])</f>
        <v>99</v>
      </c>
      <c r="E524" s="62" t="str">
        <f>IF(A524&lt;=151,"Kanto",IF(A524&lt;=251,"Johto",IF(A524&lt;=386,"Hoenn",IF(A524&lt;=493,"Sinnoh",IF(A524&lt;=649,"Unova",IF(A524&lt;=721,"Kalos",IF(A524&lt;=809,"Alola",IF(A524&lt;=905,"Galar","Paldea"))))))))</f>
        <v>Hoenn</v>
      </c>
      <c r="F524" t="str">
        <f>IF(G524&gt;=600,"Lendário",IF(G524&gt;=500,"Forte","Normal"))</f>
        <v>Normal</v>
      </c>
      <c r="G524" s="3">
        <v>360</v>
      </c>
      <c r="H524" s="3">
        <v>60</v>
      </c>
      <c r="I524" s="3">
        <v>60</v>
      </c>
      <c r="J524" s="3">
        <v>60</v>
      </c>
      <c r="K524" s="3">
        <v>60</v>
      </c>
      <c r="L524" s="3">
        <v>60</v>
      </c>
      <c r="M524" s="3">
        <v>60</v>
      </c>
      <c r="N524" s="3">
        <f>AVERAGE($I$2:$I$1168)</f>
        <v>78.907455012853475</v>
      </c>
      <c r="O524" s="3" t="str">
        <f>CONCATENATE(A524,"-",B524)</f>
        <v>327-Spinda</v>
      </c>
    </row>
    <row r="525" spans="1:15">
      <c r="A525" s="63">
        <v>328</v>
      </c>
      <c r="B525" s="2" t="s">
        <v>383</v>
      </c>
      <c r="C525" t="s">
        <v>55</v>
      </c>
      <c r="D525" s="22">
        <f>COUNTIF($C$2:$C$1168,Tabela1[[#This Row],[Type]])</f>
        <v>62</v>
      </c>
      <c r="E525" s="62" t="str">
        <f>IF(A525&lt;=151,"Kanto",IF(A525&lt;=251,"Johto",IF(A525&lt;=386,"Hoenn",IF(A525&lt;=493,"Sinnoh",IF(A525&lt;=649,"Unova",IF(A525&lt;=721,"Kalos",IF(A525&lt;=809,"Alola",IF(A525&lt;=905,"Galar","Paldea"))))))))</f>
        <v>Hoenn</v>
      </c>
      <c r="F525" t="str">
        <f>IF(G525&gt;=600,"Lendário",IF(G525&gt;=500,"Forte","Normal"))</f>
        <v>Normal</v>
      </c>
      <c r="G525" s="3">
        <v>290</v>
      </c>
      <c r="H525" s="3">
        <v>45</v>
      </c>
      <c r="I525" s="3">
        <v>100</v>
      </c>
      <c r="J525" s="3">
        <v>45</v>
      </c>
      <c r="K525" s="3">
        <v>45</v>
      </c>
      <c r="L525" s="3">
        <v>45</v>
      </c>
      <c r="M525" s="3">
        <v>10</v>
      </c>
      <c r="N525" s="3">
        <f>AVERAGE($I$2:$I$1168)</f>
        <v>78.907455012853475</v>
      </c>
      <c r="O525" s="3" t="str">
        <f>CONCATENATE(A525,"-",B525)</f>
        <v>328-Trapinch</v>
      </c>
    </row>
    <row r="526" spans="1:15">
      <c r="A526" s="63">
        <v>329</v>
      </c>
      <c r="B526" s="2" t="s">
        <v>384</v>
      </c>
      <c r="C526" t="s">
        <v>55</v>
      </c>
      <c r="D526" s="22">
        <f>COUNTIF($C$2:$C$1168,Tabela1[[#This Row],[Type]])</f>
        <v>62</v>
      </c>
      <c r="E526" s="62" t="str">
        <f>IF(A526&lt;=151,"Kanto",IF(A526&lt;=251,"Johto",IF(A526&lt;=386,"Hoenn",IF(A526&lt;=493,"Sinnoh",IF(A526&lt;=649,"Unova",IF(A526&lt;=721,"Kalos",IF(A526&lt;=809,"Alola",IF(A526&lt;=905,"Galar","Paldea"))))))))</f>
        <v>Hoenn</v>
      </c>
      <c r="F526" t="str">
        <f>IF(G526&gt;=600,"Lendário",IF(G526&gt;=500,"Forte","Normal"))</f>
        <v>Normal</v>
      </c>
      <c r="G526" s="3">
        <v>340</v>
      </c>
      <c r="H526" s="3">
        <v>50</v>
      </c>
      <c r="I526" s="3">
        <v>70</v>
      </c>
      <c r="J526" s="3">
        <v>50</v>
      </c>
      <c r="K526" s="3">
        <v>50</v>
      </c>
      <c r="L526" s="3">
        <v>50</v>
      </c>
      <c r="M526" s="3">
        <v>70</v>
      </c>
      <c r="N526" s="3">
        <f>AVERAGE($I$2:$I$1168)</f>
        <v>78.907455012853475</v>
      </c>
      <c r="O526" s="3" t="str">
        <f>CONCATENATE(A526,"-",B526)</f>
        <v>329-Vibrava</v>
      </c>
    </row>
    <row r="527" spans="1:15">
      <c r="A527" s="63">
        <v>329</v>
      </c>
      <c r="B527" s="2" t="str">
        <f>B526</f>
        <v>Vibrava</v>
      </c>
      <c r="C527" t="s">
        <v>27</v>
      </c>
      <c r="D527" s="22">
        <f>COUNTIF($C$2:$C$1168,Tabela1[[#This Row],[Type]])</f>
        <v>44</v>
      </c>
      <c r="E527" s="62" t="str">
        <f>IF(A527&lt;=151,"Kanto",IF(A527&lt;=251,"Johto",IF(A527&lt;=386,"Hoenn",IF(A527&lt;=493,"Sinnoh",IF(A527&lt;=649,"Unova",IF(A527&lt;=721,"Kalos",IF(A527&lt;=809,"Alola",IF(A527&lt;=905,"Galar","Paldea"))))))))</f>
        <v>Hoenn</v>
      </c>
      <c r="F527" t="str">
        <f>IF(G527&gt;=600,"Lendário",IF(G527&gt;=500,"Forte","Normal"))</f>
        <v>Normal</v>
      </c>
      <c r="G527" s="3">
        <f>G526</f>
        <v>340</v>
      </c>
      <c r="H527" s="3">
        <f>H526</f>
        <v>50</v>
      </c>
      <c r="I527" s="3">
        <f>I526</f>
        <v>70</v>
      </c>
      <c r="J527" s="3">
        <f>J526</f>
        <v>50</v>
      </c>
      <c r="K527" s="3">
        <f>K526</f>
        <v>50</v>
      </c>
      <c r="L527" s="3">
        <f>L526</f>
        <v>50</v>
      </c>
      <c r="M527" s="3">
        <f>M526</f>
        <v>70</v>
      </c>
      <c r="N527" s="3">
        <f>AVERAGE($I$2:$I$1168)</f>
        <v>78.907455012853475</v>
      </c>
      <c r="O527" s="3" t="str">
        <f>CONCATENATE(A527,"-",B527)</f>
        <v>329-Vibrava</v>
      </c>
    </row>
    <row r="528" spans="1:15">
      <c r="A528" s="63">
        <v>330</v>
      </c>
      <c r="B528" s="2" t="s">
        <v>385</v>
      </c>
      <c r="C528" t="s">
        <v>55</v>
      </c>
      <c r="D528" s="22">
        <f>COUNTIF($C$2:$C$1168,Tabela1[[#This Row],[Type]])</f>
        <v>62</v>
      </c>
      <c r="E528" s="62" t="str">
        <f>IF(A528&lt;=151,"Kanto",IF(A528&lt;=251,"Johto",IF(A528&lt;=386,"Hoenn",IF(A528&lt;=493,"Sinnoh",IF(A528&lt;=649,"Unova",IF(A528&lt;=721,"Kalos",IF(A528&lt;=809,"Alola",IF(A528&lt;=905,"Galar","Paldea"))))))))</f>
        <v>Hoenn</v>
      </c>
      <c r="F528" t="str">
        <f>IF(G528&gt;=600,"Lendário",IF(G528&gt;=500,"Forte","Normal"))</f>
        <v>Forte</v>
      </c>
      <c r="G528" s="3">
        <v>520</v>
      </c>
      <c r="H528" s="3">
        <v>80</v>
      </c>
      <c r="I528" s="3">
        <v>100</v>
      </c>
      <c r="J528" s="3">
        <v>80</v>
      </c>
      <c r="K528" s="3">
        <v>80</v>
      </c>
      <c r="L528" s="3">
        <v>80</v>
      </c>
      <c r="M528" s="3">
        <v>100</v>
      </c>
      <c r="N528" s="3">
        <f>AVERAGE($I$2:$I$1168)</f>
        <v>78.907455012853475</v>
      </c>
      <c r="O528" s="3" t="str">
        <f>CONCATENATE(A528,"-",B528)</f>
        <v>330-Flygon</v>
      </c>
    </row>
    <row r="529" spans="1:15">
      <c r="A529" s="63">
        <v>330</v>
      </c>
      <c r="B529" s="2" t="str">
        <f>B528</f>
        <v>Flygon</v>
      </c>
      <c r="C529" t="s">
        <v>27</v>
      </c>
      <c r="D529" s="22">
        <f>COUNTIF($C$2:$C$1168,Tabela1[[#This Row],[Type]])</f>
        <v>44</v>
      </c>
      <c r="E529" s="62" t="str">
        <f>IF(A529&lt;=151,"Kanto",IF(A529&lt;=251,"Johto",IF(A529&lt;=386,"Hoenn",IF(A529&lt;=493,"Sinnoh",IF(A529&lt;=649,"Unova",IF(A529&lt;=721,"Kalos",IF(A529&lt;=809,"Alola",IF(A529&lt;=905,"Galar","Paldea"))))))))</f>
        <v>Hoenn</v>
      </c>
      <c r="F529" t="str">
        <f>IF(G529&gt;=600,"Lendário",IF(G529&gt;=500,"Forte","Normal"))</f>
        <v>Forte</v>
      </c>
      <c r="G529" s="3">
        <f>G528</f>
        <v>520</v>
      </c>
      <c r="H529" s="3">
        <f>H528</f>
        <v>80</v>
      </c>
      <c r="I529" s="3">
        <f>I528</f>
        <v>100</v>
      </c>
      <c r="J529" s="3">
        <f>J528</f>
        <v>80</v>
      </c>
      <c r="K529" s="3">
        <f>K528</f>
        <v>80</v>
      </c>
      <c r="L529" s="3">
        <f>L528</f>
        <v>80</v>
      </c>
      <c r="M529" s="3">
        <f>M528</f>
        <v>100</v>
      </c>
      <c r="N529" s="3">
        <f>AVERAGE($I$2:$I$1168)</f>
        <v>78.907455012853475</v>
      </c>
      <c r="O529" s="3" t="str">
        <f>CONCATENATE(A529,"-",B529)</f>
        <v>330-Flygon</v>
      </c>
    </row>
    <row r="530" spans="1:15">
      <c r="A530" s="63">
        <v>331</v>
      </c>
      <c r="B530" s="2" t="s">
        <v>386</v>
      </c>
      <c r="C530" t="s">
        <v>16</v>
      </c>
      <c r="D530" s="22">
        <f>COUNTIF($C$2:$C$1168,Tabela1[[#This Row],[Type]])</f>
        <v>93</v>
      </c>
      <c r="E530" s="62" t="str">
        <f>IF(A530&lt;=151,"Kanto",IF(A530&lt;=251,"Johto",IF(A530&lt;=386,"Hoenn",IF(A530&lt;=493,"Sinnoh",IF(A530&lt;=649,"Unova",IF(A530&lt;=721,"Kalos",IF(A530&lt;=809,"Alola",IF(A530&lt;=905,"Galar","Paldea"))))))))</f>
        <v>Hoenn</v>
      </c>
      <c r="F530" t="str">
        <f>IF(G530&gt;=600,"Lendário",IF(G530&gt;=500,"Forte","Normal"))</f>
        <v>Normal</v>
      </c>
      <c r="G530" s="3">
        <v>335</v>
      </c>
      <c r="H530" s="3">
        <v>50</v>
      </c>
      <c r="I530" s="3">
        <v>85</v>
      </c>
      <c r="J530" s="3">
        <v>40</v>
      </c>
      <c r="K530" s="3">
        <v>85</v>
      </c>
      <c r="L530" s="3">
        <v>40</v>
      </c>
      <c r="M530" s="3">
        <v>35</v>
      </c>
      <c r="N530" s="3">
        <f>AVERAGE($I$2:$I$1168)</f>
        <v>78.907455012853475</v>
      </c>
      <c r="O530" s="3" t="str">
        <f>CONCATENATE(A530,"-",B530)</f>
        <v>331-Cacnea</v>
      </c>
    </row>
    <row r="531" spans="1:15">
      <c r="A531" s="63">
        <v>332</v>
      </c>
      <c r="B531" s="2" t="s">
        <v>387</v>
      </c>
      <c r="C531" t="s">
        <v>16</v>
      </c>
      <c r="D531" s="22">
        <f>COUNTIF($C$2:$C$1168,Tabela1[[#This Row],[Type]])</f>
        <v>93</v>
      </c>
      <c r="E531" s="62" t="str">
        <f>IF(A531&lt;=151,"Kanto",IF(A531&lt;=251,"Johto",IF(A531&lt;=386,"Hoenn",IF(A531&lt;=493,"Sinnoh",IF(A531&lt;=649,"Unova",IF(A531&lt;=721,"Kalos",IF(A531&lt;=809,"Alola",IF(A531&lt;=905,"Galar","Paldea"))))))))</f>
        <v>Hoenn</v>
      </c>
      <c r="F531" t="str">
        <f>IF(G531&gt;=600,"Lendário",IF(G531&gt;=500,"Forte","Normal"))</f>
        <v>Normal</v>
      </c>
      <c r="G531" s="3">
        <v>475</v>
      </c>
      <c r="H531" s="3">
        <v>70</v>
      </c>
      <c r="I531" s="3">
        <v>115</v>
      </c>
      <c r="J531" s="3">
        <v>60</v>
      </c>
      <c r="K531" s="3">
        <v>115</v>
      </c>
      <c r="L531" s="3">
        <v>60</v>
      </c>
      <c r="M531" s="3">
        <v>55</v>
      </c>
      <c r="N531" s="3">
        <f>AVERAGE($I$2:$I$1168)</f>
        <v>78.907455012853475</v>
      </c>
      <c r="O531" s="3" t="str">
        <f>CONCATENATE(A531,"-",B531)</f>
        <v>332-Cacturne</v>
      </c>
    </row>
    <row r="532" spans="1:15">
      <c r="A532" s="63">
        <v>332</v>
      </c>
      <c r="B532" s="2" t="str">
        <f>B531</f>
        <v>Cacturne</v>
      </c>
      <c r="C532" t="s">
        <v>170</v>
      </c>
      <c r="D532" s="22">
        <f>COUNTIF($C$2:$C$1168,Tabela1[[#This Row],[Type]])</f>
        <v>49</v>
      </c>
      <c r="E532" s="62" t="str">
        <f>IF(A532&lt;=151,"Kanto",IF(A532&lt;=251,"Johto",IF(A532&lt;=386,"Hoenn",IF(A532&lt;=493,"Sinnoh",IF(A532&lt;=649,"Unova",IF(A532&lt;=721,"Kalos",IF(A532&lt;=809,"Alola",IF(A532&lt;=905,"Galar","Paldea"))))))))</f>
        <v>Hoenn</v>
      </c>
      <c r="F532" t="str">
        <f>IF(G532&gt;=600,"Lendário",IF(G532&gt;=500,"Forte","Normal"))</f>
        <v>Normal</v>
      </c>
      <c r="G532" s="3">
        <f>G531</f>
        <v>475</v>
      </c>
      <c r="H532" s="3">
        <f>H531</f>
        <v>70</v>
      </c>
      <c r="I532" s="3">
        <f>I531</f>
        <v>115</v>
      </c>
      <c r="J532" s="3">
        <f>J531</f>
        <v>60</v>
      </c>
      <c r="K532" s="3">
        <f>K531</f>
        <v>115</v>
      </c>
      <c r="L532" s="3">
        <f>L531</f>
        <v>60</v>
      </c>
      <c r="M532" s="3">
        <f>M531</f>
        <v>55</v>
      </c>
      <c r="N532" s="3">
        <f>AVERAGE($I$2:$I$1168)</f>
        <v>78.907455012853475</v>
      </c>
      <c r="O532" s="3" t="str">
        <f>CONCATENATE(A532,"-",B532)</f>
        <v>332-Cacturne</v>
      </c>
    </row>
    <row r="533" spans="1:15">
      <c r="A533" s="63">
        <v>333</v>
      </c>
      <c r="B533" s="2" t="s">
        <v>388</v>
      </c>
      <c r="C533" t="s">
        <v>42</v>
      </c>
      <c r="D533" s="22">
        <f>COUNTIF($C$2:$C$1168,Tabela1[[#This Row],[Type]])</f>
        <v>99</v>
      </c>
      <c r="E533" s="62" t="str">
        <f>IF(A533&lt;=151,"Kanto",IF(A533&lt;=251,"Johto",IF(A533&lt;=386,"Hoenn",IF(A533&lt;=493,"Sinnoh",IF(A533&lt;=649,"Unova",IF(A533&lt;=721,"Kalos",IF(A533&lt;=809,"Alola",IF(A533&lt;=905,"Galar","Paldea"))))))))</f>
        <v>Hoenn</v>
      </c>
      <c r="F533" t="str">
        <f>IF(G533&gt;=600,"Lendário",IF(G533&gt;=500,"Forte","Normal"))</f>
        <v>Normal</v>
      </c>
      <c r="G533" s="3">
        <v>310</v>
      </c>
      <c r="H533" s="3">
        <v>45</v>
      </c>
      <c r="I533" s="3">
        <v>40</v>
      </c>
      <c r="J533" s="3">
        <v>60</v>
      </c>
      <c r="K533" s="3">
        <v>40</v>
      </c>
      <c r="L533" s="3">
        <v>75</v>
      </c>
      <c r="M533" s="3">
        <v>50</v>
      </c>
      <c r="N533" s="3">
        <f>AVERAGE($I$2:$I$1168)</f>
        <v>78.907455012853475</v>
      </c>
      <c r="O533" s="3" t="str">
        <f>CONCATENATE(A533,"-",B533)</f>
        <v>333-Swablu</v>
      </c>
    </row>
    <row r="534" spans="1:15">
      <c r="A534" s="63">
        <v>333</v>
      </c>
      <c r="B534" s="2" t="s">
        <v>389</v>
      </c>
      <c r="C534" t="s">
        <v>86</v>
      </c>
      <c r="D534" s="22">
        <f>COUNTIF($C$2:$C$1168,Tabela1[[#This Row],[Type]])</f>
        <v>51</v>
      </c>
      <c r="E534" s="62" t="str">
        <f>IF(A534&lt;=151,"Kanto",IF(A534&lt;=251,"Johto",IF(A534&lt;=386,"Hoenn",IF(A534&lt;=493,"Sinnoh",IF(A534&lt;=649,"Unova",IF(A534&lt;=721,"Kalos",IF(A534&lt;=809,"Alola",IF(A534&lt;=905,"Galar","Paldea"))))))))</f>
        <v>Hoenn</v>
      </c>
      <c r="F534" t="str">
        <f>IF(G534&gt;=600,"Lendário",IF(G534&gt;=500,"Forte","Normal"))</f>
        <v>Normal</v>
      </c>
      <c r="G534" s="3">
        <f>G533</f>
        <v>310</v>
      </c>
      <c r="H534" s="3">
        <f>H533</f>
        <v>45</v>
      </c>
      <c r="I534" s="3">
        <f>I533</f>
        <v>40</v>
      </c>
      <c r="J534" s="3">
        <f>J533</f>
        <v>60</v>
      </c>
      <c r="K534" s="3">
        <f>K533</f>
        <v>40</v>
      </c>
      <c r="L534" s="3">
        <f>L533</f>
        <v>75</v>
      </c>
      <c r="M534" s="3">
        <f>M533</f>
        <v>50</v>
      </c>
      <c r="N534" s="3">
        <f>AVERAGE($I$2:$I$1168)</f>
        <v>78.907455012853475</v>
      </c>
      <c r="O534" s="3" t="str">
        <f>CONCATENATE(A534,"-",B534)</f>
        <v>333-Meloetta- Pirouette Forme</v>
      </c>
    </row>
    <row r="535" spans="1:15">
      <c r="A535" s="63">
        <v>334</v>
      </c>
      <c r="B535" s="2" t="s">
        <v>390</v>
      </c>
      <c r="C535" t="s">
        <v>27</v>
      </c>
      <c r="D535" s="22">
        <f>COUNTIF($C$2:$C$1168,Tabela1[[#This Row],[Type]])</f>
        <v>44</v>
      </c>
      <c r="E535" s="62" t="str">
        <f>IF(A535&lt;=151,"Kanto",IF(A535&lt;=251,"Johto",IF(A535&lt;=386,"Hoenn",IF(A535&lt;=493,"Sinnoh",IF(A535&lt;=649,"Unova",IF(A535&lt;=721,"Kalos",IF(A535&lt;=809,"Alola",IF(A535&lt;=905,"Galar","Paldea"))))))))</f>
        <v>Hoenn</v>
      </c>
      <c r="F535" t="str">
        <f>IF(G535&gt;=600,"Lendário",IF(G535&gt;=500,"Forte","Normal"))</f>
        <v>Normal</v>
      </c>
      <c r="G535" s="3">
        <v>490</v>
      </c>
      <c r="H535" s="3">
        <v>75</v>
      </c>
      <c r="I535" s="3">
        <v>70</v>
      </c>
      <c r="J535" s="3">
        <v>90</v>
      </c>
      <c r="K535" s="3">
        <v>70</v>
      </c>
      <c r="L535" s="3">
        <v>105</v>
      </c>
      <c r="M535" s="3">
        <v>80</v>
      </c>
      <c r="N535" s="3">
        <f>AVERAGE($I$2:$I$1168)</f>
        <v>78.907455012853475</v>
      </c>
      <c r="O535" s="3" t="str">
        <f>CONCATENATE(A535,"-",B535)</f>
        <v>334-Altaria</v>
      </c>
    </row>
    <row r="536" spans="1:15">
      <c r="A536" s="63">
        <v>334</v>
      </c>
      <c r="B536" s="2" t="str">
        <f>B535</f>
        <v>Altaria</v>
      </c>
      <c r="C536" t="s">
        <v>25</v>
      </c>
      <c r="D536" s="22">
        <f>COUNTIF($C$2:$C$1168,Tabela1[[#This Row],[Type]])</f>
        <v>100</v>
      </c>
      <c r="E536" s="62" t="str">
        <f>IF(A536&lt;=151,"Kanto",IF(A536&lt;=251,"Johto",IF(A536&lt;=386,"Hoenn",IF(A536&lt;=493,"Sinnoh",IF(A536&lt;=649,"Unova",IF(A536&lt;=721,"Kalos",IF(A536&lt;=809,"Alola",IF(A536&lt;=905,"Galar","Paldea"))))))))</f>
        <v>Hoenn</v>
      </c>
      <c r="F536" t="str">
        <f>IF(G536&gt;=600,"Lendário",IF(G536&gt;=500,"Forte","Normal"))</f>
        <v>Normal</v>
      </c>
      <c r="G536" s="3">
        <f>G535</f>
        <v>490</v>
      </c>
      <c r="H536" s="3">
        <f>H535</f>
        <v>75</v>
      </c>
      <c r="I536" s="3">
        <f>I535</f>
        <v>70</v>
      </c>
      <c r="J536" s="3">
        <f>J535</f>
        <v>90</v>
      </c>
      <c r="K536" s="3">
        <f>K535</f>
        <v>70</v>
      </c>
      <c r="L536" s="3">
        <f>L535</f>
        <v>105</v>
      </c>
      <c r="M536" s="3">
        <f>M535</f>
        <v>80</v>
      </c>
      <c r="N536" s="3">
        <f>AVERAGE($I$2:$I$1168)</f>
        <v>78.907455012853475</v>
      </c>
      <c r="O536" s="3" t="str">
        <f>CONCATENATE(A536,"-",B536)</f>
        <v>334-Altaria</v>
      </c>
    </row>
    <row r="537" spans="1:15">
      <c r="A537" s="63">
        <v>335</v>
      </c>
      <c r="B537" s="2" t="s">
        <v>391</v>
      </c>
      <c r="C537" t="s">
        <v>42</v>
      </c>
      <c r="D537" s="22">
        <f>COUNTIF($C$2:$C$1168,Tabela1[[#This Row],[Type]])</f>
        <v>99</v>
      </c>
      <c r="E537" s="62" t="str">
        <f>IF(A537&lt;=151,"Kanto",IF(A537&lt;=251,"Johto",IF(A537&lt;=386,"Hoenn",IF(A537&lt;=493,"Sinnoh",IF(A537&lt;=649,"Unova",IF(A537&lt;=721,"Kalos",IF(A537&lt;=809,"Alola",IF(A537&lt;=905,"Galar","Paldea"))))))))</f>
        <v>Hoenn</v>
      </c>
      <c r="F537" t="str">
        <f>IF(G537&gt;=600,"Lendário",IF(G537&gt;=500,"Forte","Normal"))</f>
        <v>Normal</v>
      </c>
      <c r="G537" s="3">
        <v>458</v>
      </c>
      <c r="H537" s="3">
        <v>73</v>
      </c>
      <c r="I537" s="3">
        <v>115</v>
      </c>
      <c r="J537" s="3">
        <v>60</v>
      </c>
      <c r="K537" s="3">
        <v>60</v>
      </c>
      <c r="L537" s="3">
        <v>60</v>
      </c>
      <c r="M537" s="3">
        <v>90</v>
      </c>
      <c r="N537" s="3">
        <f>AVERAGE($I$2:$I$1168)</f>
        <v>78.907455012853475</v>
      </c>
      <c r="O537" s="3" t="str">
        <f>CONCATENATE(A537,"-",B537)</f>
        <v>335-Zangoose</v>
      </c>
    </row>
    <row r="538" spans="1:15">
      <c r="A538" s="63">
        <v>336</v>
      </c>
      <c r="B538" s="2" t="s">
        <v>392</v>
      </c>
      <c r="C538" t="s">
        <v>17</v>
      </c>
      <c r="D538" s="22">
        <f>COUNTIF($C$2:$C$1168,Tabela1[[#This Row],[Type]])</f>
        <v>61</v>
      </c>
      <c r="E538" s="62" t="str">
        <f>IF(A538&lt;=151,"Kanto",IF(A538&lt;=251,"Johto",IF(A538&lt;=386,"Hoenn",IF(A538&lt;=493,"Sinnoh",IF(A538&lt;=649,"Unova",IF(A538&lt;=721,"Kalos",IF(A538&lt;=809,"Alola",IF(A538&lt;=905,"Galar","Paldea"))))))))</f>
        <v>Hoenn</v>
      </c>
      <c r="F538" t="str">
        <f>IF(G538&gt;=600,"Lendário",IF(G538&gt;=500,"Forte","Normal"))</f>
        <v>Normal</v>
      </c>
      <c r="G538" s="3">
        <v>458</v>
      </c>
      <c r="H538" s="3">
        <v>73</v>
      </c>
      <c r="I538" s="3">
        <v>100</v>
      </c>
      <c r="J538" s="3">
        <v>60</v>
      </c>
      <c r="K538" s="3">
        <v>100</v>
      </c>
      <c r="L538" s="3">
        <v>60</v>
      </c>
      <c r="M538" s="3">
        <v>65</v>
      </c>
      <c r="N538" s="3">
        <f>AVERAGE($I$2:$I$1168)</f>
        <v>78.907455012853475</v>
      </c>
      <c r="O538" s="3" t="str">
        <f>CONCATENATE(A538,"-",B538)</f>
        <v>336-Seviper</v>
      </c>
    </row>
    <row r="539" spans="1:15">
      <c r="A539" s="63">
        <v>337</v>
      </c>
      <c r="B539" s="2" t="s">
        <v>393</v>
      </c>
      <c r="C539" t="s">
        <v>107</v>
      </c>
      <c r="D539" s="22">
        <f>COUNTIF($C$2:$C$1168,Tabela1[[#This Row],[Type]])</f>
        <v>56</v>
      </c>
      <c r="E539" s="62" t="str">
        <f>IF(A539&lt;=151,"Kanto",IF(A539&lt;=251,"Johto",IF(A539&lt;=386,"Hoenn",IF(A539&lt;=493,"Sinnoh",IF(A539&lt;=649,"Unova",IF(A539&lt;=721,"Kalos",IF(A539&lt;=809,"Alola",IF(A539&lt;=905,"Galar","Paldea"))))))))</f>
        <v>Hoenn</v>
      </c>
      <c r="F539" t="str">
        <f>IF(G539&gt;=600,"Lendário",IF(G539&gt;=500,"Forte","Normal"))</f>
        <v>Normal</v>
      </c>
      <c r="G539" s="3">
        <v>440</v>
      </c>
      <c r="H539" s="3">
        <v>70</v>
      </c>
      <c r="I539" s="3">
        <v>55</v>
      </c>
      <c r="J539" s="3">
        <v>65</v>
      </c>
      <c r="K539" s="3">
        <v>95</v>
      </c>
      <c r="L539" s="3">
        <v>85</v>
      </c>
      <c r="M539" s="3">
        <v>70</v>
      </c>
      <c r="N539" s="3">
        <f>AVERAGE($I$2:$I$1168)</f>
        <v>78.907455012853475</v>
      </c>
      <c r="O539" s="3" t="str">
        <f>CONCATENATE(A539,"-",B539)</f>
        <v>337-Lunatone</v>
      </c>
    </row>
    <row r="540" spans="1:15">
      <c r="A540" s="63">
        <v>337</v>
      </c>
      <c r="B540" s="2" t="str">
        <f>B539</f>
        <v>Lunatone</v>
      </c>
      <c r="C540" t="s">
        <v>94</v>
      </c>
      <c r="D540" s="22">
        <f>COUNTIF($C$2:$C$1168,Tabela1[[#This Row],[Type]])</f>
        <v>83</v>
      </c>
      <c r="E540" s="62" t="str">
        <f>IF(A540&lt;=151,"Kanto",IF(A540&lt;=251,"Johto",IF(A540&lt;=386,"Hoenn",IF(A540&lt;=493,"Sinnoh",IF(A540&lt;=649,"Unova",IF(A540&lt;=721,"Kalos",IF(A540&lt;=809,"Alola",IF(A540&lt;=905,"Galar","Paldea"))))))))</f>
        <v>Hoenn</v>
      </c>
      <c r="F540" t="str">
        <f>IF(G540&gt;=600,"Lendário",IF(G540&gt;=500,"Forte","Normal"))</f>
        <v>Normal</v>
      </c>
      <c r="G540" s="3">
        <f>G539</f>
        <v>440</v>
      </c>
      <c r="H540" s="3">
        <f>H539</f>
        <v>70</v>
      </c>
      <c r="I540" s="3">
        <f>I539</f>
        <v>55</v>
      </c>
      <c r="J540" s="3">
        <f>J539</f>
        <v>65</v>
      </c>
      <c r="K540" s="3">
        <f>K539</f>
        <v>95</v>
      </c>
      <c r="L540" s="3">
        <f>L539</f>
        <v>85</v>
      </c>
      <c r="M540" s="3">
        <f>M539</f>
        <v>70</v>
      </c>
      <c r="N540" s="3">
        <f>AVERAGE($I$2:$I$1168)</f>
        <v>78.907455012853475</v>
      </c>
      <c r="O540" s="3" t="str">
        <f>CONCATENATE(A540,"-",B540)</f>
        <v>337-Lunatone</v>
      </c>
    </row>
    <row r="541" spans="1:15">
      <c r="A541" s="63">
        <v>338</v>
      </c>
      <c r="B541" s="2" t="s">
        <v>394</v>
      </c>
      <c r="C541" t="s">
        <v>107</v>
      </c>
      <c r="D541" s="22">
        <f>COUNTIF($C$2:$C$1168,Tabela1[[#This Row],[Type]])</f>
        <v>56</v>
      </c>
      <c r="E541" s="62" t="str">
        <f>IF(A541&lt;=151,"Kanto",IF(A541&lt;=251,"Johto",IF(A541&lt;=386,"Hoenn",IF(A541&lt;=493,"Sinnoh",IF(A541&lt;=649,"Unova",IF(A541&lt;=721,"Kalos",IF(A541&lt;=809,"Alola",IF(A541&lt;=905,"Galar","Paldea"))))))))</f>
        <v>Hoenn</v>
      </c>
      <c r="F541" t="str">
        <f>IF(G541&gt;=600,"Lendário",IF(G541&gt;=500,"Forte","Normal"))</f>
        <v>Normal</v>
      </c>
      <c r="G541" s="3">
        <v>440</v>
      </c>
      <c r="H541" s="3">
        <v>70</v>
      </c>
      <c r="I541" s="3">
        <v>95</v>
      </c>
      <c r="J541" s="3">
        <v>85</v>
      </c>
      <c r="K541" s="3">
        <v>55</v>
      </c>
      <c r="L541" s="3">
        <v>65</v>
      </c>
      <c r="M541" s="3">
        <v>70</v>
      </c>
      <c r="N541" s="3">
        <f>AVERAGE($I$2:$I$1168)</f>
        <v>78.907455012853475</v>
      </c>
      <c r="O541" s="3" t="str">
        <f>CONCATENATE(A541,"-",B541)</f>
        <v>338-Solrock</v>
      </c>
    </row>
    <row r="542" spans="1:15">
      <c r="A542" s="63">
        <v>338</v>
      </c>
      <c r="B542" s="2" t="str">
        <f>B541</f>
        <v>Solrock</v>
      </c>
      <c r="C542" t="s">
        <v>94</v>
      </c>
      <c r="D542" s="22">
        <f>COUNTIF($C$2:$C$1168,Tabela1[[#This Row],[Type]])</f>
        <v>83</v>
      </c>
      <c r="E542" s="62" t="str">
        <f>IF(A542&lt;=151,"Kanto",IF(A542&lt;=251,"Johto",IF(A542&lt;=386,"Hoenn",IF(A542&lt;=493,"Sinnoh",IF(A542&lt;=649,"Unova",IF(A542&lt;=721,"Kalos",IF(A542&lt;=809,"Alola",IF(A542&lt;=905,"Galar","Paldea"))))))))</f>
        <v>Hoenn</v>
      </c>
      <c r="F542" t="str">
        <f>IF(G542&gt;=600,"Lendário",IF(G542&gt;=500,"Forte","Normal"))</f>
        <v>Normal</v>
      </c>
      <c r="G542" s="3">
        <f>G541</f>
        <v>440</v>
      </c>
      <c r="H542" s="3">
        <f>H541</f>
        <v>70</v>
      </c>
      <c r="I542" s="3">
        <f>I541</f>
        <v>95</v>
      </c>
      <c r="J542" s="3">
        <f>J541</f>
        <v>85</v>
      </c>
      <c r="K542" s="3">
        <f>K541</f>
        <v>55</v>
      </c>
      <c r="L542" s="3">
        <f>L541</f>
        <v>65</v>
      </c>
      <c r="M542" s="3">
        <f>M541</f>
        <v>70</v>
      </c>
      <c r="N542" s="3">
        <f>AVERAGE($I$2:$I$1168)</f>
        <v>78.907455012853475</v>
      </c>
      <c r="O542" s="3" t="str">
        <f>CONCATENATE(A542,"-",B542)</f>
        <v>338-Solrock</v>
      </c>
    </row>
    <row r="543" spans="1:15">
      <c r="A543" s="63">
        <v>339</v>
      </c>
      <c r="B543" s="2" t="s">
        <v>395</v>
      </c>
      <c r="C543" t="s">
        <v>30</v>
      </c>
      <c r="D543" s="22">
        <f>COUNTIF($C$2:$C$1168,Tabela1[[#This Row],[Type]])</f>
        <v>121</v>
      </c>
      <c r="E543" s="62" t="str">
        <f>IF(A543&lt;=151,"Kanto",IF(A543&lt;=251,"Johto",IF(A543&lt;=386,"Hoenn",IF(A543&lt;=493,"Sinnoh",IF(A543&lt;=649,"Unova",IF(A543&lt;=721,"Kalos",IF(A543&lt;=809,"Alola",IF(A543&lt;=905,"Galar","Paldea"))))))))</f>
        <v>Hoenn</v>
      </c>
      <c r="F543" t="str">
        <f>IF(G543&gt;=600,"Lendário",IF(G543&gt;=500,"Forte","Normal"))</f>
        <v>Normal</v>
      </c>
      <c r="G543" s="3">
        <v>288</v>
      </c>
      <c r="H543" s="3">
        <v>50</v>
      </c>
      <c r="I543" s="3">
        <v>48</v>
      </c>
      <c r="J543" s="3">
        <v>43</v>
      </c>
      <c r="K543" s="3">
        <v>46</v>
      </c>
      <c r="L543" s="3">
        <v>41</v>
      </c>
      <c r="M543" s="3">
        <v>60</v>
      </c>
      <c r="N543" s="3">
        <f>AVERAGE($I$2:$I$1168)</f>
        <v>78.907455012853475</v>
      </c>
      <c r="O543" s="3" t="str">
        <f>CONCATENATE(A543,"-",B543)</f>
        <v>339-Barboach</v>
      </c>
    </row>
    <row r="544" spans="1:15">
      <c r="A544" s="63">
        <v>339</v>
      </c>
      <c r="B544" s="2" t="str">
        <f>B543</f>
        <v>Barboach</v>
      </c>
      <c r="C544" t="s">
        <v>55</v>
      </c>
      <c r="D544" s="22">
        <f>COUNTIF($C$2:$C$1168,Tabela1[[#This Row],[Type]])</f>
        <v>62</v>
      </c>
      <c r="E544" s="62" t="str">
        <f>IF(A544&lt;=151,"Kanto",IF(A544&lt;=251,"Johto",IF(A544&lt;=386,"Hoenn",IF(A544&lt;=493,"Sinnoh",IF(A544&lt;=649,"Unova",IF(A544&lt;=721,"Kalos",IF(A544&lt;=809,"Alola",IF(A544&lt;=905,"Galar","Paldea"))))))))</f>
        <v>Hoenn</v>
      </c>
      <c r="F544" t="str">
        <f>IF(G544&gt;=600,"Lendário",IF(G544&gt;=500,"Forte","Normal"))</f>
        <v>Normal</v>
      </c>
      <c r="G544" s="3">
        <f>G543</f>
        <v>288</v>
      </c>
      <c r="H544" s="3">
        <f>H543</f>
        <v>50</v>
      </c>
      <c r="I544" s="3">
        <f>I543</f>
        <v>48</v>
      </c>
      <c r="J544" s="3">
        <f>J543</f>
        <v>43</v>
      </c>
      <c r="K544" s="3">
        <f>K543</f>
        <v>46</v>
      </c>
      <c r="L544" s="3">
        <f>L543</f>
        <v>41</v>
      </c>
      <c r="M544" s="3">
        <f>M543</f>
        <v>60</v>
      </c>
      <c r="N544" s="3">
        <f>AVERAGE($I$2:$I$1168)</f>
        <v>78.907455012853475</v>
      </c>
      <c r="O544" s="3" t="str">
        <f>CONCATENATE(A544,"-",B544)</f>
        <v>339-Barboach</v>
      </c>
    </row>
    <row r="545" spans="1:15">
      <c r="A545" s="63">
        <v>340</v>
      </c>
      <c r="B545" s="2" t="s">
        <v>396</v>
      </c>
      <c r="C545" t="s">
        <v>30</v>
      </c>
      <c r="D545" s="22">
        <f>COUNTIF($C$2:$C$1168,Tabela1[[#This Row],[Type]])</f>
        <v>121</v>
      </c>
      <c r="E545" s="62" t="str">
        <f>IF(A545&lt;=151,"Kanto",IF(A545&lt;=251,"Johto",IF(A545&lt;=386,"Hoenn",IF(A545&lt;=493,"Sinnoh",IF(A545&lt;=649,"Unova",IF(A545&lt;=721,"Kalos",IF(A545&lt;=809,"Alola",IF(A545&lt;=905,"Galar","Paldea"))))))))</f>
        <v>Hoenn</v>
      </c>
      <c r="F545" t="str">
        <f>IF(G545&gt;=600,"Lendário",IF(G545&gt;=500,"Forte","Normal"))</f>
        <v>Normal</v>
      </c>
      <c r="G545" s="3">
        <v>468</v>
      </c>
      <c r="H545" s="3">
        <v>110</v>
      </c>
      <c r="I545" s="3">
        <v>78</v>
      </c>
      <c r="J545" s="3">
        <v>73</v>
      </c>
      <c r="K545" s="3">
        <v>76</v>
      </c>
      <c r="L545" s="3">
        <v>71</v>
      </c>
      <c r="M545" s="3">
        <v>60</v>
      </c>
      <c r="N545" s="3">
        <f>AVERAGE($I$2:$I$1168)</f>
        <v>78.907455012853475</v>
      </c>
      <c r="O545" s="3" t="str">
        <f>CONCATENATE(A545,"-",B545)</f>
        <v>340-Whiscash</v>
      </c>
    </row>
    <row r="546" spans="1:15">
      <c r="A546" s="63">
        <v>340</v>
      </c>
      <c r="B546" s="2" t="str">
        <f>B545</f>
        <v>Whiscash</v>
      </c>
      <c r="C546" t="s">
        <v>55</v>
      </c>
      <c r="D546" s="22">
        <f>COUNTIF($C$2:$C$1168,Tabela1[[#This Row],[Type]])</f>
        <v>62</v>
      </c>
      <c r="E546" s="62" t="str">
        <f>IF(A546&lt;=151,"Kanto",IF(A546&lt;=251,"Johto",IF(A546&lt;=386,"Hoenn",IF(A546&lt;=493,"Sinnoh",IF(A546&lt;=649,"Unova",IF(A546&lt;=721,"Kalos",IF(A546&lt;=809,"Alola",IF(A546&lt;=905,"Galar","Paldea"))))))))</f>
        <v>Hoenn</v>
      </c>
      <c r="F546" t="str">
        <f>IF(G546&gt;=600,"Lendário",IF(G546&gt;=500,"Forte","Normal"))</f>
        <v>Normal</v>
      </c>
      <c r="G546" s="3">
        <f>G545</f>
        <v>468</v>
      </c>
      <c r="H546" s="3">
        <f>H545</f>
        <v>110</v>
      </c>
      <c r="I546" s="3">
        <f>I545</f>
        <v>78</v>
      </c>
      <c r="J546" s="3">
        <f>J545</f>
        <v>73</v>
      </c>
      <c r="K546" s="3">
        <f>K545</f>
        <v>76</v>
      </c>
      <c r="L546" s="3">
        <f>L545</f>
        <v>71</v>
      </c>
      <c r="M546" s="3">
        <f>M545</f>
        <v>60</v>
      </c>
      <c r="N546" s="3">
        <f>AVERAGE($I$2:$I$1168)</f>
        <v>78.907455012853475</v>
      </c>
      <c r="O546" s="3" t="str">
        <f>CONCATENATE(A546,"-",B546)</f>
        <v>340-Whiscash</v>
      </c>
    </row>
    <row r="547" spans="1:15">
      <c r="A547" s="63">
        <v>341</v>
      </c>
      <c r="B547" s="2" t="s">
        <v>397</v>
      </c>
      <c r="C547" t="s">
        <v>30</v>
      </c>
      <c r="D547" s="22">
        <f>COUNTIF($C$2:$C$1168,Tabela1[[#This Row],[Type]])</f>
        <v>121</v>
      </c>
      <c r="E547" s="62" t="str">
        <f>IF(A547&lt;=151,"Kanto",IF(A547&lt;=251,"Johto",IF(A547&lt;=386,"Hoenn",IF(A547&lt;=493,"Sinnoh",IF(A547&lt;=649,"Unova",IF(A547&lt;=721,"Kalos",IF(A547&lt;=809,"Alola",IF(A547&lt;=905,"Galar","Paldea"))))))))</f>
        <v>Hoenn</v>
      </c>
      <c r="F547" t="str">
        <f>IF(G547&gt;=600,"Lendário",IF(G547&gt;=500,"Forte","Normal"))</f>
        <v>Normal</v>
      </c>
      <c r="G547" s="3">
        <v>308</v>
      </c>
      <c r="H547" s="3">
        <v>43</v>
      </c>
      <c r="I547" s="3">
        <v>80</v>
      </c>
      <c r="J547" s="3">
        <v>65</v>
      </c>
      <c r="K547" s="3">
        <v>50</v>
      </c>
      <c r="L547" s="3">
        <v>35</v>
      </c>
      <c r="M547" s="3">
        <v>35</v>
      </c>
      <c r="N547" s="3">
        <f>AVERAGE($I$2:$I$1168)</f>
        <v>78.907455012853475</v>
      </c>
      <c r="O547" s="3" t="str">
        <f>CONCATENATE(A547,"-",B547)</f>
        <v>341-Corphish</v>
      </c>
    </row>
    <row r="548" spans="1:15">
      <c r="A548" s="63">
        <v>342</v>
      </c>
      <c r="B548" s="2" t="s">
        <v>398</v>
      </c>
      <c r="C548" t="s">
        <v>30</v>
      </c>
      <c r="D548" s="22">
        <f>COUNTIF($C$2:$C$1168,Tabela1[[#This Row],[Type]])</f>
        <v>121</v>
      </c>
      <c r="E548" s="62" t="str">
        <f>IF(A548&lt;=151,"Kanto",IF(A548&lt;=251,"Johto",IF(A548&lt;=386,"Hoenn",IF(A548&lt;=493,"Sinnoh",IF(A548&lt;=649,"Unova",IF(A548&lt;=721,"Kalos",IF(A548&lt;=809,"Alola",IF(A548&lt;=905,"Galar","Paldea"))))))))</f>
        <v>Hoenn</v>
      </c>
      <c r="F548" t="str">
        <f>IF(G548&gt;=600,"Lendário",IF(G548&gt;=500,"Forte","Normal"))</f>
        <v>Normal</v>
      </c>
      <c r="G548" s="3">
        <v>468</v>
      </c>
      <c r="H548" s="3">
        <v>63</v>
      </c>
      <c r="I548" s="3">
        <v>120</v>
      </c>
      <c r="J548" s="3">
        <v>85</v>
      </c>
      <c r="K548" s="3">
        <v>90</v>
      </c>
      <c r="L548" s="3">
        <v>55</v>
      </c>
      <c r="M548" s="3">
        <v>55</v>
      </c>
      <c r="N548" s="3">
        <f>AVERAGE($I$2:$I$1168)</f>
        <v>78.907455012853475</v>
      </c>
      <c r="O548" s="3" t="str">
        <f>CONCATENATE(A548,"-",B548)</f>
        <v>342-Crawdaunt</v>
      </c>
    </row>
    <row r="549" spans="1:15">
      <c r="A549" s="63">
        <v>342</v>
      </c>
      <c r="B549" s="2" t="str">
        <f>B548</f>
        <v>Crawdaunt</v>
      </c>
      <c r="C549" t="s">
        <v>170</v>
      </c>
      <c r="D549" s="22">
        <f>COUNTIF($C$2:$C$1168,Tabela1[[#This Row],[Type]])</f>
        <v>49</v>
      </c>
      <c r="E549" s="62" t="str">
        <f>IF(A549&lt;=151,"Kanto",IF(A549&lt;=251,"Johto",IF(A549&lt;=386,"Hoenn",IF(A549&lt;=493,"Sinnoh",IF(A549&lt;=649,"Unova",IF(A549&lt;=721,"Kalos",IF(A549&lt;=809,"Alola",IF(A549&lt;=905,"Galar","Paldea"))))))))</f>
        <v>Hoenn</v>
      </c>
      <c r="F549" t="str">
        <f>IF(G549&gt;=600,"Lendário",IF(G549&gt;=500,"Forte","Normal"))</f>
        <v>Normal</v>
      </c>
      <c r="G549" s="3">
        <f>G548</f>
        <v>468</v>
      </c>
      <c r="H549" s="3">
        <f>H548</f>
        <v>63</v>
      </c>
      <c r="I549" s="3">
        <f>I548</f>
        <v>120</v>
      </c>
      <c r="J549" s="3">
        <f>J548</f>
        <v>85</v>
      </c>
      <c r="K549" s="3">
        <f>K548</f>
        <v>90</v>
      </c>
      <c r="L549" s="3">
        <f>L548</f>
        <v>55</v>
      </c>
      <c r="M549" s="3">
        <f>M548</f>
        <v>55</v>
      </c>
      <c r="N549" s="3">
        <f>AVERAGE($I$2:$I$1168)</f>
        <v>78.907455012853475</v>
      </c>
      <c r="O549" s="3" t="str">
        <f>CONCATENATE(A549,"-",B549)</f>
        <v>342-Crawdaunt</v>
      </c>
    </row>
    <row r="550" spans="1:15">
      <c r="A550" s="63">
        <v>343</v>
      </c>
      <c r="B550" s="2" t="s">
        <v>399</v>
      </c>
      <c r="C550" t="s">
        <v>55</v>
      </c>
      <c r="D550" s="22">
        <f>COUNTIF($C$2:$C$1168,Tabela1[[#This Row],[Type]])</f>
        <v>62</v>
      </c>
      <c r="E550" s="62" t="str">
        <f>IF(A550&lt;=151,"Kanto",IF(A550&lt;=251,"Johto",IF(A550&lt;=386,"Hoenn",IF(A550&lt;=493,"Sinnoh",IF(A550&lt;=649,"Unova",IF(A550&lt;=721,"Kalos",IF(A550&lt;=809,"Alola",IF(A550&lt;=905,"Galar","Paldea"))))))))</f>
        <v>Hoenn</v>
      </c>
      <c r="F550" t="str">
        <f>IF(G550&gt;=600,"Lendário",IF(G550&gt;=500,"Forte","Normal"))</f>
        <v>Normal</v>
      </c>
      <c r="G550" s="3">
        <v>300</v>
      </c>
      <c r="H550" s="3">
        <v>40</v>
      </c>
      <c r="I550" s="3">
        <v>40</v>
      </c>
      <c r="J550" s="3">
        <v>55</v>
      </c>
      <c r="K550" s="3">
        <v>40</v>
      </c>
      <c r="L550" s="3">
        <v>70</v>
      </c>
      <c r="M550" s="3">
        <v>55</v>
      </c>
      <c r="N550" s="3">
        <f>AVERAGE($I$2:$I$1168)</f>
        <v>78.907455012853475</v>
      </c>
      <c r="O550" s="3" t="str">
        <f>CONCATENATE(A550,"-",B550)</f>
        <v>343-Baltoy</v>
      </c>
    </row>
    <row r="551" spans="1:15">
      <c r="A551" s="63">
        <v>343</v>
      </c>
      <c r="B551" s="2" t="str">
        <f>B550</f>
        <v>Baltoy</v>
      </c>
      <c r="C551" t="s">
        <v>94</v>
      </c>
      <c r="D551" s="22">
        <f>COUNTIF($C$2:$C$1168,Tabela1[[#This Row],[Type]])</f>
        <v>83</v>
      </c>
      <c r="E551" s="62" t="str">
        <f>IF(A551&lt;=151,"Kanto",IF(A551&lt;=251,"Johto",IF(A551&lt;=386,"Hoenn",IF(A551&lt;=493,"Sinnoh",IF(A551&lt;=649,"Unova",IF(A551&lt;=721,"Kalos",IF(A551&lt;=809,"Alola",IF(A551&lt;=905,"Galar","Paldea"))))))))</f>
        <v>Hoenn</v>
      </c>
      <c r="F551" t="str">
        <f>IF(G551&gt;=600,"Lendário",IF(G551&gt;=500,"Forte","Normal"))</f>
        <v>Normal</v>
      </c>
      <c r="G551" s="3">
        <f>G550</f>
        <v>300</v>
      </c>
      <c r="H551" s="3">
        <f>H550</f>
        <v>40</v>
      </c>
      <c r="I551" s="3">
        <f>I550</f>
        <v>40</v>
      </c>
      <c r="J551" s="3">
        <f>J550</f>
        <v>55</v>
      </c>
      <c r="K551" s="3">
        <f>K550</f>
        <v>40</v>
      </c>
      <c r="L551" s="3">
        <f>L550</f>
        <v>70</v>
      </c>
      <c r="M551" s="3">
        <f>M550</f>
        <v>55</v>
      </c>
      <c r="N551" s="3">
        <f>AVERAGE($I$2:$I$1168)</f>
        <v>78.907455012853475</v>
      </c>
      <c r="O551" s="3" t="str">
        <f>CONCATENATE(A551,"-",B551)</f>
        <v>343-Baltoy</v>
      </c>
    </row>
    <row r="552" spans="1:15">
      <c r="A552" s="63">
        <v>344</v>
      </c>
      <c r="B552" s="2" t="s">
        <v>400</v>
      </c>
      <c r="C552" t="s">
        <v>55</v>
      </c>
      <c r="D552" s="22">
        <f>COUNTIF($C$2:$C$1168,Tabela1[[#This Row],[Type]])</f>
        <v>62</v>
      </c>
      <c r="E552" s="62" t="str">
        <f>IF(A552&lt;=151,"Kanto",IF(A552&lt;=251,"Johto",IF(A552&lt;=386,"Hoenn",IF(A552&lt;=493,"Sinnoh",IF(A552&lt;=649,"Unova",IF(A552&lt;=721,"Kalos",IF(A552&lt;=809,"Alola",IF(A552&lt;=905,"Galar","Paldea"))))))))</f>
        <v>Hoenn</v>
      </c>
      <c r="F552" t="str">
        <f>IF(G552&gt;=600,"Lendário",IF(G552&gt;=500,"Forte","Normal"))</f>
        <v>Forte</v>
      </c>
      <c r="G552" s="3">
        <v>500</v>
      </c>
      <c r="H552" s="3">
        <v>60</v>
      </c>
      <c r="I552" s="3">
        <v>70</v>
      </c>
      <c r="J552" s="3">
        <v>105</v>
      </c>
      <c r="K552" s="3">
        <v>70</v>
      </c>
      <c r="L552" s="3">
        <v>120</v>
      </c>
      <c r="M552" s="3">
        <v>75</v>
      </c>
      <c r="N552" s="3">
        <f>AVERAGE($I$2:$I$1168)</f>
        <v>78.907455012853475</v>
      </c>
      <c r="O552" s="3" t="str">
        <f>CONCATENATE(A552,"-",B552)</f>
        <v>344-Claydol</v>
      </c>
    </row>
    <row r="553" spans="1:15">
      <c r="A553" s="63">
        <v>344</v>
      </c>
      <c r="B553" s="2" t="str">
        <f>B552</f>
        <v>Claydol</v>
      </c>
      <c r="C553" t="s">
        <v>94</v>
      </c>
      <c r="D553" s="22">
        <f>COUNTIF($C$2:$C$1168,Tabela1[[#This Row],[Type]])</f>
        <v>83</v>
      </c>
      <c r="E553" s="62" t="str">
        <f>IF(A553&lt;=151,"Kanto",IF(A553&lt;=251,"Johto",IF(A553&lt;=386,"Hoenn",IF(A553&lt;=493,"Sinnoh",IF(A553&lt;=649,"Unova",IF(A553&lt;=721,"Kalos",IF(A553&lt;=809,"Alola",IF(A553&lt;=905,"Galar","Paldea"))))))))</f>
        <v>Hoenn</v>
      </c>
      <c r="F553" t="str">
        <f>IF(G553&gt;=600,"Lendário",IF(G553&gt;=500,"Forte","Normal"))</f>
        <v>Forte</v>
      </c>
      <c r="G553" s="3">
        <f>G552</f>
        <v>500</v>
      </c>
      <c r="H553" s="3">
        <f>H552</f>
        <v>60</v>
      </c>
      <c r="I553" s="3">
        <f>I552</f>
        <v>70</v>
      </c>
      <c r="J553" s="3">
        <f>J552</f>
        <v>105</v>
      </c>
      <c r="K553" s="3">
        <f>K552</f>
        <v>70</v>
      </c>
      <c r="L553" s="3">
        <f>L552</f>
        <v>120</v>
      </c>
      <c r="M553" s="3">
        <f>M552</f>
        <v>75</v>
      </c>
      <c r="N553" s="3">
        <f>AVERAGE($I$2:$I$1168)</f>
        <v>78.907455012853475</v>
      </c>
      <c r="O553" s="3" t="str">
        <f>CONCATENATE(A553,"-",B553)</f>
        <v>344-Claydol</v>
      </c>
    </row>
    <row r="554" spans="1:15">
      <c r="A554" s="63">
        <v>345</v>
      </c>
      <c r="B554" s="2" t="s">
        <v>401</v>
      </c>
      <c r="C554" t="s">
        <v>107</v>
      </c>
      <c r="D554" s="22">
        <f>COUNTIF($C$2:$C$1168,Tabela1[[#This Row],[Type]])</f>
        <v>56</v>
      </c>
      <c r="E554" s="62" t="str">
        <f>IF(A554&lt;=151,"Kanto",IF(A554&lt;=251,"Johto",IF(A554&lt;=386,"Hoenn",IF(A554&lt;=493,"Sinnoh",IF(A554&lt;=649,"Unova",IF(A554&lt;=721,"Kalos",IF(A554&lt;=809,"Alola",IF(A554&lt;=905,"Galar","Paldea"))))))))</f>
        <v>Hoenn</v>
      </c>
      <c r="F554" t="str">
        <f>IF(G554&gt;=600,"Lendário",IF(G554&gt;=500,"Forte","Normal"))</f>
        <v>Normal</v>
      </c>
      <c r="G554" s="3">
        <v>355</v>
      </c>
      <c r="H554" s="3">
        <v>66</v>
      </c>
      <c r="I554" s="3">
        <v>41</v>
      </c>
      <c r="J554" s="3">
        <v>77</v>
      </c>
      <c r="K554" s="3">
        <v>61</v>
      </c>
      <c r="L554" s="3">
        <v>87</v>
      </c>
      <c r="M554" s="3">
        <v>23</v>
      </c>
      <c r="N554" s="3">
        <f>AVERAGE($I$2:$I$1168)</f>
        <v>78.907455012853475</v>
      </c>
      <c r="O554" s="3" t="str">
        <f>CONCATENATE(A554,"-",B554)</f>
        <v>345-Lileep</v>
      </c>
    </row>
    <row r="555" spans="1:15">
      <c r="A555" s="63">
        <v>345</v>
      </c>
      <c r="B555" s="2" t="str">
        <f>B554</f>
        <v>Lileep</v>
      </c>
      <c r="C555" t="s">
        <v>16</v>
      </c>
      <c r="D555" s="22">
        <f>COUNTIF($C$2:$C$1168,Tabela1[[#This Row],[Type]])</f>
        <v>93</v>
      </c>
      <c r="E555" s="62" t="str">
        <f>IF(A555&lt;=151,"Kanto",IF(A555&lt;=251,"Johto",IF(A555&lt;=386,"Hoenn",IF(A555&lt;=493,"Sinnoh",IF(A555&lt;=649,"Unova",IF(A555&lt;=721,"Kalos",IF(A555&lt;=809,"Alola",IF(A555&lt;=905,"Galar","Paldea"))))))))</f>
        <v>Hoenn</v>
      </c>
      <c r="F555" t="str">
        <f>IF(G555&gt;=600,"Lendário",IF(G555&gt;=500,"Forte","Normal"))</f>
        <v>Normal</v>
      </c>
      <c r="G555" s="3">
        <f>G554</f>
        <v>355</v>
      </c>
      <c r="H555" s="3">
        <f>H554</f>
        <v>66</v>
      </c>
      <c r="I555" s="3">
        <f>I554</f>
        <v>41</v>
      </c>
      <c r="J555" s="3">
        <f>J554</f>
        <v>77</v>
      </c>
      <c r="K555" s="3">
        <f>K554</f>
        <v>61</v>
      </c>
      <c r="L555" s="3">
        <f>L554</f>
        <v>87</v>
      </c>
      <c r="M555" s="3">
        <f>M554</f>
        <v>23</v>
      </c>
      <c r="N555" s="3">
        <f>AVERAGE($I$2:$I$1168)</f>
        <v>78.907455012853475</v>
      </c>
      <c r="O555" s="3" t="str">
        <f>CONCATENATE(A555,"-",B555)</f>
        <v>345-Lileep</v>
      </c>
    </row>
    <row r="556" spans="1:15">
      <c r="A556" s="63">
        <v>346</v>
      </c>
      <c r="B556" s="2" t="s">
        <v>402</v>
      </c>
      <c r="C556" t="s">
        <v>107</v>
      </c>
      <c r="D556" s="22">
        <f>COUNTIF($C$2:$C$1168,Tabela1[[#This Row],[Type]])</f>
        <v>56</v>
      </c>
      <c r="E556" s="62" t="str">
        <f>IF(A556&lt;=151,"Kanto",IF(A556&lt;=251,"Johto",IF(A556&lt;=386,"Hoenn",IF(A556&lt;=493,"Sinnoh",IF(A556&lt;=649,"Unova",IF(A556&lt;=721,"Kalos",IF(A556&lt;=809,"Alola",IF(A556&lt;=905,"Galar","Paldea"))))))))</f>
        <v>Hoenn</v>
      </c>
      <c r="F556" t="str">
        <f>IF(G556&gt;=600,"Lendário",IF(G556&gt;=500,"Forte","Normal"))</f>
        <v>Normal</v>
      </c>
      <c r="G556" s="3">
        <v>495</v>
      </c>
      <c r="H556" s="3">
        <v>86</v>
      </c>
      <c r="I556" s="3">
        <v>81</v>
      </c>
      <c r="J556" s="3">
        <v>97</v>
      </c>
      <c r="K556" s="3">
        <v>81</v>
      </c>
      <c r="L556" s="3">
        <v>107</v>
      </c>
      <c r="M556" s="3">
        <v>43</v>
      </c>
      <c r="N556" s="3">
        <f>AVERAGE($I$2:$I$1168)</f>
        <v>78.907455012853475</v>
      </c>
      <c r="O556" s="3" t="str">
        <f>CONCATENATE(A556,"-",B556)</f>
        <v>346-Cradily</v>
      </c>
    </row>
    <row r="557" spans="1:15">
      <c r="A557" s="63">
        <v>346</v>
      </c>
      <c r="B557" s="2" t="str">
        <f>B556</f>
        <v>Cradily</v>
      </c>
      <c r="C557" t="s">
        <v>16</v>
      </c>
      <c r="D557" s="22">
        <f>COUNTIF($C$2:$C$1168,Tabela1[[#This Row],[Type]])</f>
        <v>93</v>
      </c>
      <c r="E557" s="62" t="str">
        <f>IF(A557&lt;=151,"Kanto",IF(A557&lt;=251,"Johto",IF(A557&lt;=386,"Hoenn",IF(A557&lt;=493,"Sinnoh",IF(A557&lt;=649,"Unova",IF(A557&lt;=721,"Kalos",IF(A557&lt;=809,"Alola",IF(A557&lt;=905,"Galar","Paldea"))))))))</f>
        <v>Hoenn</v>
      </c>
      <c r="F557" t="str">
        <f>IF(G557&gt;=600,"Lendário",IF(G557&gt;=500,"Forte","Normal"))</f>
        <v>Normal</v>
      </c>
      <c r="G557" s="3">
        <f>G556</f>
        <v>495</v>
      </c>
      <c r="H557" s="3">
        <f>H556</f>
        <v>86</v>
      </c>
      <c r="I557" s="3">
        <f>I556</f>
        <v>81</v>
      </c>
      <c r="J557" s="3">
        <f>J556</f>
        <v>97</v>
      </c>
      <c r="K557" s="3">
        <f>K556</f>
        <v>81</v>
      </c>
      <c r="L557" s="3">
        <f>L556</f>
        <v>107</v>
      </c>
      <c r="M557" s="3">
        <f>M556</f>
        <v>43</v>
      </c>
      <c r="N557" s="3">
        <f>AVERAGE($I$2:$I$1168)</f>
        <v>78.907455012853475</v>
      </c>
      <c r="O557" s="3" t="str">
        <f>CONCATENATE(A557,"-",B557)</f>
        <v>346-Cradily</v>
      </c>
    </row>
    <row r="558" spans="1:15">
      <c r="A558" s="63">
        <v>347</v>
      </c>
      <c r="B558" s="2" t="s">
        <v>403</v>
      </c>
      <c r="C558" t="s">
        <v>107</v>
      </c>
      <c r="D558" s="22">
        <f>COUNTIF($C$2:$C$1168,Tabela1[[#This Row],[Type]])</f>
        <v>56</v>
      </c>
      <c r="E558" s="62" t="str">
        <f>IF(A558&lt;=151,"Kanto",IF(A558&lt;=251,"Johto",IF(A558&lt;=386,"Hoenn",IF(A558&lt;=493,"Sinnoh",IF(A558&lt;=649,"Unova",IF(A558&lt;=721,"Kalos",IF(A558&lt;=809,"Alola",IF(A558&lt;=905,"Galar","Paldea"))))))))</f>
        <v>Hoenn</v>
      </c>
      <c r="F558" t="str">
        <f>IF(G558&gt;=600,"Lendário",IF(G558&gt;=500,"Forte","Normal"))</f>
        <v>Normal</v>
      </c>
      <c r="G558" s="3">
        <v>355</v>
      </c>
      <c r="H558" s="3">
        <v>45</v>
      </c>
      <c r="I558" s="3">
        <v>95</v>
      </c>
      <c r="J558" s="3">
        <v>50</v>
      </c>
      <c r="K558" s="3">
        <v>40</v>
      </c>
      <c r="L558" s="3">
        <v>50</v>
      </c>
      <c r="M558" s="3">
        <v>75</v>
      </c>
      <c r="N558" s="3">
        <f>AVERAGE($I$2:$I$1168)</f>
        <v>78.907455012853475</v>
      </c>
      <c r="O558" s="3" t="str">
        <f>CONCATENATE(A558,"-",B558)</f>
        <v>347-Anorith</v>
      </c>
    </row>
    <row r="559" spans="1:15">
      <c r="A559" s="63">
        <v>347</v>
      </c>
      <c r="B559" s="2" t="str">
        <f>B558</f>
        <v>Anorith</v>
      </c>
      <c r="C559" t="s">
        <v>35</v>
      </c>
      <c r="D559" s="22">
        <f>COUNTIF($C$2:$C$1168,Tabela1[[#This Row],[Type]])</f>
        <v>71</v>
      </c>
      <c r="E559" s="62" t="str">
        <f>IF(A559&lt;=151,"Kanto",IF(A559&lt;=251,"Johto",IF(A559&lt;=386,"Hoenn",IF(A559&lt;=493,"Sinnoh",IF(A559&lt;=649,"Unova",IF(A559&lt;=721,"Kalos",IF(A559&lt;=809,"Alola",IF(A559&lt;=905,"Galar","Paldea"))))))))</f>
        <v>Hoenn</v>
      </c>
      <c r="F559" t="str">
        <f>IF(G559&gt;=600,"Lendário",IF(G559&gt;=500,"Forte","Normal"))</f>
        <v>Normal</v>
      </c>
      <c r="G559" s="3">
        <f>G558</f>
        <v>355</v>
      </c>
      <c r="H559" s="3">
        <f>H558</f>
        <v>45</v>
      </c>
      <c r="I559" s="3">
        <f>I558</f>
        <v>95</v>
      </c>
      <c r="J559" s="3">
        <f>J558</f>
        <v>50</v>
      </c>
      <c r="K559" s="3">
        <f>K558</f>
        <v>40</v>
      </c>
      <c r="L559" s="3">
        <f>L558</f>
        <v>50</v>
      </c>
      <c r="M559" s="3">
        <f>M558</f>
        <v>75</v>
      </c>
      <c r="N559" s="3">
        <f>AVERAGE($I$2:$I$1168)</f>
        <v>78.907455012853475</v>
      </c>
      <c r="O559" s="3" t="str">
        <f>CONCATENATE(A559,"-",B559)</f>
        <v>347-Anorith</v>
      </c>
    </row>
    <row r="560" spans="1:15">
      <c r="A560" s="63">
        <v>348</v>
      </c>
      <c r="B560" s="2" t="s">
        <v>404</v>
      </c>
      <c r="C560" t="s">
        <v>107</v>
      </c>
      <c r="D560" s="22">
        <f>COUNTIF($C$2:$C$1168,Tabela1[[#This Row],[Type]])</f>
        <v>56</v>
      </c>
      <c r="E560" s="62" t="str">
        <f>IF(A560&lt;=151,"Kanto",IF(A560&lt;=251,"Johto",IF(A560&lt;=386,"Hoenn",IF(A560&lt;=493,"Sinnoh",IF(A560&lt;=649,"Unova",IF(A560&lt;=721,"Kalos",IF(A560&lt;=809,"Alola",IF(A560&lt;=905,"Galar","Paldea"))))))))</f>
        <v>Hoenn</v>
      </c>
      <c r="F560" t="str">
        <f>IF(G560&gt;=600,"Lendário",IF(G560&gt;=500,"Forte","Normal"))</f>
        <v>Normal</v>
      </c>
      <c r="G560" s="3">
        <v>495</v>
      </c>
      <c r="H560" s="3">
        <v>75</v>
      </c>
      <c r="I560" s="3">
        <v>125</v>
      </c>
      <c r="J560" s="3">
        <v>100</v>
      </c>
      <c r="K560" s="3">
        <v>70</v>
      </c>
      <c r="L560" s="3">
        <v>80</v>
      </c>
      <c r="M560" s="3">
        <v>45</v>
      </c>
      <c r="N560" s="3">
        <f>AVERAGE($I$2:$I$1168)</f>
        <v>78.907455012853475</v>
      </c>
      <c r="O560" s="3" t="str">
        <f>CONCATENATE(A560,"-",B560)</f>
        <v>348-Armaldo</v>
      </c>
    </row>
    <row r="561" spans="1:15">
      <c r="A561" s="63">
        <v>348</v>
      </c>
      <c r="B561" s="2" t="str">
        <f>B560</f>
        <v>Armaldo</v>
      </c>
      <c r="C561" t="s">
        <v>35</v>
      </c>
      <c r="D561" s="22">
        <f>COUNTIF($C$2:$C$1168,Tabela1[[#This Row],[Type]])</f>
        <v>71</v>
      </c>
      <c r="E561" s="62" t="str">
        <f>IF(A561&lt;=151,"Kanto",IF(A561&lt;=251,"Johto",IF(A561&lt;=386,"Hoenn",IF(A561&lt;=493,"Sinnoh",IF(A561&lt;=649,"Unova",IF(A561&lt;=721,"Kalos",IF(A561&lt;=809,"Alola",IF(A561&lt;=905,"Galar","Paldea"))))))))</f>
        <v>Hoenn</v>
      </c>
      <c r="F561" t="str">
        <f>IF(G561&gt;=600,"Lendário",IF(G561&gt;=500,"Forte","Normal"))</f>
        <v>Normal</v>
      </c>
      <c r="G561" s="3">
        <f>G560</f>
        <v>495</v>
      </c>
      <c r="H561" s="3">
        <f>H560</f>
        <v>75</v>
      </c>
      <c r="I561" s="3">
        <f>I560</f>
        <v>125</v>
      </c>
      <c r="J561" s="3">
        <f>J560</f>
        <v>100</v>
      </c>
      <c r="K561" s="3">
        <f>K560</f>
        <v>70</v>
      </c>
      <c r="L561" s="3">
        <f>L560</f>
        <v>80</v>
      </c>
      <c r="M561" s="3">
        <f>M560</f>
        <v>45</v>
      </c>
      <c r="N561" s="3">
        <f>AVERAGE($I$2:$I$1168)</f>
        <v>78.907455012853475</v>
      </c>
      <c r="O561" s="3" t="str">
        <f>CONCATENATE(A561,"-",B561)</f>
        <v>348-Armaldo</v>
      </c>
    </row>
    <row r="562" spans="1:15">
      <c r="A562" s="63">
        <v>349</v>
      </c>
      <c r="B562" s="2" t="s">
        <v>405</v>
      </c>
      <c r="C562" t="s">
        <v>30</v>
      </c>
      <c r="D562" s="22">
        <f>COUNTIF($C$2:$C$1168,Tabela1[[#This Row],[Type]])</f>
        <v>121</v>
      </c>
      <c r="E562" s="62" t="str">
        <f>IF(A562&lt;=151,"Kanto",IF(A562&lt;=251,"Johto",IF(A562&lt;=386,"Hoenn",IF(A562&lt;=493,"Sinnoh",IF(A562&lt;=649,"Unova",IF(A562&lt;=721,"Kalos",IF(A562&lt;=809,"Alola",IF(A562&lt;=905,"Galar","Paldea"))))))))</f>
        <v>Hoenn</v>
      </c>
      <c r="F562" t="str">
        <f>IF(G562&gt;=600,"Lendário",IF(G562&gt;=500,"Forte","Normal"))</f>
        <v>Normal</v>
      </c>
      <c r="G562" s="3">
        <v>200</v>
      </c>
      <c r="H562" s="3">
        <v>20</v>
      </c>
      <c r="I562" s="3">
        <v>15</v>
      </c>
      <c r="J562" s="3">
        <v>20</v>
      </c>
      <c r="K562" s="3">
        <v>10</v>
      </c>
      <c r="L562" s="3">
        <v>55</v>
      </c>
      <c r="M562" s="3">
        <v>80</v>
      </c>
      <c r="N562" s="3">
        <f>AVERAGE($I$2:$I$1168)</f>
        <v>78.907455012853475</v>
      </c>
      <c r="O562" s="3" t="str">
        <f>CONCATENATE(A562,"-",B562)</f>
        <v>349-Feebas</v>
      </c>
    </row>
    <row r="563" spans="1:15">
      <c r="A563" s="63">
        <v>350</v>
      </c>
      <c r="B563" s="2" t="s">
        <v>406</v>
      </c>
      <c r="C563" t="s">
        <v>30</v>
      </c>
      <c r="D563" s="22">
        <f>COUNTIF($C$2:$C$1168,Tabela1[[#This Row],[Type]])</f>
        <v>121</v>
      </c>
      <c r="E563" s="62" t="str">
        <f>IF(A563&lt;=151,"Kanto",IF(A563&lt;=251,"Johto",IF(A563&lt;=386,"Hoenn",IF(A563&lt;=493,"Sinnoh",IF(A563&lt;=649,"Unova",IF(A563&lt;=721,"Kalos",IF(A563&lt;=809,"Alola",IF(A563&lt;=905,"Galar","Paldea"))))))))</f>
        <v>Hoenn</v>
      </c>
      <c r="F563" t="str">
        <f>IF(G563&gt;=600,"Lendário",IF(G563&gt;=500,"Forte","Normal"))</f>
        <v>Forte</v>
      </c>
      <c r="G563" s="3">
        <v>540</v>
      </c>
      <c r="H563" s="3">
        <v>95</v>
      </c>
      <c r="I563" s="3">
        <v>60</v>
      </c>
      <c r="J563" s="3">
        <v>79</v>
      </c>
      <c r="K563" s="3">
        <v>100</v>
      </c>
      <c r="L563" s="3">
        <v>125</v>
      </c>
      <c r="M563" s="3">
        <v>81</v>
      </c>
      <c r="N563" s="3">
        <f>AVERAGE($I$2:$I$1168)</f>
        <v>78.907455012853475</v>
      </c>
      <c r="O563" s="3" t="str">
        <f>CONCATENATE(A563,"-",B563)</f>
        <v>350-Milotic</v>
      </c>
    </row>
    <row r="564" spans="1:15">
      <c r="A564" s="63">
        <v>351</v>
      </c>
      <c r="B564" s="2" t="s">
        <v>407</v>
      </c>
      <c r="C564" t="s">
        <v>42</v>
      </c>
      <c r="D564" s="22">
        <f>COUNTIF($C$2:$C$1168,Tabela1[[#This Row],[Type]])</f>
        <v>99</v>
      </c>
      <c r="E564" s="62" t="str">
        <f>IF(A564&lt;=151,"Kanto",IF(A564&lt;=251,"Johto",IF(A564&lt;=386,"Hoenn",IF(A564&lt;=493,"Sinnoh",IF(A564&lt;=649,"Unova",IF(A564&lt;=721,"Kalos",IF(A564&lt;=809,"Alola",IF(A564&lt;=905,"Galar","Paldea"))))))))</f>
        <v>Hoenn</v>
      </c>
      <c r="F564" t="str">
        <f>IF(G564&gt;=600,"Lendário",IF(G564&gt;=500,"Forte","Normal"))</f>
        <v>Normal</v>
      </c>
      <c r="G564" s="3">
        <v>420</v>
      </c>
      <c r="H564" s="3">
        <v>70</v>
      </c>
      <c r="I564" s="3">
        <v>70</v>
      </c>
      <c r="J564" s="3">
        <v>70</v>
      </c>
      <c r="K564" s="3">
        <v>70</v>
      </c>
      <c r="L564" s="3">
        <v>70</v>
      </c>
      <c r="M564" s="3">
        <v>70</v>
      </c>
      <c r="N564" s="3">
        <f>AVERAGE($I$2:$I$1168)</f>
        <v>78.907455012853475</v>
      </c>
      <c r="O564" s="3" t="str">
        <f>CONCATENATE(A564,"-",B564)</f>
        <v>351-Castform</v>
      </c>
    </row>
    <row r="565" spans="1:15">
      <c r="A565" s="63">
        <v>351</v>
      </c>
      <c r="B565" s="2" t="str">
        <f>B564</f>
        <v>Castform</v>
      </c>
      <c r="C565" t="s">
        <v>25</v>
      </c>
      <c r="D565" s="22">
        <f>COUNTIF($C$2:$C$1168,Tabela1[[#This Row],[Type]])</f>
        <v>100</v>
      </c>
      <c r="E565" s="62" t="str">
        <f>IF(A565&lt;=151,"Kanto",IF(A565&lt;=251,"Johto",IF(A565&lt;=386,"Hoenn",IF(A565&lt;=493,"Sinnoh",IF(A565&lt;=649,"Unova",IF(A565&lt;=721,"Kalos",IF(A565&lt;=809,"Alola",IF(A565&lt;=905,"Galar","Paldea"))))))))</f>
        <v>Hoenn</v>
      </c>
      <c r="F565" t="str">
        <f>IF(G565&gt;=600,"Lendário",IF(G565&gt;=500,"Forte","Normal"))</f>
        <v>Normal</v>
      </c>
      <c r="G565" s="3">
        <f>G564</f>
        <v>420</v>
      </c>
      <c r="H565" s="3">
        <f>H564</f>
        <v>70</v>
      </c>
      <c r="I565" s="3">
        <f>I564</f>
        <v>70</v>
      </c>
      <c r="J565" s="3">
        <f>J564</f>
        <v>70</v>
      </c>
      <c r="K565" s="3">
        <f>K564</f>
        <v>70</v>
      </c>
      <c r="L565" s="3">
        <f>L564</f>
        <v>70</v>
      </c>
      <c r="M565" s="3">
        <f>M564</f>
        <v>70</v>
      </c>
      <c r="N565" s="3">
        <f>AVERAGE($I$2:$I$1168)</f>
        <v>78.907455012853475</v>
      </c>
      <c r="O565" s="3" t="str">
        <f>CONCATENATE(A565,"-",B565)</f>
        <v>351-Castform</v>
      </c>
    </row>
    <row r="566" spans="1:15">
      <c r="A566" s="63">
        <v>352</v>
      </c>
      <c r="B566" s="2" t="s">
        <v>408</v>
      </c>
      <c r="C566" t="s">
        <v>42</v>
      </c>
      <c r="D566" s="22">
        <f>COUNTIF($C$2:$C$1168,Tabela1[[#This Row],[Type]])</f>
        <v>99</v>
      </c>
      <c r="E566" s="62" t="str">
        <f>IF(A566&lt;=151,"Kanto",IF(A566&lt;=251,"Johto",IF(A566&lt;=386,"Hoenn",IF(A566&lt;=493,"Sinnoh",IF(A566&lt;=649,"Unova",IF(A566&lt;=721,"Kalos",IF(A566&lt;=809,"Alola",IF(A566&lt;=905,"Galar","Paldea"))))))))</f>
        <v>Hoenn</v>
      </c>
      <c r="F566" t="str">
        <f>IF(G566&gt;=600,"Lendário",IF(G566&gt;=500,"Forte","Normal"))</f>
        <v>Normal</v>
      </c>
      <c r="G566" s="3">
        <v>440</v>
      </c>
      <c r="H566" s="3">
        <v>60</v>
      </c>
      <c r="I566" s="3">
        <v>90</v>
      </c>
      <c r="J566" s="3">
        <v>70</v>
      </c>
      <c r="K566" s="3">
        <v>60</v>
      </c>
      <c r="L566" s="3">
        <v>120</v>
      </c>
      <c r="M566" s="3">
        <v>40</v>
      </c>
      <c r="N566" s="3">
        <f>AVERAGE($I$2:$I$1168)</f>
        <v>78.907455012853475</v>
      </c>
      <c r="O566" s="3" t="str">
        <f>CONCATENATE(A566,"-",B566)</f>
        <v>352-Kecleon</v>
      </c>
    </row>
    <row r="567" spans="1:15">
      <c r="A567" s="63">
        <v>352</v>
      </c>
      <c r="B567" s="2" t="str">
        <f>B566</f>
        <v>Kecleon</v>
      </c>
      <c r="C567" t="s">
        <v>42</v>
      </c>
      <c r="D567" s="22">
        <f>COUNTIF($C$2:$C$1168,Tabela1[[#This Row],[Type]])</f>
        <v>99</v>
      </c>
      <c r="E567" s="62" t="str">
        <f>IF(A567&lt;=151,"Kanto",IF(A567&lt;=251,"Johto",IF(A567&lt;=386,"Hoenn",IF(A567&lt;=493,"Sinnoh",IF(A567&lt;=649,"Unova",IF(A567&lt;=721,"Kalos",IF(A567&lt;=809,"Alola",IF(A567&lt;=905,"Galar","Paldea"))))))))</f>
        <v>Hoenn</v>
      </c>
      <c r="F567" t="str">
        <f>IF(G567&gt;=600,"Lendário",IF(G567&gt;=500,"Forte","Normal"))</f>
        <v>Normal</v>
      </c>
      <c r="G567" s="3">
        <f>G566</f>
        <v>440</v>
      </c>
      <c r="H567" s="3">
        <f>H566</f>
        <v>60</v>
      </c>
      <c r="I567" s="3">
        <f>I566</f>
        <v>90</v>
      </c>
      <c r="J567" s="3">
        <f>J566</f>
        <v>70</v>
      </c>
      <c r="K567" s="3">
        <f>K566</f>
        <v>60</v>
      </c>
      <c r="L567" s="3">
        <f>L566</f>
        <v>120</v>
      </c>
      <c r="M567" s="3">
        <f>M566</f>
        <v>40</v>
      </c>
      <c r="N567" s="3">
        <f>AVERAGE($I$2:$I$1168)</f>
        <v>78.907455012853475</v>
      </c>
      <c r="O567" s="3" t="str">
        <f>CONCATENATE(A567,"-",B567)</f>
        <v>352-Kecleon</v>
      </c>
    </row>
    <row r="568" spans="1:15">
      <c r="A568" s="63">
        <v>353</v>
      </c>
      <c r="B568" s="2" t="s">
        <v>409</v>
      </c>
      <c r="C568" t="s">
        <v>128</v>
      </c>
      <c r="D568" s="22">
        <f>COUNTIF($C$2:$C$1168,Tabela1[[#This Row],[Type]])</f>
        <v>45</v>
      </c>
      <c r="E568" s="62" t="str">
        <f>IF(A568&lt;=151,"Kanto",IF(A568&lt;=251,"Johto",IF(A568&lt;=386,"Hoenn",IF(A568&lt;=493,"Sinnoh",IF(A568&lt;=649,"Unova",IF(A568&lt;=721,"Kalos",IF(A568&lt;=809,"Alola",IF(A568&lt;=905,"Galar","Paldea"))))))))</f>
        <v>Hoenn</v>
      </c>
      <c r="F568" t="str">
        <f>IF(G568&gt;=600,"Lendário",IF(G568&gt;=500,"Forte","Normal"))</f>
        <v>Normal</v>
      </c>
      <c r="G568" s="3">
        <v>295</v>
      </c>
      <c r="H568" s="3">
        <v>44</v>
      </c>
      <c r="I568" s="3">
        <v>75</v>
      </c>
      <c r="J568" s="3">
        <v>35</v>
      </c>
      <c r="K568" s="3">
        <v>63</v>
      </c>
      <c r="L568" s="3">
        <v>33</v>
      </c>
      <c r="M568" s="3">
        <v>45</v>
      </c>
      <c r="N568" s="3">
        <f>AVERAGE($I$2:$I$1168)</f>
        <v>78.907455012853475</v>
      </c>
      <c r="O568" s="3" t="str">
        <f>CONCATENATE(A568,"-",B568)</f>
        <v>353-Shuppet</v>
      </c>
    </row>
    <row r="569" spans="1:15">
      <c r="A569" s="63">
        <v>354</v>
      </c>
      <c r="B569" s="2" t="s">
        <v>410</v>
      </c>
      <c r="C569" t="s">
        <v>128</v>
      </c>
      <c r="D569" s="22">
        <f>COUNTIF($C$2:$C$1168,Tabela1[[#This Row],[Type]])</f>
        <v>45</v>
      </c>
      <c r="E569" s="62" t="str">
        <f>IF(A569&lt;=151,"Kanto",IF(A569&lt;=251,"Johto",IF(A569&lt;=386,"Hoenn",IF(A569&lt;=493,"Sinnoh",IF(A569&lt;=649,"Unova",IF(A569&lt;=721,"Kalos",IF(A569&lt;=809,"Alola",IF(A569&lt;=905,"Galar","Paldea"))))))))</f>
        <v>Hoenn</v>
      </c>
      <c r="F569" t="str">
        <f>IF(G569&gt;=600,"Lendário",IF(G569&gt;=500,"Forte","Normal"))</f>
        <v>Normal</v>
      </c>
      <c r="G569" s="3">
        <v>455</v>
      </c>
      <c r="H569" s="3">
        <v>64</v>
      </c>
      <c r="I569" s="3">
        <v>115</v>
      </c>
      <c r="J569" s="3">
        <v>65</v>
      </c>
      <c r="K569" s="3">
        <v>83</v>
      </c>
      <c r="L569" s="3">
        <v>63</v>
      </c>
      <c r="M569" s="3">
        <v>65</v>
      </c>
      <c r="N569" s="3">
        <f>AVERAGE($I$2:$I$1168)</f>
        <v>78.907455012853475</v>
      </c>
      <c r="O569" s="3" t="str">
        <f>CONCATENATE(A569,"-",B569)</f>
        <v>354-Banette</v>
      </c>
    </row>
    <row r="570" spans="1:15">
      <c r="A570" s="63">
        <v>354.1</v>
      </c>
      <c r="B570" s="2" t="s">
        <v>411</v>
      </c>
      <c r="C570" t="s">
        <v>128</v>
      </c>
      <c r="D570" s="22">
        <f>COUNTIF($C$2:$C$1168,Tabela1[[#This Row],[Type]])</f>
        <v>45</v>
      </c>
      <c r="E570" s="62" t="str">
        <f>IF(A570&lt;=151,"Kanto",IF(A570&lt;=251,"Johto",IF(A570&lt;=386,"Hoenn",IF(A570&lt;=493,"Sinnoh",IF(A570&lt;=649,"Unova",IF(A570&lt;=721,"Kalos",IF(A570&lt;=809,"Alola",IF(A570&lt;=905,"Galar","Paldea"))))))))</f>
        <v>Hoenn</v>
      </c>
      <c r="F570" t="str">
        <f>IF(G570&gt;=600,"Lendário",IF(G570&gt;=500,"Forte","Normal"))</f>
        <v>Forte</v>
      </c>
      <c r="G570" s="3">
        <v>555</v>
      </c>
      <c r="H570" s="3">
        <v>64</v>
      </c>
      <c r="I570" s="3">
        <v>165</v>
      </c>
      <c r="J570" s="3">
        <v>75</v>
      </c>
      <c r="K570" s="3">
        <v>93</v>
      </c>
      <c r="L570" s="3">
        <v>83</v>
      </c>
      <c r="M570" s="3">
        <v>75</v>
      </c>
      <c r="N570" s="3">
        <f>AVERAGE($I$2:$I$1168)</f>
        <v>78.907455012853475</v>
      </c>
      <c r="O570" s="3" t="str">
        <f>CONCATENATE(A570,"-",B570)</f>
        <v>354,1-Mega Banette</v>
      </c>
    </row>
    <row r="571" spans="1:15">
      <c r="A571" s="63">
        <v>354.1</v>
      </c>
      <c r="B571" s="2" t="s">
        <v>411</v>
      </c>
      <c r="C571" t="str">
        <f>C570</f>
        <v>GHOST</v>
      </c>
      <c r="D571" s="22">
        <f>COUNTIF($C$2:$C$1168,Tabela1[[#This Row],[Type]])</f>
        <v>45</v>
      </c>
      <c r="E571" s="62" t="str">
        <f>IF(A571&lt;=151,"Kanto",IF(A571&lt;=251,"Johto",IF(A571&lt;=386,"Hoenn",IF(A571&lt;=493,"Sinnoh",IF(A571&lt;=649,"Unova",IF(A571&lt;=721,"Kalos",IF(A571&lt;=809,"Alola",IF(A571&lt;=905,"Galar","Paldea"))))))))</f>
        <v>Hoenn</v>
      </c>
      <c r="F571" t="str">
        <f>IF(G571&gt;=600,"Lendário",IF(G571&gt;=500,"Forte","Normal"))</f>
        <v>Forte</v>
      </c>
      <c r="G571" s="3">
        <f>G570</f>
        <v>555</v>
      </c>
      <c r="H571" s="3">
        <f>H570</f>
        <v>64</v>
      </c>
      <c r="I571" s="3">
        <f>I570</f>
        <v>165</v>
      </c>
      <c r="J571" s="3">
        <f>J570</f>
        <v>75</v>
      </c>
      <c r="K571" s="3">
        <f>K570</f>
        <v>93</v>
      </c>
      <c r="L571" s="3">
        <f>L570</f>
        <v>83</v>
      </c>
      <c r="M571" s="3">
        <f>M570</f>
        <v>75</v>
      </c>
      <c r="N571" s="3">
        <f>AVERAGE($I$2:$I$1168)</f>
        <v>78.907455012853475</v>
      </c>
      <c r="O571" s="3" t="str">
        <f>CONCATENATE(A571,"-",B571)</f>
        <v>354,1-Mega Banette</v>
      </c>
    </row>
    <row r="572" spans="1:15">
      <c r="A572" s="63">
        <v>355</v>
      </c>
      <c r="B572" s="2" t="s">
        <v>412</v>
      </c>
      <c r="C572" t="s">
        <v>128</v>
      </c>
      <c r="D572" s="22">
        <f>COUNTIF($C$2:$C$1168,Tabela1[[#This Row],[Type]])</f>
        <v>45</v>
      </c>
      <c r="E572" s="62" t="str">
        <f>IF(A572&lt;=151,"Kanto",IF(A572&lt;=251,"Johto",IF(A572&lt;=386,"Hoenn",IF(A572&lt;=493,"Sinnoh",IF(A572&lt;=649,"Unova",IF(A572&lt;=721,"Kalos",IF(A572&lt;=809,"Alola",IF(A572&lt;=905,"Galar","Paldea"))))))))</f>
        <v>Hoenn</v>
      </c>
      <c r="F572" t="str">
        <f>IF(G572&gt;=600,"Lendário",IF(G572&gt;=500,"Forte","Normal"))</f>
        <v>Normal</v>
      </c>
      <c r="G572" s="3">
        <v>295</v>
      </c>
      <c r="H572" s="3">
        <v>20</v>
      </c>
      <c r="I572" s="3">
        <v>40</v>
      </c>
      <c r="J572" s="3">
        <v>90</v>
      </c>
      <c r="K572" s="3">
        <v>30</v>
      </c>
      <c r="L572" s="3">
        <v>90</v>
      </c>
      <c r="M572" s="3">
        <v>25</v>
      </c>
      <c r="N572" s="3">
        <f>AVERAGE($I$2:$I$1168)</f>
        <v>78.907455012853475</v>
      </c>
      <c r="O572" s="3" t="str">
        <f>CONCATENATE(A572,"-",B572)</f>
        <v>355-Duskull</v>
      </c>
    </row>
    <row r="573" spans="1:15">
      <c r="A573" s="63">
        <v>356</v>
      </c>
      <c r="B573" s="2" t="s">
        <v>413</v>
      </c>
      <c r="C573" t="s">
        <v>128</v>
      </c>
      <c r="D573" s="22">
        <f>COUNTIF($C$2:$C$1168,Tabela1[[#This Row],[Type]])</f>
        <v>45</v>
      </c>
      <c r="E573" s="62" t="str">
        <f>IF(A573&lt;=151,"Kanto",IF(A573&lt;=251,"Johto",IF(A573&lt;=386,"Hoenn",IF(A573&lt;=493,"Sinnoh",IF(A573&lt;=649,"Unova",IF(A573&lt;=721,"Kalos",IF(A573&lt;=809,"Alola",IF(A573&lt;=905,"Galar","Paldea"))))))))</f>
        <v>Hoenn</v>
      </c>
      <c r="F573" t="str">
        <f>IF(G573&gt;=600,"Lendário",IF(G573&gt;=500,"Forte","Normal"))</f>
        <v>Normal</v>
      </c>
      <c r="G573" s="3">
        <v>455</v>
      </c>
      <c r="H573" s="3">
        <v>40</v>
      </c>
      <c r="I573" s="3">
        <v>70</v>
      </c>
      <c r="J573" s="3">
        <v>130</v>
      </c>
      <c r="K573" s="3">
        <v>60</v>
      </c>
      <c r="L573" s="3">
        <v>130</v>
      </c>
      <c r="M573" s="3">
        <v>25</v>
      </c>
      <c r="N573" s="3">
        <f>AVERAGE($I$2:$I$1168)</f>
        <v>78.907455012853475</v>
      </c>
      <c r="O573" s="3" t="str">
        <f>CONCATENATE(A573,"-",B573)</f>
        <v>356-Dusclops</v>
      </c>
    </row>
    <row r="574" spans="1:15">
      <c r="A574" s="63">
        <v>357</v>
      </c>
      <c r="B574" s="2" t="s">
        <v>414</v>
      </c>
      <c r="C574" t="s">
        <v>16</v>
      </c>
      <c r="D574" s="22">
        <f>COUNTIF($C$2:$C$1168,Tabela1[[#This Row],[Type]])</f>
        <v>93</v>
      </c>
      <c r="E574" s="62" t="str">
        <f>IF(A574&lt;=151,"Kanto",IF(A574&lt;=251,"Johto",IF(A574&lt;=386,"Hoenn",IF(A574&lt;=493,"Sinnoh",IF(A574&lt;=649,"Unova",IF(A574&lt;=721,"Kalos",IF(A574&lt;=809,"Alola",IF(A574&lt;=905,"Galar","Paldea"))))))))</f>
        <v>Hoenn</v>
      </c>
      <c r="F574" t="str">
        <f>IF(G574&gt;=600,"Lendário",IF(G574&gt;=500,"Forte","Normal"))</f>
        <v>Normal</v>
      </c>
      <c r="G574" s="3">
        <v>460</v>
      </c>
      <c r="H574" s="3">
        <v>99</v>
      </c>
      <c r="I574" s="3">
        <v>68</v>
      </c>
      <c r="J574" s="3">
        <v>83</v>
      </c>
      <c r="K574" s="3">
        <v>72</v>
      </c>
      <c r="L574" s="3">
        <v>87</v>
      </c>
      <c r="M574" s="3">
        <v>51</v>
      </c>
      <c r="N574" s="3">
        <f>AVERAGE($I$2:$I$1168)</f>
        <v>78.907455012853475</v>
      </c>
      <c r="O574" s="3" t="str">
        <f>CONCATENATE(A574,"-",B574)</f>
        <v>357-Tropius</v>
      </c>
    </row>
    <row r="575" spans="1:15">
      <c r="A575" s="63">
        <v>357</v>
      </c>
      <c r="B575" s="2" t="str">
        <f>B574</f>
        <v>Tropius</v>
      </c>
      <c r="C575" t="s">
        <v>25</v>
      </c>
      <c r="D575" s="22">
        <f>COUNTIF($C$2:$C$1168,Tabela1[[#This Row],[Type]])</f>
        <v>100</v>
      </c>
      <c r="E575" s="62" t="str">
        <f>IF(A575&lt;=151,"Kanto",IF(A575&lt;=251,"Johto",IF(A575&lt;=386,"Hoenn",IF(A575&lt;=493,"Sinnoh",IF(A575&lt;=649,"Unova",IF(A575&lt;=721,"Kalos",IF(A575&lt;=809,"Alola",IF(A575&lt;=905,"Galar","Paldea"))))))))</f>
        <v>Hoenn</v>
      </c>
      <c r="F575" t="str">
        <f>IF(G575&gt;=600,"Lendário",IF(G575&gt;=500,"Forte","Normal"))</f>
        <v>Normal</v>
      </c>
      <c r="G575" s="3">
        <f>G574</f>
        <v>460</v>
      </c>
      <c r="H575" s="3">
        <f>H574</f>
        <v>99</v>
      </c>
      <c r="I575" s="3">
        <f>I574</f>
        <v>68</v>
      </c>
      <c r="J575" s="3">
        <f>J574</f>
        <v>83</v>
      </c>
      <c r="K575" s="3">
        <f>K574</f>
        <v>72</v>
      </c>
      <c r="L575" s="3">
        <f>L574</f>
        <v>87</v>
      </c>
      <c r="M575" s="3">
        <f>M574</f>
        <v>51</v>
      </c>
      <c r="N575" s="3">
        <f>AVERAGE($I$2:$I$1168)</f>
        <v>78.907455012853475</v>
      </c>
      <c r="O575" s="3" t="str">
        <f>CONCATENATE(A575,"-",B575)</f>
        <v>357-Tropius</v>
      </c>
    </row>
    <row r="576" spans="1:15">
      <c r="A576" s="63">
        <v>358</v>
      </c>
      <c r="B576" s="2" t="s">
        <v>415</v>
      </c>
      <c r="C576" t="s">
        <v>94</v>
      </c>
      <c r="D576" s="22">
        <f>COUNTIF($C$2:$C$1168,Tabela1[[#This Row],[Type]])</f>
        <v>83</v>
      </c>
      <c r="E576" s="62" t="str">
        <f>IF(A576&lt;=151,"Kanto",IF(A576&lt;=251,"Johto",IF(A576&lt;=386,"Hoenn",IF(A576&lt;=493,"Sinnoh",IF(A576&lt;=649,"Unova",IF(A576&lt;=721,"Kalos",IF(A576&lt;=809,"Alola",IF(A576&lt;=905,"Galar","Paldea"))))))))</f>
        <v>Hoenn</v>
      </c>
      <c r="F576" t="str">
        <f>IF(G576&gt;=600,"Lendário",IF(G576&gt;=500,"Forte","Normal"))</f>
        <v>Normal</v>
      </c>
      <c r="G576" s="3">
        <v>425</v>
      </c>
      <c r="H576" s="3">
        <v>65</v>
      </c>
      <c r="I576" s="3">
        <v>50</v>
      </c>
      <c r="J576" s="3">
        <v>70</v>
      </c>
      <c r="K576" s="3">
        <v>95</v>
      </c>
      <c r="L576" s="3">
        <v>80</v>
      </c>
      <c r="M576" s="3">
        <v>65</v>
      </c>
      <c r="N576" s="3">
        <f>AVERAGE($I$2:$I$1168)</f>
        <v>78.907455012853475</v>
      </c>
      <c r="O576" s="3" t="str">
        <f>CONCATENATE(A576,"-",B576)</f>
        <v>358-Chimecho</v>
      </c>
    </row>
    <row r="577" spans="1:15">
      <c r="A577" s="63">
        <v>359</v>
      </c>
      <c r="B577" s="2" t="s">
        <v>416</v>
      </c>
      <c r="C577" t="s">
        <v>170</v>
      </c>
      <c r="D577" s="22">
        <f>COUNTIF($C$2:$C$1168,Tabela1[[#This Row],[Type]])</f>
        <v>49</v>
      </c>
      <c r="E577" s="62" t="str">
        <f>IF(A577&lt;=151,"Kanto",IF(A577&lt;=251,"Johto",IF(A577&lt;=386,"Hoenn",IF(A577&lt;=493,"Sinnoh",IF(A577&lt;=649,"Unova",IF(A577&lt;=721,"Kalos",IF(A577&lt;=809,"Alola",IF(A577&lt;=905,"Galar","Paldea"))))))))</f>
        <v>Hoenn</v>
      </c>
      <c r="F577" t="str">
        <f>IF(G577&gt;=600,"Lendário",IF(G577&gt;=500,"Forte","Normal"))</f>
        <v>Normal</v>
      </c>
      <c r="G577" s="3">
        <v>465</v>
      </c>
      <c r="H577" s="3">
        <v>65</v>
      </c>
      <c r="I577" s="3">
        <v>130</v>
      </c>
      <c r="J577" s="3">
        <v>60</v>
      </c>
      <c r="K577" s="3">
        <v>75</v>
      </c>
      <c r="L577" s="3">
        <v>60</v>
      </c>
      <c r="M577" s="3">
        <v>75</v>
      </c>
      <c r="N577" s="3">
        <f>AVERAGE($I$2:$I$1168)</f>
        <v>78.907455012853475</v>
      </c>
      <c r="O577" s="3" t="str">
        <f>CONCATENATE(A577,"-",B577)</f>
        <v>359-Absol</v>
      </c>
    </row>
    <row r="578" spans="1:15">
      <c r="A578" s="63">
        <v>359.1</v>
      </c>
      <c r="B578" s="2" t="s">
        <v>417</v>
      </c>
      <c r="C578" t="s">
        <v>170</v>
      </c>
      <c r="D578" s="22">
        <f>COUNTIF($C$2:$C$1168,Tabela1[[#This Row],[Type]])</f>
        <v>49</v>
      </c>
      <c r="E578" s="62" t="str">
        <f>IF(A578&lt;=151,"Kanto",IF(A578&lt;=251,"Johto",IF(A578&lt;=386,"Hoenn",IF(A578&lt;=493,"Sinnoh",IF(A578&lt;=649,"Unova",IF(A578&lt;=721,"Kalos",IF(A578&lt;=809,"Alola",IF(A578&lt;=905,"Galar","Paldea"))))))))</f>
        <v>Hoenn</v>
      </c>
      <c r="F578" t="str">
        <f>IF(G578&gt;=600,"Lendário",IF(G578&gt;=500,"Forte","Normal"))</f>
        <v>Forte</v>
      </c>
      <c r="G578" s="3">
        <v>565</v>
      </c>
      <c r="H578" s="3">
        <v>65</v>
      </c>
      <c r="I578" s="3">
        <v>150</v>
      </c>
      <c r="J578" s="3">
        <v>60</v>
      </c>
      <c r="K578" s="3">
        <v>115</v>
      </c>
      <c r="L578" s="3">
        <v>60</v>
      </c>
      <c r="M578" s="3">
        <v>115</v>
      </c>
      <c r="N578" s="3">
        <f>AVERAGE($I$2:$I$1168)</f>
        <v>78.907455012853475</v>
      </c>
      <c r="O578" s="3" t="str">
        <f>CONCATENATE(A578,"-",B578)</f>
        <v>359,1-Mega Absol</v>
      </c>
    </row>
    <row r="579" spans="1:15">
      <c r="A579" s="63">
        <v>359.1</v>
      </c>
      <c r="B579" s="2" t="s">
        <v>417</v>
      </c>
      <c r="C579" t="str">
        <f>C578</f>
        <v>DARK</v>
      </c>
      <c r="D579" s="22">
        <f>COUNTIF($C$2:$C$1168,Tabela1[[#This Row],[Type]])</f>
        <v>49</v>
      </c>
      <c r="E579" s="62" t="str">
        <f>IF(A579&lt;=151,"Kanto",IF(A579&lt;=251,"Johto",IF(A579&lt;=386,"Hoenn",IF(A579&lt;=493,"Sinnoh",IF(A579&lt;=649,"Unova",IF(A579&lt;=721,"Kalos",IF(A579&lt;=809,"Alola",IF(A579&lt;=905,"Galar","Paldea"))))))))</f>
        <v>Hoenn</v>
      </c>
      <c r="F579" t="str">
        <f>IF(G579&gt;=600,"Lendário",IF(G579&gt;=500,"Forte","Normal"))</f>
        <v>Forte</v>
      </c>
      <c r="G579" s="3">
        <f>G578</f>
        <v>565</v>
      </c>
      <c r="H579" s="3">
        <f>H578</f>
        <v>65</v>
      </c>
      <c r="I579" s="3">
        <f>I578</f>
        <v>150</v>
      </c>
      <c r="J579" s="3">
        <f>J578</f>
        <v>60</v>
      </c>
      <c r="K579" s="3">
        <f>K578</f>
        <v>115</v>
      </c>
      <c r="L579" s="3">
        <f>L578</f>
        <v>60</v>
      </c>
      <c r="M579" s="3">
        <f>M578</f>
        <v>115</v>
      </c>
      <c r="N579" s="3">
        <f>AVERAGE($I$2:$I$1168)</f>
        <v>78.907455012853475</v>
      </c>
      <c r="O579" s="3" t="str">
        <f>CONCATENATE(A579,"-",B579)</f>
        <v>359,1-Mega Absol</v>
      </c>
    </row>
    <row r="580" spans="1:15">
      <c r="A580" s="63">
        <v>360</v>
      </c>
      <c r="B580" s="2" t="s">
        <v>418</v>
      </c>
      <c r="C580" t="s">
        <v>94</v>
      </c>
      <c r="D580" s="22">
        <f>COUNTIF($C$2:$C$1168,Tabela1[[#This Row],[Type]])</f>
        <v>83</v>
      </c>
      <c r="E580" s="62" t="str">
        <f>IF(A580&lt;=151,"Kanto",IF(A580&lt;=251,"Johto",IF(A580&lt;=386,"Hoenn",IF(A580&lt;=493,"Sinnoh",IF(A580&lt;=649,"Unova",IF(A580&lt;=721,"Kalos",IF(A580&lt;=809,"Alola",IF(A580&lt;=905,"Galar","Paldea"))))))))</f>
        <v>Hoenn</v>
      </c>
      <c r="F580" t="str">
        <f>IF(G580&gt;=600,"Lendário",IF(G580&gt;=500,"Forte","Normal"))</f>
        <v>Normal</v>
      </c>
      <c r="G580" s="3">
        <v>260</v>
      </c>
      <c r="H580" s="3">
        <v>95</v>
      </c>
      <c r="I580" s="3">
        <v>23</v>
      </c>
      <c r="J580" s="3">
        <v>48</v>
      </c>
      <c r="K580" s="3">
        <v>23</v>
      </c>
      <c r="L580" s="3">
        <v>48</v>
      </c>
      <c r="M580" s="3">
        <v>23</v>
      </c>
      <c r="N580" s="3">
        <f>AVERAGE($I$2:$I$1168)</f>
        <v>78.907455012853475</v>
      </c>
      <c r="O580" s="3" t="str">
        <f>CONCATENATE(A580,"-",B580)</f>
        <v>360-Wynaut</v>
      </c>
    </row>
    <row r="581" spans="1:15">
      <c r="A581" s="63">
        <v>361</v>
      </c>
      <c r="B581" s="2" t="s">
        <v>419</v>
      </c>
      <c r="C581" t="s">
        <v>122</v>
      </c>
      <c r="D581" s="22">
        <f>COUNTIF($C$2:$C$1168,Tabela1[[#This Row],[Type]])</f>
        <v>37</v>
      </c>
      <c r="E581" s="62" t="str">
        <f>IF(A581&lt;=151,"Kanto",IF(A581&lt;=251,"Johto",IF(A581&lt;=386,"Hoenn",IF(A581&lt;=493,"Sinnoh",IF(A581&lt;=649,"Unova",IF(A581&lt;=721,"Kalos",IF(A581&lt;=809,"Alola",IF(A581&lt;=905,"Galar","Paldea"))))))))</f>
        <v>Hoenn</v>
      </c>
      <c r="F581" t="str">
        <f>IF(G581&gt;=600,"Lendário",IF(G581&gt;=500,"Forte","Normal"))</f>
        <v>Normal</v>
      </c>
      <c r="G581" s="3">
        <v>300</v>
      </c>
      <c r="H581" s="3">
        <v>50</v>
      </c>
      <c r="I581" s="3">
        <v>50</v>
      </c>
      <c r="J581" s="3">
        <v>50</v>
      </c>
      <c r="K581" s="3">
        <v>50</v>
      </c>
      <c r="L581" s="3">
        <v>50</v>
      </c>
      <c r="M581" s="3">
        <v>50</v>
      </c>
      <c r="N581" s="3">
        <f>AVERAGE($I$2:$I$1168)</f>
        <v>78.907455012853475</v>
      </c>
      <c r="O581" s="3" t="str">
        <f>CONCATENATE(A581,"-",B581)</f>
        <v>361-Snorunt</v>
      </c>
    </row>
    <row r="582" spans="1:15">
      <c r="A582" s="63">
        <v>362</v>
      </c>
      <c r="B582" s="2" t="s">
        <v>420</v>
      </c>
      <c r="C582" t="s">
        <v>122</v>
      </c>
      <c r="D582" s="22">
        <f>COUNTIF($C$2:$C$1168,Tabela1[[#This Row],[Type]])</f>
        <v>37</v>
      </c>
      <c r="E582" s="62" t="str">
        <f>IF(A582&lt;=151,"Kanto",IF(A582&lt;=251,"Johto",IF(A582&lt;=386,"Hoenn",IF(A582&lt;=493,"Sinnoh",IF(A582&lt;=649,"Unova",IF(A582&lt;=721,"Kalos",IF(A582&lt;=809,"Alola",IF(A582&lt;=905,"Galar","Paldea"))))))))</f>
        <v>Hoenn</v>
      </c>
      <c r="F582" t="str">
        <f>IF(G582&gt;=600,"Lendário",IF(G582&gt;=500,"Forte","Normal"))</f>
        <v>Normal</v>
      </c>
      <c r="G582" s="3">
        <v>480</v>
      </c>
      <c r="H582" s="3">
        <v>80</v>
      </c>
      <c r="I582" s="3">
        <v>80</v>
      </c>
      <c r="J582" s="3">
        <v>80</v>
      </c>
      <c r="K582" s="3">
        <v>80</v>
      </c>
      <c r="L582" s="3">
        <v>80</v>
      </c>
      <c r="M582" s="3">
        <v>80</v>
      </c>
      <c r="N582" s="3">
        <f>AVERAGE($I$2:$I$1168)</f>
        <v>78.907455012853475</v>
      </c>
      <c r="O582" s="3" t="str">
        <f>CONCATENATE(A582,"-",B582)</f>
        <v>362-Glalie</v>
      </c>
    </row>
    <row r="583" spans="1:15">
      <c r="A583" s="63">
        <v>363</v>
      </c>
      <c r="B583" s="2" t="s">
        <v>421</v>
      </c>
      <c r="C583" t="s">
        <v>122</v>
      </c>
      <c r="D583" s="22">
        <f>COUNTIF($C$2:$C$1168,Tabela1[[#This Row],[Type]])</f>
        <v>37</v>
      </c>
      <c r="E583" s="62" t="str">
        <f>IF(A583&lt;=151,"Kanto",IF(A583&lt;=251,"Johto",IF(A583&lt;=386,"Hoenn",IF(A583&lt;=493,"Sinnoh",IF(A583&lt;=649,"Unova",IF(A583&lt;=721,"Kalos",IF(A583&lt;=809,"Alola",IF(A583&lt;=905,"Galar","Paldea"))))))))</f>
        <v>Hoenn</v>
      </c>
      <c r="F583" t="str">
        <f>IF(G583&gt;=600,"Lendário",IF(G583&gt;=500,"Forte","Normal"))</f>
        <v>Normal</v>
      </c>
      <c r="G583" s="3">
        <v>290</v>
      </c>
      <c r="H583" s="3">
        <v>70</v>
      </c>
      <c r="I583" s="3">
        <v>40</v>
      </c>
      <c r="J583" s="3">
        <v>50</v>
      </c>
      <c r="K583" s="3">
        <v>55</v>
      </c>
      <c r="L583" s="3">
        <v>50</v>
      </c>
      <c r="M583" s="3">
        <v>25</v>
      </c>
      <c r="N583" s="3">
        <f>AVERAGE($I$2:$I$1168)</f>
        <v>78.907455012853475</v>
      </c>
      <c r="O583" s="3" t="str">
        <f>CONCATENATE(A583,"-",B583)</f>
        <v>363-Spheal</v>
      </c>
    </row>
    <row r="584" spans="1:15">
      <c r="A584" s="63">
        <v>363</v>
      </c>
      <c r="B584" s="2" t="str">
        <f>B583</f>
        <v>Spheal</v>
      </c>
      <c r="C584" t="s">
        <v>30</v>
      </c>
      <c r="D584" s="22">
        <f>COUNTIF($C$2:$C$1168,Tabela1[[#This Row],[Type]])</f>
        <v>121</v>
      </c>
      <c r="E584" s="62" t="str">
        <f>IF(A584&lt;=151,"Kanto",IF(A584&lt;=251,"Johto",IF(A584&lt;=386,"Hoenn",IF(A584&lt;=493,"Sinnoh",IF(A584&lt;=649,"Unova",IF(A584&lt;=721,"Kalos",IF(A584&lt;=809,"Alola",IF(A584&lt;=905,"Galar","Paldea"))))))))</f>
        <v>Hoenn</v>
      </c>
      <c r="F584" t="str">
        <f>IF(G584&gt;=600,"Lendário",IF(G584&gt;=500,"Forte","Normal"))</f>
        <v>Normal</v>
      </c>
      <c r="G584" s="3">
        <f>G583</f>
        <v>290</v>
      </c>
      <c r="H584" s="3">
        <f>H583</f>
        <v>70</v>
      </c>
      <c r="I584" s="3">
        <f>I583</f>
        <v>40</v>
      </c>
      <c r="J584" s="3">
        <f>J583</f>
        <v>50</v>
      </c>
      <c r="K584" s="3">
        <f>K583</f>
        <v>55</v>
      </c>
      <c r="L584" s="3">
        <f>L583</f>
        <v>50</v>
      </c>
      <c r="M584" s="3">
        <f>M583</f>
        <v>25</v>
      </c>
      <c r="N584" s="3">
        <f>AVERAGE($I$2:$I$1168)</f>
        <v>78.907455012853475</v>
      </c>
      <c r="O584" s="3" t="str">
        <f>CONCATENATE(A584,"-",B584)</f>
        <v>363-Spheal</v>
      </c>
    </row>
    <row r="585" spans="1:15">
      <c r="A585" s="63">
        <v>364</v>
      </c>
      <c r="B585" s="2" t="s">
        <v>422</v>
      </c>
      <c r="C585" t="s">
        <v>122</v>
      </c>
      <c r="D585" s="22">
        <f>COUNTIF($C$2:$C$1168,Tabela1[[#This Row],[Type]])</f>
        <v>37</v>
      </c>
      <c r="E585" s="62" t="str">
        <f>IF(A585&lt;=151,"Kanto",IF(A585&lt;=251,"Johto",IF(A585&lt;=386,"Hoenn",IF(A585&lt;=493,"Sinnoh",IF(A585&lt;=649,"Unova",IF(A585&lt;=721,"Kalos",IF(A585&lt;=809,"Alola",IF(A585&lt;=905,"Galar","Paldea"))))))))</f>
        <v>Hoenn</v>
      </c>
      <c r="F585" t="str">
        <f>IF(G585&gt;=600,"Lendário",IF(G585&gt;=500,"Forte","Normal"))</f>
        <v>Normal</v>
      </c>
      <c r="G585" s="3">
        <v>410</v>
      </c>
      <c r="H585" s="3">
        <v>90</v>
      </c>
      <c r="I585" s="3">
        <v>60</v>
      </c>
      <c r="J585" s="3">
        <v>70</v>
      </c>
      <c r="K585" s="3">
        <v>75</v>
      </c>
      <c r="L585" s="3">
        <v>70</v>
      </c>
      <c r="M585" s="3">
        <v>45</v>
      </c>
      <c r="N585" s="3">
        <f>AVERAGE($I$2:$I$1168)</f>
        <v>78.907455012853475</v>
      </c>
      <c r="O585" s="3" t="str">
        <f>CONCATENATE(A585,"-",B585)</f>
        <v>364-Sealeo</v>
      </c>
    </row>
    <row r="586" spans="1:15">
      <c r="A586" s="63">
        <v>364</v>
      </c>
      <c r="B586" s="2" t="str">
        <f>B585</f>
        <v>Sealeo</v>
      </c>
      <c r="C586" t="s">
        <v>30</v>
      </c>
      <c r="D586" s="22">
        <f>COUNTIF($C$2:$C$1168,Tabela1[[#This Row],[Type]])</f>
        <v>121</v>
      </c>
      <c r="E586" s="62" t="str">
        <f>IF(A586&lt;=151,"Kanto",IF(A586&lt;=251,"Johto",IF(A586&lt;=386,"Hoenn",IF(A586&lt;=493,"Sinnoh",IF(A586&lt;=649,"Unova",IF(A586&lt;=721,"Kalos",IF(A586&lt;=809,"Alola",IF(A586&lt;=905,"Galar","Paldea"))))))))</f>
        <v>Hoenn</v>
      </c>
      <c r="F586" t="str">
        <f>IF(G586&gt;=600,"Lendário",IF(G586&gt;=500,"Forte","Normal"))</f>
        <v>Normal</v>
      </c>
      <c r="G586" s="3">
        <f>G585</f>
        <v>410</v>
      </c>
      <c r="H586" s="3">
        <f>H585</f>
        <v>90</v>
      </c>
      <c r="I586" s="3">
        <f>I585</f>
        <v>60</v>
      </c>
      <c r="J586" s="3">
        <f>J585</f>
        <v>70</v>
      </c>
      <c r="K586" s="3">
        <f>K585</f>
        <v>75</v>
      </c>
      <c r="L586" s="3">
        <f>L585</f>
        <v>70</v>
      </c>
      <c r="M586" s="3">
        <f>M585</f>
        <v>45</v>
      </c>
      <c r="N586" s="3">
        <f>AVERAGE($I$2:$I$1168)</f>
        <v>78.907455012853475</v>
      </c>
      <c r="O586" s="3" t="str">
        <f>CONCATENATE(A586,"-",B586)</f>
        <v>364-Sealeo</v>
      </c>
    </row>
    <row r="587" spans="1:15">
      <c r="A587" s="63">
        <v>365</v>
      </c>
      <c r="B587" s="2" t="s">
        <v>423</v>
      </c>
      <c r="C587" t="s">
        <v>122</v>
      </c>
      <c r="D587" s="22">
        <f>COUNTIF($C$2:$C$1168,Tabela1[[#This Row],[Type]])</f>
        <v>37</v>
      </c>
      <c r="E587" s="62" t="str">
        <f>IF(A587&lt;=151,"Kanto",IF(A587&lt;=251,"Johto",IF(A587&lt;=386,"Hoenn",IF(A587&lt;=493,"Sinnoh",IF(A587&lt;=649,"Unova",IF(A587&lt;=721,"Kalos",IF(A587&lt;=809,"Alola",IF(A587&lt;=905,"Galar","Paldea"))))))))</f>
        <v>Hoenn</v>
      </c>
      <c r="F587" t="str">
        <f>IF(G587&gt;=600,"Lendário",IF(G587&gt;=500,"Forte","Normal"))</f>
        <v>Forte</v>
      </c>
      <c r="G587" s="3">
        <v>530</v>
      </c>
      <c r="H587" s="3">
        <v>110</v>
      </c>
      <c r="I587" s="3">
        <v>80</v>
      </c>
      <c r="J587" s="3">
        <v>90</v>
      </c>
      <c r="K587" s="3">
        <v>95</v>
      </c>
      <c r="L587" s="3">
        <v>90</v>
      </c>
      <c r="M587" s="3">
        <v>65</v>
      </c>
      <c r="N587" s="3">
        <f>AVERAGE($I$2:$I$1168)</f>
        <v>78.907455012853475</v>
      </c>
      <c r="O587" s="3" t="str">
        <f>CONCATENATE(A587,"-",B587)</f>
        <v>365-Walrein</v>
      </c>
    </row>
    <row r="588" spans="1:15">
      <c r="A588" s="63">
        <v>365</v>
      </c>
      <c r="B588" s="2" t="str">
        <f>B587</f>
        <v>Walrein</v>
      </c>
      <c r="C588" t="s">
        <v>30</v>
      </c>
      <c r="D588" s="22">
        <f>COUNTIF($C$2:$C$1168,Tabela1[[#This Row],[Type]])</f>
        <v>121</v>
      </c>
      <c r="E588" s="62" t="str">
        <f>IF(A588&lt;=151,"Kanto",IF(A588&lt;=251,"Johto",IF(A588&lt;=386,"Hoenn",IF(A588&lt;=493,"Sinnoh",IF(A588&lt;=649,"Unova",IF(A588&lt;=721,"Kalos",IF(A588&lt;=809,"Alola",IF(A588&lt;=905,"Galar","Paldea"))))))))</f>
        <v>Hoenn</v>
      </c>
      <c r="F588" t="str">
        <f>IF(G588&gt;=600,"Lendário",IF(G588&gt;=500,"Forte","Normal"))</f>
        <v>Forte</v>
      </c>
      <c r="G588" s="3">
        <f>G587</f>
        <v>530</v>
      </c>
      <c r="H588" s="3">
        <f>H587</f>
        <v>110</v>
      </c>
      <c r="I588" s="3">
        <f>I587</f>
        <v>80</v>
      </c>
      <c r="J588" s="3">
        <f>J587</f>
        <v>90</v>
      </c>
      <c r="K588" s="3">
        <f>K587</f>
        <v>95</v>
      </c>
      <c r="L588" s="3">
        <f>L587</f>
        <v>90</v>
      </c>
      <c r="M588" s="3">
        <f>M587</f>
        <v>65</v>
      </c>
      <c r="N588" s="3">
        <f>AVERAGE($I$2:$I$1168)</f>
        <v>78.907455012853475</v>
      </c>
      <c r="O588" s="3" t="str">
        <f>CONCATENATE(A588,"-",B588)</f>
        <v>365-Walrein</v>
      </c>
    </row>
    <row r="589" spans="1:15">
      <c r="A589" s="63">
        <v>366</v>
      </c>
      <c r="B589" s="2" t="s">
        <v>424</v>
      </c>
      <c r="C589" t="s">
        <v>30</v>
      </c>
      <c r="D589" s="22">
        <f>COUNTIF($C$2:$C$1168,Tabela1[[#This Row],[Type]])</f>
        <v>121</v>
      </c>
      <c r="E589" s="62" t="str">
        <f>IF(A589&lt;=151,"Kanto",IF(A589&lt;=251,"Johto",IF(A589&lt;=386,"Hoenn",IF(A589&lt;=493,"Sinnoh",IF(A589&lt;=649,"Unova",IF(A589&lt;=721,"Kalos",IF(A589&lt;=809,"Alola",IF(A589&lt;=905,"Galar","Paldea"))))))))</f>
        <v>Hoenn</v>
      </c>
      <c r="F589" t="str">
        <f>IF(G589&gt;=600,"Lendário",IF(G589&gt;=500,"Forte","Normal"))</f>
        <v>Normal</v>
      </c>
      <c r="G589" s="3">
        <v>345</v>
      </c>
      <c r="H589" s="3">
        <v>35</v>
      </c>
      <c r="I589" s="3">
        <v>64</v>
      </c>
      <c r="J589" s="3">
        <v>85</v>
      </c>
      <c r="K589" s="3">
        <v>74</v>
      </c>
      <c r="L589" s="3">
        <v>55</v>
      </c>
      <c r="M589" s="3">
        <v>32</v>
      </c>
      <c r="N589" s="3">
        <f>AVERAGE($I$2:$I$1168)</f>
        <v>78.907455012853475</v>
      </c>
      <c r="O589" s="3" t="str">
        <f>CONCATENATE(A589,"-",B589)</f>
        <v>366-Clamperl</v>
      </c>
    </row>
    <row r="590" spans="1:15">
      <c r="A590" s="63">
        <v>367</v>
      </c>
      <c r="B590" s="2" t="s">
        <v>425</v>
      </c>
      <c r="C590" t="s">
        <v>30</v>
      </c>
      <c r="D590" s="22">
        <f>COUNTIF($C$2:$C$1168,Tabela1[[#This Row],[Type]])</f>
        <v>121</v>
      </c>
      <c r="E590" s="62" t="str">
        <f>IF(A590&lt;=151,"Kanto",IF(A590&lt;=251,"Johto",IF(A590&lt;=386,"Hoenn",IF(A590&lt;=493,"Sinnoh",IF(A590&lt;=649,"Unova",IF(A590&lt;=721,"Kalos",IF(A590&lt;=809,"Alola",IF(A590&lt;=905,"Galar","Paldea"))))))))</f>
        <v>Hoenn</v>
      </c>
      <c r="F590" t="str">
        <f>IF(G590&gt;=600,"Lendário",IF(G590&gt;=500,"Forte","Normal"))</f>
        <v>Normal</v>
      </c>
      <c r="G590" s="3">
        <v>485</v>
      </c>
      <c r="H590" s="3">
        <v>55</v>
      </c>
      <c r="I590" s="3">
        <v>104</v>
      </c>
      <c r="J590" s="3">
        <v>105</v>
      </c>
      <c r="K590" s="3">
        <v>94</v>
      </c>
      <c r="L590" s="3">
        <v>75</v>
      </c>
      <c r="M590" s="3">
        <v>52</v>
      </c>
      <c r="N590" s="3">
        <f>AVERAGE($I$2:$I$1168)</f>
        <v>78.907455012853475</v>
      </c>
      <c r="O590" s="3" t="str">
        <f>CONCATENATE(A590,"-",B590)</f>
        <v>367-Huntail</v>
      </c>
    </row>
    <row r="591" spans="1:15">
      <c r="A591" s="63">
        <v>368</v>
      </c>
      <c r="B591" s="2" t="s">
        <v>426</v>
      </c>
      <c r="C591" t="s">
        <v>30</v>
      </c>
      <c r="D591" s="22">
        <f>COUNTIF($C$2:$C$1168,Tabela1[[#This Row],[Type]])</f>
        <v>121</v>
      </c>
      <c r="E591" s="62" t="str">
        <f>IF(A591&lt;=151,"Kanto",IF(A591&lt;=251,"Johto",IF(A591&lt;=386,"Hoenn",IF(A591&lt;=493,"Sinnoh",IF(A591&lt;=649,"Unova",IF(A591&lt;=721,"Kalos",IF(A591&lt;=809,"Alola",IF(A591&lt;=905,"Galar","Paldea"))))))))</f>
        <v>Hoenn</v>
      </c>
      <c r="F591" t="str">
        <f>IF(G591&gt;=600,"Lendário",IF(G591&gt;=500,"Forte","Normal"))</f>
        <v>Normal</v>
      </c>
      <c r="G591" s="3">
        <v>485</v>
      </c>
      <c r="H591" s="3">
        <v>55</v>
      </c>
      <c r="I591" s="3">
        <v>84</v>
      </c>
      <c r="J591" s="3">
        <v>105</v>
      </c>
      <c r="K591" s="3">
        <v>114</v>
      </c>
      <c r="L591" s="3">
        <v>75</v>
      </c>
      <c r="M591" s="3">
        <v>52</v>
      </c>
      <c r="N591" s="3">
        <f>AVERAGE($I$2:$I$1168)</f>
        <v>78.907455012853475</v>
      </c>
      <c r="O591" s="3" t="str">
        <f>CONCATENATE(A591,"-",B591)</f>
        <v>368-Gorebyss</v>
      </c>
    </row>
    <row r="592" spans="1:15">
      <c r="A592" s="63">
        <v>369</v>
      </c>
      <c r="B592" s="2" t="s">
        <v>427</v>
      </c>
      <c r="C592" t="s">
        <v>30</v>
      </c>
      <c r="D592" s="22">
        <f>COUNTIF($C$2:$C$1168,Tabela1[[#This Row],[Type]])</f>
        <v>121</v>
      </c>
      <c r="E592" s="62" t="str">
        <f>IF(A592&lt;=151,"Kanto",IF(A592&lt;=251,"Johto",IF(A592&lt;=386,"Hoenn",IF(A592&lt;=493,"Sinnoh",IF(A592&lt;=649,"Unova",IF(A592&lt;=721,"Kalos",IF(A592&lt;=809,"Alola",IF(A592&lt;=905,"Galar","Paldea"))))))))</f>
        <v>Hoenn</v>
      </c>
      <c r="F592" t="str">
        <f>IF(G592&gt;=600,"Lendário",IF(G592&gt;=500,"Forte","Normal"))</f>
        <v>Normal</v>
      </c>
      <c r="G592" s="3">
        <v>485</v>
      </c>
      <c r="H592" s="3">
        <v>100</v>
      </c>
      <c r="I592" s="3">
        <v>90</v>
      </c>
      <c r="J592" s="3">
        <v>130</v>
      </c>
      <c r="K592" s="3">
        <v>45</v>
      </c>
      <c r="L592" s="3">
        <v>65</v>
      </c>
      <c r="M592" s="3">
        <v>55</v>
      </c>
      <c r="N592" s="3">
        <f>AVERAGE($I$2:$I$1168)</f>
        <v>78.907455012853475</v>
      </c>
      <c r="O592" s="3" t="str">
        <f>CONCATENATE(A592,"-",B592)</f>
        <v>369-Relicanth</v>
      </c>
    </row>
    <row r="593" spans="1:15">
      <c r="A593" s="63">
        <v>369</v>
      </c>
      <c r="B593" s="2" t="str">
        <f>B592</f>
        <v>Relicanth</v>
      </c>
      <c r="C593" t="s">
        <v>107</v>
      </c>
      <c r="D593" s="22">
        <f>COUNTIF($C$2:$C$1168,Tabela1[[#This Row],[Type]])</f>
        <v>56</v>
      </c>
      <c r="E593" s="62" t="str">
        <f>IF(A593&lt;=151,"Kanto",IF(A593&lt;=251,"Johto",IF(A593&lt;=386,"Hoenn",IF(A593&lt;=493,"Sinnoh",IF(A593&lt;=649,"Unova",IF(A593&lt;=721,"Kalos",IF(A593&lt;=809,"Alola",IF(A593&lt;=905,"Galar","Paldea"))))))))</f>
        <v>Hoenn</v>
      </c>
      <c r="F593" t="str">
        <f>IF(G593&gt;=600,"Lendário",IF(G593&gt;=500,"Forte","Normal"))</f>
        <v>Normal</v>
      </c>
      <c r="G593" s="3">
        <f>G592</f>
        <v>485</v>
      </c>
      <c r="H593" s="3">
        <f>H592</f>
        <v>100</v>
      </c>
      <c r="I593" s="3">
        <f>I592</f>
        <v>90</v>
      </c>
      <c r="J593" s="3">
        <f>J592</f>
        <v>130</v>
      </c>
      <c r="K593" s="3">
        <f>K592</f>
        <v>45</v>
      </c>
      <c r="L593" s="3">
        <f>L592</f>
        <v>65</v>
      </c>
      <c r="M593" s="3">
        <f>M592</f>
        <v>55</v>
      </c>
      <c r="N593" s="3">
        <f>AVERAGE($I$2:$I$1168)</f>
        <v>78.907455012853475</v>
      </c>
      <c r="O593" s="3" t="str">
        <f>CONCATENATE(A593,"-",B593)</f>
        <v>369-Relicanth</v>
      </c>
    </row>
    <row r="594" spans="1:15">
      <c r="A594" s="63">
        <v>370</v>
      </c>
      <c r="B594" s="2" t="s">
        <v>428</v>
      </c>
      <c r="C594" t="s">
        <v>30</v>
      </c>
      <c r="D594" s="22">
        <f>COUNTIF($C$2:$C$1168,Tabela1[[#This Row],[Type]])</f>
        <v>121</v>
      </c>
      <c r="E594" s="62" t="str">
        <f>IF(A594&lt;=151,"Kanto",IF(A594&lt;=251,"Johto",IF(A594&lt;=386,"Hoenn",IF(A594&lt;=493,"Sinnoh",IF(A594&lt;=649,"Unova",IF(A594&lt;=721,"Kalos",IF(A594&lt;=809,"Alola",IF(A594&lt;=905,"Galar","Paldea"))))))))</f>
        <v>Hoenn</v>
      </c>
      <c r="F594" t="str">
        <f>IF(G594&gt;=600,"Lendário",IF(G594&gt;=500,"Forte","Normal"))</f>
        <v>Normal</v>
      </c>
      <c r="G594" s="3">
        <v>330</v>
      </c>
      <c r="H594" s="3">
        <v>43</v>
      </c>
      <c r="I594" s="3">
        <v>30</v>
      </c>
      <c r="J594" s="3">
        <v>55</v>
      </c>
      <c r="K594" s="3">
        <v>40</v>
      </c>
      <c r="L594" s="3">
        <v>65</v>
      </c>
      <c r="M594" s="3">
        <v>97</v>
      </c>
      <c r="N594" s="3">
        <f>AVERAGE($I$2:$I$1168)</f>
        <v>78.907455012853475</v>
      </c>
      <c r="O594" s="3" t="str">
        <f>CONCATENATE(A594,"-",B594)</f>
        <v>370-Luvdisc</v>
      </c>
    </row>
    <row r="595" spans="1:15">
      <c r="A595" s="63">
        <v>371</v>
      </c>
      <c r="B595" s="2" t="s">
        <v>429</v>
      </c>
      <c r="C595" t="s">
        <v>27</v>
      </c>
      <c r="D595" s="22">
        <f>COUNTIF($C$2:$C$1168,Tabela1[[#This Row],[Type]])</f>
        <v>44</v>
      </c>
      <c r="E595" s="62" t="str">
        <f>IF(A595&lt;=151,"Kanto",IF(A595&lt;=251,"Johto",IF(A595&lt;=386,"Hoenn",IF(A595&lt;=493,"Sinnoh",IF(A595&lt;=649,"Unova",IF(A595&lt;=721,"Kalos",IF(A595&lt;=809,"Alola",IF(A595&lt;=905,"Galar","Paldea"))))))))</f>
        <v>Hoenn</v>
      </c>
      <c r="F595" t="str">
        <f>IF(G595&gt;=600,"Lendário",IF(G595&gt;=500,"Forte","Normal"))</f>
        <v>Normal</v>
      </c>
      <c r="G595" s="3">
        <v>300</v>
      </c>
      <c r="H595" s="3">
        <v>45</v>
      </c>
      <c r="I595" s="3">
        <v>75</v>
      </c>
      <c r="J595" s="3">
        <v>60</v>
      </c>
      <c r="K595" s="3">
        <v>40</v>
      </c>
      <c r="L595" s="3">
        <v>30</v>
      </c>
      <c r="M595" s="3">
        <v>50</v>
      </c>
      <c r="N595" s="3">
        <f>AVERAGE($I$2:$I$1168)</f>
        <v>78.907455012853475</v>
      </c>
      <c r="O595" s="3" t="str">
        <f>CONCATENATE(A595,"-",B595)</f>
        <v>371-Bagon</v>
      </c>
    </row>
    <row r="596" spans="1:15">
      <c r="A596" s="63">
        <v>372</v>
      </c>
      <c r="B596" s="2" t="s">
        <v>430</v>
      </c>
      <c r="C596" t="s">
        <v>27</v>
      </c>
      <c r="D596" s="22">
        <f>COUNTIF($C$2:$C$1168,Tabela1[[#This Row],[Type]])</f>
        <v>44</v>
      </c>
      <c r="E596" s="62" t="str">
        <f>IF(A596&lt;=151,"Kanto",IF(A596&lt;=251,"Johto",IF(A596&lt;=386,"Hoenn",IF(A596&lt;=493,"Sinnoh",IF(A596&lt;=649,"Unova",IF(A596&lt;=721,"Kalos",IF(A596&lt;=809,"Alola",IF(A596&lt;=905,"Galar","Paldea"))))))))</f>
        <v>Hoenn</v>
      </c>
      <c r="F596" t="str">
        <f>IF(G596&gt;=600,"Lendário",IF(G596&gt;=500,"Forte","Normal"))</f>
        <v>Normal</v>
      </c>
      <c r="G596" s="3">
        <v>420</v>
      </c>
      <c r="H596" s="3">
        <v>65</v>
      </c>
      <c r="I596" s="3">
        <v>95</v>
      </c>
      <c r="J596" s="3">
        <v>100</v>
      </c>
      <c r="K596" s="3">
        <v>60</v>
      </c>
      <c r="L596" s="3">
        <v>50</v>
      </c>
      <c r="M596" s="3">
        <v>50</v>
      </c>
      <c r="N596" s="3">
        <f>AVERAGE($I$2:$I$1168)</f>
        <v>78.907455012853475</v>
      </c>
      <c r="O596" s="3" t="str">
        <f>CONCATENATE(A596,"-",B596)</f>
        <v>372-Shelgon</v>
      </c>
    </row>
    <row r="597" spans="1:15">
      <c r="A597" s="63">
        <v>373</v>
      </c>
      <c r="B597" s="2" t="s">
        <v>431</v>
      </c>
      <c r="C597" t="s">
        <v>27</v>
      </c>
      <c r="D597" s="22">
        <f>COUNTIF($C$2:$C$1168,Tabela1[[#This Row],[Type]])</f>
        <v>44</v>
      </c>
      <c r="E597" s="62" t="str">
        <f>IF(A597&lt;=151,"Kanto",IF(A597&lt;=251,"Johto",IF(A597&lt;=386,"Hoenn",IF(A597&lt;=493,"Sinnoh",IF(A597&lt;=649,"Unova",IF(A597&lt;=721,"Kalos",IF(A597&lt;=809,"Alola",IF(A597&lt;=905,"Galar","Paldea"))))))))</f>
        <v>Hoenn</v>
      </c>
      <c r="F597" t="str">
        <f>IF(G597&gt;=600,"Lendário",IF(G597&gt;=500,"Forte","Normal"))</f>
        <v>Lendário</v>
      </c>
      <c r="G597" s="3">
        <v>600</v>
      </c>
      <c r="H597" s="3">
        <v>95</v>
      </c>
      <c r="I597" s="3">
        <v>135</v>
      </c>
      <c r="J597" s="3">
        <v>80</v>
      </c>
      <c r="K597" s="3">
        <v>110</v>
      </c>
      <c r="L597" s="3">
        <v>80</v>
      </c>
      <c r="M597" s="3">
        <v>100</v>
      </c>
      <c r="N597" s="3">
        <f>AVERAGE($I$2:$I$1168)</f>
        <v>78.907455012853475</v>
      </c>
      <c r="O597" s="3" t="str">
        <f>CONCATENATE(A597,"-",B597)</f>
        <v>373-Salamence</v>
      </c>
    </row>
    <row r="598" spans="1:15">
      <c r="A598" s="63">
        <v>373</v>
      </c>
      <c r="B598" s="2" t="str">
        <f>B597</f>
        <v>Salamence</v>
      </c>
      <c r="C598" t="s">
        <v>25</v>
      </c>
      <c r="D598" s="22">
        <f>COUNTIF($C$2:$C$1168,Tabela1[[#This Row],[Type]])</f>
        <v>100</v>
      </c>
      <c r="E598" s="62" t="str">
        <f>IF(A598&lt;=151,"Kanto",IF(A598&lt;=251,"Johto",IF(A598&lt;=386,"Hoenn",IF(A598&lt;=493,"Sinnoh",IF(A598&lt;=649,"Unova",IF(A598&lt;=721,"Kalos",IF(A598&lt;=809,"Alola",IF(A598&lt;=905,"Galar","Paldea"))))))))</f>
        <v>Hoenn</v>
      </c>
      <c r="F598" t="str">
        <f>IF(G598&gt;=600,"Lendário",IF(G598&gt;=500,"Forte","Normal"))</f>
        <v>Lendário</v>
      </c>
      <c r="G598" s="3">
        <f>G597</f>
        <v>600</v>
      </c>
      <c r="H598" s="3">
        <f>H597</f>
        <v>95</v>
      </c>
      <c r="I598" s="3">
        <f>I597</f>
        <v>135</v>
      </c>
      <c r="J598" s="3">
        <f>J597</f>
        <v>80</v>
      </c>
      <c r="K598" s="3">
        <f>K597</f>
        <v>110</v>
      </c>
      <c r="L598" s="3">
        <f>L597</f>
        <v>80</v>
      </c>
      <c r="M598" s="3">
        <f>M597</f>
        <v>100</v>
      </c>
      <c r="N598" s="3">
        <f>AVERAGE($I$2:$I$1168)</f>
        <v>78.907455012853475</v>
      </c>
      <c r="O598" s="3" t="str">
        <f>CONCATENATE(A598,"-",B598)</f>
        <v>373-Salamence</v>
      </c>
    </row>
    <row r="599" spans="1:15">
      <c r="A599" s="63">
        <v>374</v>
      </c>
      <c r="B599" s="2" t="s">
        <v>432</v>
      </c>
      <c r="C599" t="s">
        <v>115</v>
      </c>
      <c r="D599" s="22">
        <f>COUNTIF($C$2:$C$1168,Tabela1[[#This Row],[Type]])</f>
        <v>48</v>
      </c>
      <c r="E599" s="62" t="str">
        <f>IF(A599&lt;=151,"Kanto",IF(A599&lt;=251,"Johto",IF(A599&lt;=386,"Hoenn",IF(A599&lt;=493,"Sinnoh",IF(A599&lt;=649,"Unova",IF(A599&lt;=721,"Kalos",IF(A599&lt;=809,"Alola",IF(A599&lt;=905,"Galar","Paldea"))))))))</f>
        <v>Hoenn</v>
      </c>
      <c r="F599" t="str">
        <f>IF(G599&gt;=600,"Lendário",IF(G599&gt;=500,"Forte","Normal"))</f>
        <v>Normal</v>
      </c>
      <c r="G599" s="3">
        <v>300</v>
      </c>
      <c r="H599" s="3">
        <v>40</v>
      </c>
      <c r="I599" s="3">
        <v>55</v>
      </c>
      <c r="J599" s="3">
        <v>80</v>
      </c>
      <c r="K599" s="3">
        <v>35</v>
      </c>
      <c r="L599" s="3">
        <v>60</v>
      </c>
      <c r="M599" s="3">
        <v>30</v>
      </c>
      <c r="N599" s="3">
        <f>AVERAGE($I$2:$I$1168)</f>
        <v>78.907455012853475</v>
      </c>
      <c r="O599" s="3" t="str">
        <f>CONCATENATE(A599,"-",B599)</f>
        <v>374-Beldum</v>
      </c>
    </row>
    <row r="600" spans="1:15">
      <c r="A600" s="63">
        <v>374</v>
      </c>
      <c r="B600" s="2" t="str">
        <f>B599</f>
        <v>Beldum</v>
      </c>
      <c r="C600" t="s">
        <v>94</v>
      </c>
      <c r="D600" s="22">
        <f>COUNTIF($C$2:$C$1168,Tabela1[[#This Row],[Type]])</f>
        <v>83</v>
      </c>
      <c r="E600" s="62" t="str">
        <f>IF(A600&lt;=151,"Kanto",IF(A600&lt;=251,"Johto",IF(A600&lt;=386,"Hoenn",IF(A600&lt;=493,"Sinnoh",IF(A600&lt;=649,"Unova",IF(A600&lt;=721,"Kalos",IF(A600&lt;=809,"Alola",IF(A600&lt;=905,"Galar","Paldea"))))))))</f>
        <v>Hoenn</v>
      </c>
      <c r="F600" t="str">
        <f>IF(G600&gt;=600,"Lendário",IF(G600&gt;=500,"Forte","Normal"))</f>
        <v>Normal</v>
      </c>
      <c r="G600" s="3">
        <f>G599</f>
        <v>300</v>
      </c>
      <c r="H600" s="3">
        <f>H599</f>
        <v>40</v>
      </c>
      <c r="I600" s="3">
        <f>I599</f>
        <v>55</v>
      </c>
      <c r="J600" s="3">
        <f>J599</f>
        <v>80</v>
      </c>
      <c r="K600" s="3">
        <f>K599</f>
        <v>35</v>
      </c>
      <c r="L600" s="3">
        <f>L599</f>
        <v>60</v>
      </c>
      <c r="M600" s="3">
        <f>M599</f>
        <v>30</v>
      </c>
      <c r="N600" s="3">
        <f>AVERAGE($I$2:$I$1168)</f>
        <v>78.907455012853475</v>
      </c>
      <c r="O600" s="3" t="str">
        <f>CONCATENATE(A600,"-",B600)</f>
        <v>374-Beldum</v>
      </c>
    </row>
    <row r="601" spans="1:15">
      <c r="A601" s="63">
        <v>375</v>
      </c>
      <c r="B601" s="2" t="s">
        <v>433</v>
      </c>
      <c r="C601" t="s">
        <v>115</v>
      </c>
      <c r="D601" s="22">
        <f>COUNTIF($C$2:$C$1168,Tabela1[[#This Row],[Type]])</f>
        <v>48</v>
      </c>
      <c r="E601" s="62" t="str">
        <f>IF(A601&lt;=151,"Kanto",IF(A601&lt;=251,"Johto",IF(A601&lt;=386,"Hoenn",IF(A601&lt;=493,"Sinnoh",IF(A601&lt;=649,"Unova",IF(A601&lt;=721,"Kalos",IF(A601&lt;=809,"Alola",IF(A601&lt;=905,"Galar","Paldea"))))))))</f>
        <v>Hoenn</v>
      </c>
      <c r="F601" t="str">
        <f>IF(G601&gt;=600,"Lendário",IF(G601&gt;=500,"Forte","Normal"))</f>
        <v>Normal</v>
      </c>
      <c r="G601" s="3">
        <v>420</v>
      </c>
      <c r="H601" s="3">
        <v>60</v>
      </c>
      <c r="I601" s="3">
        <v>75</v>
      </c>
      <c r="J601" s="3">
        <v>100</v>
      </c>
      <c r="K601" s="3">
        <v>55</v>
      </c>
      <c r="L601" s="3">
        <v>80</v>
      </c>
      <c r="M601" s="3">
        <v>50</v>
      </c>
      <c r="N601" s="3">
        <f>AVERAGE($I$2:$I$1168)</f>
        <v>78.907455012853475</v>
      </c>
      <c r="O601" s="3" t="str">
        <f>CONCATENATE(A601,"-",B601)</f>
        <v>375-Metang</v>
      </c>
    </row>
    <row r="602" spans="1:15">
      <c r="A602" s="63">
        <v>375</v>
      </c>
      <c r="B602" s="2" t="str">
        <f>B601</f>
        <v>Metang</v>
      </c>
      <c r="C602" t="s">
        <v>94</v>
      </c>
      <c r="D602" s="22">
        <f>COUNTIF($C$2:$C$1168,Tabela1[[#This Row],[Type]])</f>
        <v>83</v>
      </c>
      <c r="E602" s="62" t="str">
        <f>IF(A602&lt;=151,"Kanto",IF(A602&lt;=251,"Johto",IF(A602&lt;=386,"Hoenn",IF(A602&lt;=493,"Sinnoh",IF(A602&lt;=649,"Unova",IF(A602&lt;=721,"Kalos",IF(A602&lt;=809,"Alola",IF(A602&lt;=905,"Galar","Paldea"))))))))</f>
        <v>Hoenn</v>
      </c>
      <c r="F602" t="str">
        <f>IF(G602&gt;=600,"Lendário",IF(G602&gt;=500,"Forte","Normal"))</f>
        <v>Normal</v>
      </c>
      <c r="G602" s="3">
        <f>G601</f>
        <v>420</v>
      </c>
      <c r="H602" s="3">
        <f>H601</f>
        <v>60</v>
      </c>
      <c r="I602" s="3">
        <f>I601</f>
        <v>75</v>
      </c>
      <c r="J602" s="3">
        <f>J601</f>
        <v>100</v>
      </c>
      <c r="K602" s="3">
        <f>K601</f>
        <v>55</v>
      </c>
      <c r="L602" s="3">
        <f>L601</f>
        <v>80</v>
      </c>
      <c r="M602" s="3">
        <f>M601</f>
        <v>50</v>
      </c>
      <c r="N602" s="3">
        <f>AVERAGE($I$2:$I$1168)</f>
        <v>78.907455012853475</v>
      </c>
      <c r="O602" s="3" t="str">
        <f>CONCATENATE(A602,"-",B602)</f>
        <v>375-Metang</v>
      </c>
    </row>
    <row r="603" spans="1:15">
      <c r="A603" s="63">
        <v>376</v>
      </c>
      <c r="B603" s="2" t="s">
        <v>434</v>
      </c>
      <c r="C603" t="s">
        <v>115</v>
      </c>
      <c r="D603" s="22">
        <f>COUNTIF($C$2:$C$1168,Tabela1[[#This Row],[Type]])</f>
        <v>48</v>
      </c>
      <c r="E603" s="62" t="str">
        <f>IF(A603&lt;=151,"Kanto",IF(A603&lt;=251,"Johto",IF(A603&lt;=386,"Hoenn",IF(A603&lt;=493,"Sinnoh",IF(A603&lt;=649,"Unova",IF(A603&lt;=721,"Kalos",IF(A603&lt;=809,"Alola",IF(A603&lt;=905,"Galar","Paldea"))))))))</f>
        <v>Hoenn</v>
      </c>
      <c r="F603" t="str">
        <f>IF(G603&gt;=600,"Lendário",IF(G603&gt;=500,"Forte","Normal"))</f>
        <v>Lendário</v>
      </c>
      <c r="G603" s="3">
        <v>600</v>
      </c>
      <c r="H603" s="3">
        <v>80</v>
      </c>
      <c r="I603" s="3">
        <v>135</v>
      </c>
      <c r="J603" s="3">
        <v>130</v>
      </c>
      <c r="K603" s="3">
        <v>95</v>
      </c>
      <c r="L603" s="3">
        <v>90</v>
      </c>
      <c r="M603" s="3">
        <v>70</v>
      </c>
      <c r="N603" s="3">
        <f>AVERAGE($I$2:$I$1168)</f>
        <v>78.907455012853475</v>
      </c>
      <c r="O603" s="3" t="str">
        <f>CONCATENATE(A603,"-",B603)</f>
        <v>376-Metagross</v>
      </c>
    </row>
    <row r="604" spans="1:15">
      <c r="A604" s="63">
        <v>376</v>
      </c>
      <c r="B604" s="2" t="str">
        <f>B603</f>
        <v>Metagross</v>
      </c>
      <c r="C604" t="s">
        <v>94</v>
      </c>
      <c r="D604" s="22">
        <f>COUNTIF($C$2:$C$1168,Tabela1[[#This Row],[Type]])</f>
        <v>83</v>
      </c>
      <c r="E604" s="62" t="str">
        <f>IF(A604&lt;=151,"Kanto",IF(A604&lt;=251,"Johto",IF(A604&lt;=386,"Hoenn",IF(A604&lt;=493,"Sinnoh",IF(A604&lt;=649,"Unova",IF(A604&lt;=721,"Kalos",IF(A604&lt;=809,"Alola",IF(A604&lt;=905,"Galar","Paldea"))))))))</f>
        <v>Hoenn</v>
      </c>
      <c r="F604" t="str">
        <f>IF(G604&gt;=600,"Lendário",IF(G604&gt;=500,"Forte","Normal"))</f>
        <v>Lendário</v>
      </c>
      <c r="G604" s="3">
        <f>G603</f>
        <v>600</v>
      </c>
      <c r="H604" s="3">
        <f>H603</f>
        <v>80</v>
      </c>
      <c r="I604" s="3">
        <f>I603</f>
        <v>135</v>
      </c>
      <c r="J604" s="3">
        <f>J603</f>
        <v>130</v>
      </c>
      <c r="K604" s="3">
        <f>K603</f>
        <v>95</v>
      </c>
      <c r="L604" s="3">
        <f>L603</f>
        <v>90</v>
      </c>
      <c r="M604" s="3">
        <f>M603</f>
        <v>70</v>
      </c>
      <c r="N604" s="3">
        <f>AVERAGE($I$2:$I$1168)</f>
        <v>78.907455012853475</v>
      </c>
      <c r="O604" s="3" t="str">
        <f>CONCATENATE(A604,"-",B604)</f>
        <v>376-Metagross</v>
      </c>
    </row>
    <row r="605" spans="1:15">
      <c r="A605" s="63">
        <v>377</v>
      </c>
      <c r="B605" s="2" t="s">
        <v>435</v>
      </c>
      <c r="C605" t="s">
        <v>107</v>
      </c>
      <c r="D605" s="22">
        <f>COUNTIF($C$2:$C$1168,Tabela1[[#This Row],[Type]])</f>
        <v>56</v>
      </c>
      <c r="E605" s="62" t="str">
        <f>IF(A605&lt;=151,"Kanto",IF(A605&lt;=251,"Johto",IF(A605&lt;=386,"Hoenn",IF(A605&lt;=493,"Sinnoh",IF(A605&lt;=649,"Unova",IF(A605&lt;=721,"Kalos",IF(A605&lt;=809,"Alola",IF(A605&lt;=905,"Galar","Paldea"))))))))</f>
        <v>Hoenn</v>
      </c>
      <c r="F605" t="str">
        <f>IF(G605&gt;=600,"Lendário",IF(G605&gt;=500,"Forte","Normal"))</f>
        <v>Forte</v>
      </c>
      <c r="G605" s="3">
        <v>580</v>
      </c>
      <c r="H605" s="3">
        <v>80</v>
      </c>
      <c r="I605" s="3">
        <v>100</v>
      </c>
      <c r="J605" s="3">
        <v>200</v>
      </c>
      <c r="K605" s="3">
        <v>50</v>
      </c>
      <c r="L605" s="3">
        <v>100</v>
      </c>
      <c r="M605" s="3">
        <v>50</v>
      </c>
      <c r="N605" s="3">
        <f>AVERAGE($I$2:$I$1168)</f>
        <v>78.907455012853475</v>
      </c>
      <c r="O605" s="3" t="str">
        <f>CONCATENATE(A605,"-",B605)</f>
        <v>377-Regirock</v>
      </c>
    </row>
    <row r="606" spans="1:15">
      <c r="A606" s="63">
        <v>378</v>
      </c>
      <c r="B606" s="2" t="s">
        <v>436</v>
      </c>
      <c r="C606" t="s">
        <v>122</v>
      </c>
      <c r="D606" s="22">
        <f>COUNTIF($C$2:$C$1168,Tabela1[[#This Row],[Type]])</f>
        <v>37</v>
      </c>
      <c r="E606" s="62" t="str">
        <f>IF(A606&lt;=151,"Kanto",IF(A606&lt;=251,"Johto",IF(A606&lt;=386,"Hoenn",IF(A606&lt;=493,"Sinnoh",IF(A606&lt;=649,"Unova",IF(A606&lt;=721,"Kalos",IF(A606&lt;=809,"Alola",IF(A606&lt;=905,"Galar","Paldea"))))))))</f>
        <v>Hoenn</v>
      </c>
      <c r="F606" t="str">
        <f>IF(G606&gt;=600,"Lendário",IF(G606&gt;=500,"Forte","Normal"))</f>
        <v>Forte</v>
      </c>
      <c r="G606" s="3">
        <v>580</v>
      </c>
      <c r="H606" s="3">
        <v>80</v>
      </c>
      <c r="I606" s="3">
        <v>50</v>
      </c>
      <c r="J606" s="3">
        <v>100</v>
      </c>
      <c r="K606" s="3">
        <v>100</v>
      </c>
      <c r="L606" s="3">
        <v>200</v>
      </c>
      <c r="M606" s="3">
        <v>50</v>
      </c>
      <c r="N606" s="3">
        <f>AVERAGE($I$2:$I$1168)</f>
        <v>78.907455012853475</v>
      </c>
      <c r="O606" s="3" t="str">
        <f>CONCATENATE(A606,"-",B606)</f>
        <v>378-Regice</v>
      </c>
    </row>
    <row r="607" spans="1:15">
      <c r="A607" s="63">
        <v>379</v>
      </c>
      <c r="B607" s="2" t="s">
        <v>437</v>
      </c>
      <c r="C607" t="s">
        <v>115</v>
      </c>
      <c r="D607" s="22">
        <f>COUNTIF($C$2:$C$1168,Tabela1[[#This Row],[Type]])</f>
        <v>48</v>
      </c>
      <c r="E607" s="62" t="str">
        <f>IF(A607&lt;=151,"Kanto",IF(A607&lt;=251,"Johto",IF(A607&lt;=386,"Hoenn",IF(A607&lt;=493,"Sinnoh",IF(A607&lt;=649,"Unova",IF(A607&lt;=721,"Kalos",IF(A607&lt;=809,"Alola",IF(A607&lt;=905,"Galar","Paldea"))))))))</f>
        <v>Hoenn</v>
      </c>
      <c r="F607" t="str">
        <f>IF(G607&gt;=600,"Lendário",IF(G607&gt;=500,"Forte","Normal"))</f>
        <v>Forte</v>
      </c>
      <c r="G607" s="3">
        <v>580</v>
      </c>
      <c r="H607" s="3">
        <v>80</v>
      </c>
      <c r="I607" s="3">
        <v>75</v>
      </c>
      <c r="J607" s="3">
        <v>150</v>
      </c>
      <c r="K607" s="3">
        <v>75</v>
      </c>
      <c r="L607" s="3">
        <v>150</v>
      </c>
      <c r="M607" s="3">
        <v>50</v>
      </c>
      <c r="N607" s="3">
        <f>AVERAGE($I$2:$I$1168)</f>
        <v>78.907455012853475</v>
      </c>
      <c r="O607" s="3" t="str">
        <f>CONCATENATE(A607,"-",B607)</f>
        <v>379-Registeel</v>
      </c>
    </row>
    <row r="608" spans="1:15">
      <c r="A608" s="63">
        <v>380</v>
      </c>
      <c r="B608" s="2" t="s">
        <v>438</v>
      </c>
      <c r="C608" t="s">
        <v>27</v>
      </c>
      <c r="D608" s="22">
        <f>COUNTIF($C$2:$C$1168,Tabela1[[#This Row],[Type]])</f>
        <v>44</v>
      </c>
      <c r="E608" s="62" t="str">
        <f>IF(A608&lt;=151,"Kanto",IF(A608&lt;=251,"Johto",IF(A608&lt;=386,"Hoenn",IF(A608&lt;=493,"Sinnoh",IF(A608&lt;=649,"Unova",IF(A608&lt;=721,"Kalos",IF(A608&lt;=809,"Alola",IF(A608&lt;=905,"Galar","Paldea"))))))))</f>
        <v>Hoenn</v>
      </c>
      <c r="F608" t="str">
        <f>IF(G608&gt;=600,"Lendário",IF(G608&gt;=500,"Forte","Normal"))</f>
        <v>Lendário</v>
      </c>
      <c r="G608" s="3">
        <v>600</v>
      </c>
      <c r="H608" s="3">
        <v>80</v>
      </c>
      <c r="I608" s="3">
        <v>80</v>
      </c>
      <c r="J608" s="3">
        <v>90</v>
      </c>
      <c r="K608" s="3">
        <v>110</v>
      </c>
      <c r="L608" s="3">
        <v>130</v>
      </c>
      <c r="M608" s="3">
        <v>110</v>
      </c>
      <c r="N608" s="3">
        <f>AVERAGE($I$2:$I$1168)</f>
        <v>78.907455012853475</v>
      </c>
      <c r="O608" s="3" t="str">
        <f>CONCATENATE(A608,"-",B608)</f>
        <v>380-Latias</v>
      </c>
    </row>
    <row r="609" spans="1:15">
      <c r="A609" s="63">
        <v>380</v>
      </c>
      <c r="B609" s="2" t="str">
        <f>B608</f>
        <v>Latias</v>
      </c>
      <c r="C609" t="s">
        <v>94</v>
      </c>
      <c r="D609" s="22">
        <f>COUNTIF($C$2:$C$1168,Tabela1[[#This Row],[Type]])</f>
        <v>83</v>
      </c>
      <c r="E609" s="62" t="str">
        <f>IF(A609&lt;=151,"Kanto",IF(A609&lt;=251,"Johto",IF(A609&lt;=386,"Hoenn",IF(A609&lt;=493,"Sinnoh",IF(A609&lt;=649,"Unova",IF(A609&lt;=721,"Kalos",IF(A609&lt;=809,"Alola",IF(A609&lt;=905,"Galar","Paldea"))))))))</f>
        <v>Hoenn</v>
      </c>
      <c r="F609" t="str">
        <f>IF(G609&gt;=600,"Lendário",IF(G609&gt;=500,"Forte","Normal"))</f>
        <v>Lendário</v>
      </c>
      <c r="G609" s="3">
        <f>G608</f>
        <v>600</v>
      </c>
      <c r="H609" s="3">
        <f>H608</f>
        <v>80</v>
      </c>
      <c r="I609" s="3">
        <f>I608</f>
        <v>80</v>
      </c>
      <c r="J609" s="3">
        <f>J608</f>
        <v>90</v>
      </c>
      <c r="K609" s="3">
        <f>K608</f>
        <v>110</v>
      </c>
      <c r="L609" s="3">
        <f>L608</f>
        <v>130</v>
      </c>
      <c r="M609" s="3">
        <f>M608</f>
        <v>110</v>
      </c>
      <c r="N609" s="3">
        <f>AVERAGE($I$2:$I$1168)</f>
        <v>78.907455012853475</v>
      </c>
      <c r="O609" s="3" t="str">
        <f>CONCATENATE(A609,"-",B609)</f>
        <v>380-Latias</v>
      </c>
    </row>
    <row r="610" spans="1:15">
      <c r="A610" s="63">
        <v>381</v>
      </c>
      <c r="B610" s="2" t="s">
        <v>439</v>
      </c>
      <c r="C610" t="s">
        <v>27</v>
      </c>
      <c r="D610" s="22">
        <f>COUNTIF($C$2:$C$1168,Tabela1[[#This Row],[Type]])</f>
        <v>44</v>
      </c>
      <c r="E610" s="62" t="str">
        <f>IF(A610&lt;=151,"Kanto",IF(A610&lt;=251,"Johto",IF(A610&lt;=386,"Hoenn",IF(A610&lt;=493,"Sinnoh",IF(A610&lt;=649,"Unova",IF(A610&lt;=721,"Kalos",IF(A610&lt;=809,"Alola",IF(A610&lt;=905,"Galar","Paldea"))))))))</f>
        <v>Hoenn</v>
      </c>
      <c r="F610" t="str">
        <f>IF(G610&gt;=600,"Lendário",IF(G610&gt;=500,"Forte","Normal"))</f>
        <v>Lendário</v>
      </c>
      <c r="G610" s="3">
        <v>600</v>
      </c>
      <c r="H610" s="3">
        <v>80</v>
      </c>
      <c r="I610" s="3">
        <v>90</v>
      </c>
      <c r="J610" s="3">
        <v>80</v>
      </c>
      <c r="K610" s="3">
        <v>130</v>
      </c>
      <c r="L610" s="3">
        <v>110</v>
      </c>
      <c r="M610" s="3">
        <v>110</v>
      </c>
      <c r="N610" s="3">
        <f>AVERAGE($I$2:$I$1168)</f>
        <v>78.907455012853475</v>
      </c>
      <c r="O610" s="3" t="str">
        <f>CONCATENATE(A610,"-",B610)</f>
        <v>381-Latios</v>
      </c>
    </row>
    <row r="611" spans="1:15">
      <c r="A611" s="63">
        <v>381</v>
      </c>
      <c r="B611" s="2" t="str">
        <f>B610</f>
        <v>Latios</v>
      </c>
      <c r="C611" t="s">
        <v>94</v>
      </c>
      <c r="D611" s="22">
        <f>COUNTIF($C$2:$C$1168,Tabela1[[#This Row],[Type]])</f>
        <v>83</v>
      </c>
      <c r="E611" s="62" t="str">
        <f>IF(A611&lt;=151,"Kanto",IF(A611&lt;=251,"Johto",IF(A611&lt;=386,"Hoenn",IF(A611&lt;=493,"Sinnoh",IF(A611&lt;=649,"Unova",IF(A611&lt;=721,"Kalos",IF(A611&lt;=809,"Alola",IF(A611&lt;=905,"Galar","Paldea"))))))))</f>
        <v>Hoenn</v>
      </c>
      <c r="F611" t="str">
        <f>IF(G611&gt;=600,"Lendário",IF(G611&gt;=500,"Forte","Normal"))</f>
        <v>Lendário</v>
      </c>
      <c r="G611" s="3">
        <f>G610</f>
        <v>600</v>
      </c>
      <c r="H611" s="3">
        <f>H610</f>
        <v>80</v>
      </c>
      <c r="I611" s="3">
        <f>I610</f>
        <v>90</v>
      </c>
      <c r="J611" s="3">
        <f>J610</f>
        <v>80</v>
      </c>
      <c r="K611" s="3">
        <f>K610</f>
        <v>130</v>
      </c>
      <c r="L611" s="3">
        <f>L610</f>
        <v>110</v>
      </c>
      <c r="M611" s="3">
        <f>M610</f>
        <v>110</v>
      </c>
      <c r="N611" s="3">
        <f>AVERAGE($I$2:$I$1168)</f>
        <v>78.907455012853475</v>
      </c>
      <c r="O611" s="3" t="str">
        <f>CONCATENATE(A611,"-",B611)</f>
        <v>381-Latios</v>
      </c>
    </row>
    <row r="612" spans="1:15">
      <c r="A612" s="63">
        <v>382</v>
      </c>
      <c r="B612" s="2" t="s">
        <v>440</v>
      </c>
      <c r="C612" t="s">
        <v>30</v>
      </c>
      <c r="D612" s="22">
        <f>COUNTIF($C$2:$C$1168,Tabela1[[#This Row],[Type]])</f>
        <v>121</v>
      </c>
      <c r="E612" s="62" t="str">
        <f>IF(A612&lt;=151,"Kanto",IF(A612&lt;=251,"Johto",IF(A612&lt;=386,"Hoenn",IF(A612&lt;=493,"Sinnoh",IF(A612&lt;=649,"Unova",IF(A612&lt;=721,"Kalos",IF(A612&lt;=809,"Alola",IF(A612&lt;=905,"Galar","Paldea"))))))))</f>
        <v>Hoenn</v>
      </c>
      <c r="F612" t="str">
        <f>IF(G612&gt;=600,"Lendário",IF(G612&gt;=500,"Forte","Normal"))</f>
        <v>Lendário</v>
      </c>
      <c r="G612" s="3">
        <v>670</v>
      </c>
      <c r="H612" s="3">
        <v>100</v>
      </c>
      <c r="I612" s="3">
        <v>100</v>
      </c>
      <c r="J612" s="3">
        <v>90</v>
      </c>
      <c r="K612" s="3">
        <v>150</v>
      </c>
      <c r="L612" s="3">
        <v>140</v>
      </c>
      <c r="M612" s="3">
        <v>90</v>
      </c>
      <c r="N612" s="3">
        <f>AVERAGE($I$2:$I$1168)</f>
        <v>78.907455012853475</v>
      </c>
      <c r="O612" s="3" t="str">
        <f>CONCATENATE(A612,"-",B612)</f>
        <v>382-Kyogre</v>
      </c>
    </row>
    <row r="613" spans="1:15">
      <c r="A613" s="63">
        <v>383</v>
      </c>
      <c r="B613" s="2" t="s">
        <v>441</v>
      </c>
      <c r="C613" t="s">
        <v>55</v>
      </c>
      <c r="D613" s="22">
        <f>COUNTIF($C$2:$C$1168,Tabela1[[#This Row],[Type]])</f>
        <v>62</v>
      </c>
      <c r="E613" s="62" t="str">
        <f>IF(A613&lt;=151,"Kanto",IF(A613&lt;=251,"Johto",IF(A613&lt;=386,"Hoenn",IF(A613&lt;=493,"Sinnoh",IF(A613&lt;=649,"Unova",IF(A613&lt;=721,"Kalos",IF(A613&lt;=809,"Alola",IF(A613&lt;=905,"Galar","Paldea"))))))))</f>
        <v>Hoenn</v>
      </c>
      <c r="F613" t="str">
        <f>IF(G613&gt;=600,"Lendário",IF(G613&gt;=500,"Forte","Normal"))</f>
        <v>Lendário</v>
      </c>
      <c r="G613" s="3">
        <v>670</v>
      </c>
      <c r="H613" s="3">
        <v>100</v>
      </c>
      <c r="I613" s="3">
        <v>150</v>
      </c>
      <c r="J613" s="3">
        <v>140</v>
      </c>
      <c r="K613" s="3">
        <v>100</v>
      </c>
      <c r="L613" s="3">
        <v>90</v>
      </c>
      <c r="M613" s="3">
        <v>90</v>
      </c>
      <c r="N613" s="3">
        <f>AVERAGE($I$2:$I$1168)</f>
        <v>78.907455012853475</v>
      </c>
      <c r="O613" s="3" t="str">
        <f>CONCATENATE(A613,"-",B613)</f>
        <v>383-Groudon</v>
      </c>
    </row>
    <row r="614" spans="1:15">
      <c r="A614" s="63">
        <v>384</v>
      </c>
      <c r="B614" s="2" t="s">
        <v>442</v>
      </c>
      <c r="C614" t="s">
        <v>27</v>
      </c>
      <c r="D614" s="22">
        <f>COUNTIF($C$2:$C$1168,Tabela1[[#This Row],[Type]])</f>
        <v>44</v>
      </c>
      <c r="E614" s="62" t="str">
        <f>IF(A614&lt;=151,"Kanto",IF(A614&lt;=251,"Johto",IF(A614&lt;=386,"Hoenn",IF(A614&lt;=493,"Sinnoh",IF(A614&lt;=649,"Unova",IF(A614&lt;=721,"Kalos",IF(A614&lt;=809,"Alola",IF(A614&lt;=905,"Galar","Paldea"))))))))</f>
        <v>Hoenn</v>
      </c>
      <c r="F614" t="str">
        <f>IF(G614&gt;=600,"Lendário",IF(G614&gt;=500,"Forte","Normal"))</f>
        <v>Lendário</v>
      </c>
      <c r="G614" s="3">
        <v>680</v>
      </c>
      <c r="H614" s="3">
        <v>105</v>
      </c>
      <c r="I614" s="3">
        <v>150</v>
      </c>
      <c r="J614" s="3">
        <v>90</v>
      </c>
      <c r="K614" s="3">
        <v>150</v>
      </c>
      <c r="L614" s="3">
        <v>90</v>
      </c>
      <c r="M614" s="3">
        <v>95</v>
      </c>
      <c r="N614" s="3">
        <f>AVERAGE($I$2:$I$1168)</f>
        <v>78.907455012853475</v>
      </c>
      <c r="O614" s="3" t="str">
        <f>CONCATENATE(A614,"-",B614)</f>
        <v>384-Rayquaza</v>
      </c>
    </row>
    <row r="615" spans="1:15">
      <c r="A615" s="63">
        <v>384</v>
      </c>
      <c r="B615" s="2" t="str">
        <f>B614</f>
        <v>Rayquaza</v>
      </c>
      <c r="C615" t="s">
        <v>25</v>
      </c>
      <c r="D615" s="22">
        <f>COUNTIF($C$2:$C$1168,Tabela1[[#This Row],[Type]])</f>
        <v>100</v>
      </c>
      <c r="E615" s="62" t="str">
        <f>IF(A615&lt;=151,"Kanto",IF(A615&lt;=251,"Johto",IF(A615&lt;=386,"Hoenn",IF(A615&lt;=493,"Sinnoh",IF(A615&lt;=649,"Unova",IF(A615&lt;=721,"Kalos",IF(A615&lt;=809,"Alola",IF(A615&lt;=905,"Galar","Paldea"))))))))</f>
        <v>Hoenn</v>
      </c>
      <c r="F615" t="str">
        <f>IF(G615&gt;=600,"Lendário",IF(G615&gt;=500,"Forte","Normal"))</f>
        <v>Lendário</v>
      </c>
      <c r="G615" s="3">
        <f>G614</f>
        <v>680</v>
      </c>
      <c r="H615" s="3">
        <f>H614</f>
        <v>105</v>
      </c>
      <c r="I615" s="3">
        <f>I614</f>
        <v>150</v>
      </c>
      <c r="J615" s="3">
        <f>J614</f>
        <v>90</v>
      </c>
      <c r="K615" s="3">
        <f>K614</f>
        <v>150</v>
      </c>
      <c r="L615" s="3">
        <f>L614</f>
        <v>90</v>
      </c>
      <c r="M615" s="3">
        <f>M614</f>
        <v>95</v>
      </c>
      <c r="N615" s="3">
        <f>AVERAGE($I$2:$I$1168)</f>
        <v>78.907455012853475</v>
      </c>
      <c r="O615" s="3" t="str">
        <f>CONCATENATE(A615,"-",B615)</f>
        <v>384-Rayquaza</v>
      </c>
    </row>
    <row r="616" spans="1:15">
      <c r="A616" s="63">
        <v>385</v>
      </c>
      <c r="B616" s="2" t="s">
        <v>443</v>
      </c>
      <c r="C616" t="s">
        <v>115</v>
      </c>
      <c r="D616" s="22">
        <f>COUNTIF($C$2:$C$1168,Tabela1[[#This Row],[Type]])</f>
        <v>48</v>
      </c>
      <c r="E616" s="62" t="str">
        <f>IF(A616&lt;=151,"Kanto",IF(A616&lt;=251,"Johto",IF(A616&lt;=386,"Hoenn",IF(A616&lt;=493,"Sinnoh",IF(A616&lt;=649,"Unova",IF(A616&lt;=721,"Kalos",IF(A616&lt;=809,"Alola",IF(A616&lt;=905,"Galar","Paldea"))))))))</f>
        <v>Hoenn</v>
      </c>
      <c r="F616" t="str">
        <f>IF(G616&gt;=600,"Lendário",IF(G616&gt;=500,"Forte","Normal"))</f>
        <v>Lendário</v>
      </c>
      <c r="G616" s="3">
        <v>600</v>
      </c>
      <c r="H616" s="3">
        <v>100</v>
      </c>
      <c r="I616" s="3">
        <v>100</v>
      </c>
      <c r="J616" s="3">
        <v>100</v>
      </c>
      <c r="K616" s="3">
        <v>100</v>
      </c>
      <c r="L616" s="3">
        <v>100</v>
      </c>
      <c r="M616" s="3">
        <v>100</v>
      </c>
      <c r="N616" s="3">
        <f>AVERAGE($I$2:$I$1168)</f>
        <v>78.907455012853475</v>
      </c>
      <c r="O616" s="3" t="str">
        <f>CONCATENATE(A616,"-",B616)</f>
        <v>385-Jirachi</v>
      </c>
    </row>
    <row r="617" spans="1:15">
      <c r="A617" s="63">
        <v>385</v>
      </c>
      <c r="B617" s="2" t="str">
        <f>B616</f>
        <v>Jirachi</v>
      </c>
      <c r="C617" t="s">
        <v>94</v>
      </c>
      <c r="D617" s="22">
        <f>COUNTIF($C$2:$C$1168,Tabela1[[#This Row],[Type]])</f>
        <v>83</v>
      </c>
      <c r="E617" s="62" t="str">
        <f>IF(A617&lt;=151,"Kanto",IF(A617&lt;=251,"Johto",IF(A617&lt;=386,"Hoenn",IF(A617&lt;=493,"Sinnoh",IF(A617&lt;=649,"Unova",IF(A617&lt;=721,"Kalos",IF(A617&lt;=809,"Alola",IF(A617&lt;=905,"Galar","Paldea"))))))))</f>
        <v>Hoenn</v>
      </c>
      <c r="F617" t="str">
        <f>IF(G617&gt;=600,"Lendário",IF(G617&gt;=500,"Forte","Normal"))</f>
        <v>Lendário</v>
      </c>
      <c r="G617" s="3">
        <f>G616</f>
        <v>600</v>
      </c>
      <c r="H617" s="3">
        <f>H616</f>
        <v>100</v>
      </c>
      <c r="I617" s="3">
        <f>I616</f>
        <v>100</v>
      </c>
      <c r="J617" s="3">
        <f>J616</f>
        <v>100</v>
      </c>
      <c r="K617" s="3">
        <f>K616</f>
        <v>100</v>
      </c>
      <c r="L617" s="3">
        <f>L616</f>
        <v>100</v>
      </c>
      <c r="M617" s="3">
        <f>M616</f>
        <v>100</v>
      </c>
      <c r="N617" s="3">
        <f>AVERAGE($I$2:$I$1168)</f>
        <v>78.907455012853475</v>
      </c>
      <c r="O617" s="3" t="str">
        <f>CONCATENATE(A617,"-",B617)</f>
        <v>385-Jirachi</v>
      </c>
    </row>
    <row r="618" spans="1:15">
      <c r="A618" s="63">
        <v>386</v>
      </c>
      <c r="B618" s="2" t="s">
        <v>444</v>
      </c>
      <c r="C618" t="s">
        <v>94</v>
      </c>
      <c r="D618" s="22">
        <f>COUNTIF($C$2:$C$1168,Tabela1[[#This Row],[Type]])</f>
        <v>83</v>
      </c>
      <c r="E618" s="62" t="str">
        <f>IF(A618&lt;=151,"Kanto",IF(A618&lt;=251,"Johto",IF(A618&lt;=386,"Hoenn",IF(A618&lt;=493,"Sinnoh",IF(A618&lt;=649,"Unova",IF(A618&lt;=721,"Kalos",IF(A618&lt;=809,"Alola",IF(A618&lt;=905,"Galar","Paldea"))))))))</f>
        <v>Hoenn</v>
      </c>
      <c r="F618" t="str">
        <f>IF(G618&gt;=600,"Lendário",IF(G618&gt;=500,"Forte","Normal"))</f>
        <v>Lendário</v>
      </c>
      <c r="G618" s="3">
        <v>600</v>
      </c>
      <c r="H618" s="3">
        <v>50</v>
      </c>
      <c r="I618" s="3">
        <v>150</v>
      </c>
      <c r="J618" s="3">
        <v>50</v>
      </c>
      <c r="K618" s="3">
        <v>150</v>
      </c>
      <c r="L618" s="3">
        <v>50</v>
      </c>
      <c r="M618" s="3">
        <v>150</v>
      </c>
      <c r="N618" s="3">
        <f>AVERAGE($I$2:$I$1168)</f>
        <v>78.907455012853475</v>
      </c>
      <c r="O618" s="3" t="str">
        <f>CONCATENATE(A618,"-",B618)</f>
        <v>386-Deoxys- Normal Forme</v>
      </c>
    </row>
    <row r="619" spans="1:15">
      <c r="A619" s="63">
        <v>386.1</v>
      </c>
      <c r="B619" s="2" t="s">
        <v>445</v>
      </c>
      <c r="C619" t="s">
        <v>94</v>
      </c>
      <c r="D619" s="22">
        <f>COUNTIF($C$2:$C$1168,Tabela1[[#This Row],[Type]])</f>
        <v>83</v>
      </c>
      <c r="E619" s="62" t="str">
        <f>IF(A619&lt;=151,"Kanto",IF(A619&lt;=251,"Johto",IF(A619&lt;=386,"Hoenn",IF(A619&lt;=493,"Sinnoh",IF(A619&lt;=649,"Unova",IF(A619&lt;=721,"Kalos",IF(A619&lt;=809,"Alola",IF(A619&lt;=905,"Galar","Paldea"))))))))</f>
        <v>Sinnoh</v>
      </c>
      <c r="F619" t="str">
        <f>IF(G619&gt;=600,"Lendário",IF(G619&gt;=500,"Forte","Normal"))</f>
        <v>Lendário</v>
      </c>
      <c r="G619" s="3">
        <v>600</v>
      </c>
      <c r="H619" s="3">
        <v>50</v>
      </c>
      <c r="I619" s="3">
        <v>180</v>
      </c>
      <c r="J619" s="3">
        <v>20</v>
      </c>
      <c r="K619" s="3">
        <v>180</v>
      </c>
      <c r="L619" s="3">
        <v>20</v>
      </c>
      <c r="M619" s="3">
        <v>150</v>
      </c>
      <c r="N619" s="3">
        <f>AVERAGE($I$2:$I$1168)</f>
        <v>78.907455012853475</v>
      </c>
      <c r="O619" s="3" t="str">
        <f>CONCATENATE(A619,"-",B619)</f>
        <v>386,1-Deoxys- Attack Forme</v>
      </c>
    </row>
    <row r="620" spans="1:15">
      <c r="A620" s="63">
        <v>386.2</v>
      </c>
      <c r="B620" s="2" t="s">
        <v>446</v>
      </c>
      <c r="C620" t="s">
        <v>94</v>
      </c>
      <c r="D620" s="22">
        <f>COUNTIF($C$2:$C$1168,Tabela1[[#This Row],[Type]])</f>
        <v>83</v>
      </c>
      <c r="E620" s="62" t="str">
        <f>IF(A620&lt;=151,"Kanto",IF(A620&lt;=251,"Johto",IF(A620&lt;=386,"Hoenn",IF(A620&lt;=493,"Sinnoh",IF(A620&lt;=649,"Unova",IF(A620&lt;=721,"Kalos",IF(A620&lt;=809,"Alola",IF(A620&lt;=905,"Galar","Paldea"))))))))</f>
        <v>Sinnoh</v>
      </c>
      <c r="F620" t="str">
        <f>IF(G620&gt;=600,"Lendário",IF(G620&gt;=500,"Forte","Normal"))</f>
        <v>Lendário</v>
      </c>
      <c r="G620" s="3">
        <v>600</v>
      </c>
      <c r="H620" s="3">
        <v>50</v>
      </c>
      <c r="I620" s="3">
        <v>70</v>
      </c>
      <c r="J620" s="3">
        <v>160</v>
      </c>
      <c r="K620" s="3">
        <v>70</v>
      </c>
      <c r="L620" s="3">
        <v>160</v>
      </c>
      <c r="M620" s="3">
        <v>90</v>
      </c>
      <c r="N620" s="3">
        <f>AVERAGE($I$2:$I$1168)</f>
        <v>78.907455012853475</v>
      </c>
      <c r="O620" s="3" t="str">
        <f>CONCATENATE(A620,"-",B620)</f>
        <v>386,2-Deoxys- Defense Forme</v>
      </c>
    </row>
    <row r="621" spans="1:15">
      <c r="A621" s="63">
        <v>386.3</v>
      </c>
      <c r="B621" s="2" t="s">
        <v>447</v>
      </c>
      <c r="C621" t="s">
        <v>94</v>
      </c>
      <c r="D621" s="22">
        <f>COUNTIF($C$2:$C$1168,Tabela1[[#This Row],[Type]])</f>
        <v>83</v>
      </c>
      <c r="E621" s="62" t="str">
        <f>IF(A621&lt;=151,"Kanto",IF(A621&lt;=251,"Johto",IF(A621&lt;=386,"Hoenn",IF(A621&lt;=493,"Sinnoh",IF(A621&lt;=649,"Unova",IF(A621&lt;=721,"Kalos",IF(A621&lt;=809,"Alola",IF(A621&lt;=905,"Galar","Paldea"))))))))</f>
        <v>Sinnoh</v>
      </c>
      <c r="F621" t="str">
        <f>IF(G621&gt;=600,"Lendário",IF(G621&gt;=500,"Forte","Normal"))</f>
        <v>Lendário</v>
      </c>
      <c r="G621" s="3">
        <v>600</v>
      </c>
      <c r="H621" s="3">
        <v>50</v>
      </c>
      <c r="I621" s="3">
        <v>95</v>
      </c>
      <c r="J621" s="3">
        <v>90</v>
      </c>
      <c r="K621" s="3">
        <v>95</v>
      </c>
      <c r="L621" s="3">
        <v>90</v>
      </c>
      <c r="M621" s="3">
        <v>180</v>
      </c>
      <c r="N621" s="3">
        <f>AVERAGE($I$2:$I$1168)</f>
        <v>78.907455012853475</v>
      </c>
      <c r="O621" s="3" t="str">
        <f>CONCATENATE(A621,"-",B621)</f>
        <v>386,3-Deoxys- Speed Forme</v>
      </c>
    </row>
    <row r="622" spans="1:15">
      <c r="A622" s="63">
        <v>387</v>
      </c>
      <c r="B622" s="2" t="s">
        <v>448</v>
      </c>
      <c r="C622" t="s">
        <v>16</v>
      </c>
      <c r="D622" s="22">
        <f>COUNTIF($C$2:$C$1168,Tabela1[[#This Row],[Type]])</f>
        <v>93</v>
      </c>
      <c r="E622" s="62" t="str">
        <f>IF(A622&lt;=151,"Kanto",IF(A622&lt;=251,"Johto",IF(A622&lt;=386,"Hoenn",IF(A622&lt;=493,"Sinnoh",IF(A622&lt;=649,"Unova",IF(A622&lt;=721,"Kalos",IF(A622&lt;=809,"Alola",IF(A622&lt;=905,"Galar","Paldea"))))))))</f>
        <v>Sinnoh</v>
      </c>
      <c r="F622" t="str">
        <f>IF(G622&gt;=600,"Lendário",IF(G622&gt;=500,"Forte","Normal"))</f>
        <v>Normal</v>
      </c>
      <c r="G622" s="3">
        <v>318</v>
      </c>
      <c r="H622" s="3">
        <v>55</v>
      </c>
      <c r="I622" s="3">
        <v>68</v>
      </c>
      <c r="J622" s="3">
        <v>64</v>
      </c>
      <c r="K622" s="3">
        <v>45</v>
      </c>
      <c r="L622" s="3">
        <v>55</v>
      </c>
      <c r="M622" s="3">
        <v>31</v>
      </c>
      <c r="N622" s="3">
        <f>AVERAGE($I$2:$I$1168)</f>
        <v>78.907455012853475</v>
      </c>
      <c r="O622" s="3" t="str">
        <f>CONCATENATE(A622,"-",B622)</f>
        <v>387-Turtwig</v>
      </c>
    </row>
    <row r="623" spans="1:15">
      <c r="A623" s="63">
        <v>388</v>
      </c>
      <c r="B623" s="2" t="s">
        <v>449</v>
      </c>
      <c r="C623" t="s">
        <v>16</v>
      </c>
      <c r="D623" s="22">
        <f>COUNTIF($C$2:$C$1168,Tabela1[[#This Row],[Type]])</f>
        <v>93</v>
      </c>
      <c r="E623" s="62" t="str">
        <f>IF(A623&lt;=151,"Kanto",IF(A623&lt;=251,"Johto",IF(A623&lt;=386,"Hoenn",IF(A623&lt;=493,"Sinnoh",IF(A623&lt;=649,"Unova",IF(A623&lt;=721,"Kalos",IF(A623&lt;=809,"Alola",IF(A623&lt;=905,"Galar","Paldea"))))))))</f>
        <v>Sinnoh</v>
      </c>
      <c r="F623" t="str">
        <f>IF(G623&gt;=600,"Lendário",IF(G623&gt;=500,"Forte","Normal"))</f>
        <v>Normal</v>
      </c>
      <c r="G623" s="3">
        <v>405</v>
      </c>
      <c r="H623" s="3">
        <v>75</v>
      </c>
      <c r="I623" s="3">
        <v>89</v>
      </c>
      <c r="J623" s="3">
        <v>85</v>
      </c>
      <c r="K623" s="3">
        <v>55</v>
      </c>
      <c r="L623" s="3">
        <v>65</v>
      </c>
      <c r="M623" s="3">
        <v>36</v>
      </c>
      <c r="N623" s="3">
        <f>AVERAGE($I$2:$I$1168)</f>
        <v>78.907455012853475</v>
      </c>
      <c r="O623" s="3" t="str">
        <f>CONCATENATE(A623,"-",B623)</f>
        <v>388-Grotle</v>
      </c>
    </row>
    <row r="624" spans="1:15">
      <c r="A624" s="63">
        <v>389</v>
      </c>
      <c r="B624" s="2" t="s">
        <v>450</v>
      </c>
      <c r="C624" t="s">
        <v>16</v>
      </c>
      <c r="D624" s="22">
        <f>COUNTIF($C$2:$C$1168,Tabela1[[#This Row],[Type]])</f>
        <v>93</v>
      </c>
      <c r="E624" s="62" t="str">
        <f>IF(A624&lt;=151,"Kanto",IF(A624&lt;=251,"Johto",IF(A624&lt;=386,"Hoenn",IF(A624&lt;=493,"Sinnoh",IF(A624&lt;=649,"Unova",IF(A624&lt;=721,"Kalos",IF(A624&lt;=809,"Alola",IF(A624&lt;=905,"Galar","Paldea"))))))))</f>
        <v>Sinnoh</v>
      </c>
      <c r="F624" t="str">
        <f>IF(G624&gt;=600,"Lendário",IF(G624&gt;=500,"Forte","Normal"))</f>
        <v>Forte</v>
      </c>
      <c r="G624" s="3">
        <v>525</v>
      </c>
      <c r="H624" s="3">
        <v>95</v>
      </c>
      <c r="I624" s="3">
        <v>109</v>
      </c>
      <c r="J624" s="3">
        <v>105</v>
      </c>
      <c r="K624" s="3">
        <v>75</v>
      </c>
      <c r="L624" s="3">
        <v>85</v>
      </c>
      <c r="M624" s="3">
        <v>56</v>
      </c>
      <c r="N624" s="3">
        <f>AVERAGE($I$2:$I$1168)</f>
        <v>78.907455012853475</v>
      </c>
      <c r="O624" s="3" t="str">
        <f>CONCATENATE(A624,"-",B624)</f>
        <v>389-Torterra</v>
      </c>
    </row>
    <row r="625" spans="1:15">
      <c r="A625" s="63">
        <v>389</v>
      </c>
      <c r="B625" s="2" t="str">
        <f>B624</f>
        <v>Torterra</v>
      </c>
      <c r="C625" t="s">
        <v>55</v>
      </c>
      <c r="D625" s="22">
        <f>COUNTIF($C$2:$C$1168,Tabela1[[#This Row],[Type]])</f>
        <v>62</v>
      </c>
      <c r="E625" s="62" t="str">
        <f>IF(A625&lt;=151,"Kanto",IF(A625&lt;=251,"Johto",IF(A625&lt;=386,"Hoenn",IF(A625&lt;=493,"Sinnoh",IF(A625&lt;=649,"Unova",IF(A625&lt;=721,"Kalos",IF(A625&lt;=809,"Alola",IF(A625&lt;=905,"Galar","Paldea"))))))))</f>
        <v>Sinnoh</v>
      </c>
      <c r="F625" t="str">
        <f>IF(G625&gt;=600,"Lendário",IF(G625&gt;=500,"Forte","Normal"))</f>
        <v>Forte</v>
      </c>
      <c r="G625" s="3">
        <f>G624</f>
        <v>525</v>
      </c>
      <c r="H625" s="3">
        <f>H624</f>
        <v>95</v>
      </c>
      <c r="I625" s="3">
        <f>I624</f>
        <v>109</v>
      </c>
      <c r="J625" s="3">
        <f>J624</f>
        <v>105</v>
      </c>
      <c r="K625" s="3">
        <f>K624</f>
        <v>75</v>
      </c>
      <c r="L625" s="3">
        <f>L624</f>
        <v>85</v>
      </c>
      <c r="M625" s="3">
        <f>M624</f>
        <v>56</v>
      </c>
      <c r="N625" s="3">
        <f>AVERAGE($I$2:$I$1168)</f>
        <v>78.907455012853475</v>
      </c>
      <c r="O625" s="3" t="str">
        <f>CONCATENATE(A625,"-",B625)</f>
        <v>389-Torterra</v>
      </c>
    </row>
    <row r="626" spans="1:15">
      <c r="A626" s="63">
        <v>390</v>
      </c>
      <c r="B626" s="2" t="s">
        <v>451</v>
      </c>
      <c r="C626" t="s">
        <v>22</v>
      </c>
      <c r="D626" s="22">
        <f>COUNTIF($C$2:$C$1168,Tabela1[[#This Row],[Type]])</f>
        <v>62</v>
      </c>
      <c r="E626" s="62" t="str">
        <f>IF(A626&lt;=151,"Kanto",IF(A626&lt;=251,"Johto",IF(A626&lt;=386,"Hoenn",IF(A626&lt;=493,"Sinnoh",IF(A626&lt;=649,"Unova",IF(A626&lt;=721,"Kalos",IF(A626&lt;=809,"Alola",IF(A626&lt;=905,"Galar","Paldea"))))))))</f>
        <v>Sinnoh</v>
      </c>
      <c r="F626" t="str">
        <f>IF(G626&gt;=600,"Lendário",IF(G626&gt;=500,"Forte","Normal"))</f>
        <v>Normal</v>
      </c>
      <c r="G626" s="3">
        <v>309</v>
      </c>
      <c r="H626" s="3">
        <v>44</v>
      </c>
      <c r="I626" s="3">
        <v>58</v>
      </c>
      <c r="J626" s="3">
        <v>44</v>
      </c>
      <c r="K626" s="3">
        <v>58</v>
      </c>
      <c r="L626" s="3">
        <v>44</v>
      </c>
      <c r="M626" s="3">
        <v>61</v>
      </c>
      <c r="N626" s="3">
        <f>AVERAGE($I$2:$I$1168)</f>
        <v>78.907455012853475</v>
      </c>
      <c r="O626" s="3" t="str">
        <f>CONCATENATE(A626,"-",B626)</f>
        <v>390-Chimchar</v>
      </c>
    </row>
    <row r="627" spans="1:15">
      <c r="A627" s="63">
        <v>391</v>
      </c>
      <c r="B627" s="2" t="s">
        <v>452</v>
      </c>
      <c r="C627" t="s">
        <v>22</v>
      </c>
      <c r="D627" s="22">
        <f>COUNTIF($C$2:$C$1168,Tabela1[[#This Row],[Type]])</f>
        <v>62</v>
      </c>
      <c r="E627" s="62" t="str">
        <f>IF(A627&lt;=151,"Kanto",IF(A627&lt;=251,"Johto",IF(A627&lt;=386,"Hoenn",IF(A627&lt;=493,"Sinnoh",IF(A627&lt;=649,"Unova",IF(A627&lt;=721,"Kalos",IF(A627&lt;=809,"Alola",IF(A627&lt;=905,"Galar","Paldea"))))))))</f>
        <v>Sinnoh</v>
      </c>
      <c r="F627" t="str">
        <f>IF(G627&gt;=600,"Lendário",IF(G627&gt;=500,"Forte","Normal"))</f>
        <v>Normal</v>
      </c>
      <c r="G627" s="3">
        <v>405</v>
      </c>
      <c r="H627" s="3">
        <v>64</v>
      </c>
      <c r="I627" s="3">
        <v>78</v>
      </c>
      <c r="J627" s="3">
        <v>52</v>
      </c>
      <c r="K627" s="3">
        <v>78</v>
      </c>
      <c r="L627" s="3">
        <v>52</v>
      </c>
      <c r="M627" s="3">
        <v>81</v>
      </c>
      <c r="N627" s="3">
        <f>AVERAGE($I$2:$I$1168)</f>
        <v>78.907455012853475</v>
      </c>
      <c r="O627" s="3" t="str">
        <f>CONCATENATE(A627,"-",B627)</f>
        <v>391-Monferno</v>
      </c>
    </row>
    <row r="628" spans="1:15">
      <c r="A628" s="63">
        <v>391</v>
      </c>
      <c r="B628" s="2" t="str">
        <f>B627</f>
        <v>Monferno</v>
      </c>
      <c r="C628" t="s">
        <v>86</v>
      </c>
      <c r="D628" s="22">
        <f>COUNTIF($C$2:$C$1168,Tabela1[[#This Row],[Type]])</f>
        <v>51</v>
      </c>
      <c r="E628" s="62" t="str">
        <f>IF(A628&lt;=151,"Kanto",IF(A628&lt;=251,"Johto",IF(A628&lt;=386,"Hoenn",IF(A628&lt;=493,"Sinnoh",IF(A628&lt;=649,"Unova",IF(A628&lt;=721,"Kalos",IF(A628&lt;=809,"Alola",IF(A628&lt;=905,"Galar","Paldea"))))))))</f>
        <v>Sinnoh</v>
      </c>
      <c r="F628" t="str">
        <f>IF(G628&gt;=600,"Lendário",IF(G628&gt;=500,"Forte","Normal"))</f>
        <v>Normal</v>
      </c>
      <c r="G628" s="3">
        <f>G627</f>
        <v>405</v>
      </c>
      <c r="H628" s="3">
        <f>H627</f>
        <v>64</v>
      </c>
      <c r="I628" s="3">
        <f>I627</f>
        <v>78</v>
      </c>
      <c r="J628" s="3">
        <f>J627</f>
        <v>52</v>
      </c>
      <c r="K628" s="3">
        <f>K627</f>
        <v>78</v>
      </c>
      <c r="L628" s="3">
        <f>L627</f>
        <v>52</v>
      </c>
      <c r="M628" s="3">
        <f>M627</f>
        <v>81</v>
      </c>
      <c r="N628" s="3">
        <f>AVERAGE($I$2:$I$1168)</f>
        <v>78.907455012853475</v>
      </c>
      <c r="O628" s="3" t="str">
        <f>CONCATENATE(A628,"-",B628)</f>
        <v>391-Monferno</v>
      </c>
    </row>
    <row r="629" spans="1:15">
      <c r="A629" s="63">
        <v>392</v>
      </c>
      <c r="B629" s="2" t="s">
        <v>453</v>
      </c>
      <c r="C629" t="s">
        <v>22</v>
      </c>
      <c r="D629" s="22">
        <f>COUNTIF($C$2:$C$1168,Tabela1[[#This Row],[Type]])</f>
        <v>62</v>
      </c>
      <c r="E629" s="62" t="str">
        <f>IF(A629&lt;=151,"Kanto",IF(A629&lt;=251,"Johto",IF(A629&lt;=386,"Hoenn",IF(A629&lt;=493,"Sinnoh",IF(A629&lt;=649,"Unova",IF(A629&lt;=721,"Kalos",IF(A629&lt;=809,"Alola",IF(A629&lt;=905,"Galar","Paldea"))))))))</f>
        <v>Sinnoh</v>
      </c>
      <c r="F629" t="str">
        <f>IF(G629&gt;=600,"Lendário",IF(G629&gt;=500,"Forte","Normal"))</f>
        <v>Forte</v>
      </c>
      <c r="G629" s="3">
        <v>534</v>
      </c>
      <c r="H629" s="3">
        <v>76</v>
      </c>
      <c r="I629" s="3">
        <v>104</v>
      </c>
      <c r="J629" s="3">
        <v>71</v>
      </c>
      <c r="K629" s="3">
        <v>104</v>
      </c>
      <c r="L629" s="3">
        <v>71</v>
      </c>
      <c r="M629" s="3">
        <v>108</v>
      </c>
      <c r="N629" s="3">
        <f>AVERAGE($I$2:$I$1168)</f>
        <v>78.907455012853475</v>
      </c>
      <c r="O629" s="3" t="str">
        <f>CONCATENATE(A629,"-",B629)</f>
        <v>392-Infernape</v>
      </c>
    </row>
    <row r="630" spans="1:15">
      <c r="A630" s="63">
        <v>392</v>
      </c>
      <c r="B630" s="2" t="str">
        <f>B629</f>
        <v>Infernape</v>
      </c>
      <c r="C630" t="s">
        <v>86</v>
      </c>
      <c r="D630" s="22">
        <f>COUNTIF($C$2:$C$1168,Tabela1[[#This Row],[Type]])</f>
        <v>51</v>
      </c>
      <c r="E630" s="62" t="str">
        <f>IF(A630&lt;=151,"Kanto",IF(A630&lt;=251,"Johto",IF(A630&lt;=386,"Hoenn",IF(A630&lt;=493,"Sinnoh",IF(A630&lt;=649,"Unova",IF(A630&lt;=721,"Kalos",IF(A630&lt;=809,"Alola",IF(A630&lt;=905,"Galar","Paldea"))))))))</f>
        <v>Sinnoh</v>
      </c>
      <c r="F630" t="str">
        <f>IF(G630&gt;=600,"Lendário",IF(G630&gt;=500,"Forte","Normal"))</f>
        <v>Forte</v>
      </c>
      <c r="G630" s="3">
        <f>G629</f>
        <v>534</v>
      </c>
      <c r="H630" s="3">
        <f>H629</f>
        <v>76</v>
      </c>
      <c r="I630" s="3">
        <f>I629</f>
        <v>104</v>
      </c>
      <c r="J630" s="3">
        <f>J629</f>
        <v>71</v>
      </c>
      <c r="K630" s="3">
        <f>K629</f>
        <v>104</v>
      </c>
      <c r="L630" s="3">
        <f>L629</f>
        <v>71</v>
      </c>
      <c r="M630" s="3">
        <f>M629</f>
        <v>108</v>
      </c>
      <c r="N630" s="3">
        <f>AVERAGE($I$2:$I$1168)</f>
        <v>78.907455012853475</v>
      </c>
      <c r="O630" s="3" t="str">
        <f>CONCATENATE(A630,"-",B630)</f>
        <v>392-Infernape</v>
      </c>
    </row>
    <row r="631" spans="1:15">
      <c r="A631" s="63">
        <v>393</v>
      </c>
      <c r="B631" s="2" t="s">
        <v>454</v>
      </c>
      <c r="C631" t="s">
        <v>30</v>
      </c>
      <c r="D631" s="22">
        <f>COUNTIF($C$2:$C$1168,Tabela1[[#This Row],[Type]])</f>
        <v>121</v>
      </c>
      <c r="E631" s="62" t="str">
        <f>IF(A631&lt;=151,"Kanto",IF(A631&lt;=251,"Johto",IF(A631&lt;=386,"Hoenn",IF(A631&lt;=493,"Sinnoh",IF(A631&lt;=649,"Unova",IF(A631&lt;=721,"Kalos",IF(A631&lt;=809,"Alola",IF(A631&lt;=905,"Galar","Paldea"))))))))</f>
        <v>Sinnoh</v>
      </c>
      <c r="F631" t="str">
        <f>IF(G631&gt;=600,"Lendário",IF(G631&gt;=500,"Forte","Normal"))</f>
        <v>Normal</v>
      </c>
      <c r="G631" s="3">
        <v>314</v>
      </c>
      <c r="H631" s="3">
        <v>53</v>
      </c>
      <c r="I631" s="3">
        <v>51</v>
      </c>
      <c r="J631" s="3">
        <v>53</v>
      </c>
      <c r="K631" s="3">
        <v>61</v>
      </c>
      <c r="L631" s="3">
        <v>56</v>
      </c>
      <c r="M631" s="3">
        <v>40</v>
      </c>
      <c r="N631" s="3">
        <f>AVERAGE($I$2:$I$1168)</f>
        <v>78.907455012853475</v>
      </c>
      <c r="O631" s="3" t="str">
        <f>CONCATENATE(A631,"-",B631)</f>
        <v>393-Piplup</v>
      </c>
    </row>
    <row r="632" spans="1:15">
      <c r="A632" s="63">
        <v>394</v>
      </c>
      <c r="B632" s="2" t="s">
        <v>455</v>
      </c>
      <c r="C632" t="s">
        <v>30</v>
      </c>
      <c r="D632" s="22">
        <f>COUNTIF($C$2:$C$1168,Tabela1[[#This Row],[Type]])</f>
        <v>121</v>
      </c>
      <c r="E632" s="62" t="str">
        <f>IF(A632&lt;=151,"Kanto",IF(A632&lt;=251,"Johto",IF(A632&lt;=386,"Hoenn",IF(A632&lt;=493,"Sinnoh",IF(A632&lt;=649,"Unova",IF(A632&lt;=721,"Kalos",IF(A632&lt;=809,"Alola",IF(A632&lt;=905,"Galar","Paldea"))))))))</f>
        <v>Sinnoh</v>
      </c>
      <c r="F632" t="str">
        <f>IF(G632&gt;=600,"Lendário",IF(G632&gt;=500,"Forte","Normal"))</f>
        <v>Normal</v>
      </c>
      <c r="G632" s="3">
        <v>405</v>
      </c>
      <c r="H632" s="3">
        <v>64</v>
      </c>
      <c r="I632" s="3">
        <v>66</v>
      </c>
      <c r="J632" s="3">
        <v>68</v>
      </c>
      <c r="K632" s="3">
        <v>81</v>
      </c>
      <c r="L632" s="3">
        <v>76</v>
      </c>
      <c r="M632" s="3">
        <v>50</v>
      </c>
      <c r="N632" s="3">
        <f>AVERAGE($I$2:$I$1168)</f>
        <v>78.907455012853475</v>
      </c>
      <c r="O632" s="3" t="str">
        <f>CONCATENATE(A632,"-",B632)</f>
        <v>394-Prinplup</v>
      </c>
    </row>
    <row r="633" spans="1:15">
      <c r="A633" s="63">
        <v>395</v>
      </c>
      <c r="B633" s="2" t="s">
        <v>456</v>
      </c>
      <c r="C633" t="s">
        <v>30</v>
      </c>
      <c r="D633" s="22">
        <f>COUNTIF($C$2:$C$1168,Tabela1[[#This Row],[Type]])</f>
        <v>121</v>
      </c>
      <c r="E633" s="62" t="str">
        <f>IF(A633&lt;=151,"Kanto",IF(A633&lt;=251,"Johto",IF(A633&lt;=386,"Hoenn",IF(A633&lt;=493,"Sinnoh",IF(A633&lt;=649,"Unova",IF(A633&lt;=721,"Kalos",IF(A633&lt;=809,"Alola",IF(A633&lt;=905,"Galar","Paldea"))))))))</f>
        <v>Sinnoh</v>
      </c>
      <c r="F633" t="str">
        <f>IF(G633&gt;=600,"Lendário",IF(G633&gt;=500,"Forte","Normal"))</f>
        <v>Forte</v>
      </c>
      <c r="G633" s="3">
        <v>530</v>
      </c>
      <c r="H633" s="3">
        <v>84</v>
      </c>
      <c r="I633" s="3">
        <v>86</v>
      </c>
      <c r="J633" s="3">
        <v>88</v>
      </c>
      <c r="K633" s="3">
        <v>111</v>
      </c>
      <c r="L633" s="3">
        <v>101</v>
      </c>
      <c r="M633" s="3">
        <v>60</v>
      </c>
      <c r="N633" s="3">
        <f>AVERAGE($I$2:$I$1168)</f>
        <v>78.907455012853475</v>
      </c>
      <c r="O633" s="3" t="str">
        <f>CONCATENATE(A633,"-",B633)</f>
        <v>395-Empoleon</v>
      </c>
    </row>
    <row r="634" spans="1:15">
      <c r="A634" s="63">
        <v>395</v>
      </c>
      <c r="B634" s="2" t="str">
        <f>B633</f>
        <v>Empoleon</v>
      </c>
      <c r="C634" t="s">
        <v>115</v>
      </c>
      <c r="D634" s="22">
        <f>COUNTIF($C$2:$C$1168,Tabela1[[#This Row],[Type]])</f>
        <v>48</v>
      </c>
      <c r="E634" s="62" t="str">
        <f>IF(A634&lt;=151,"Kanto",IF(A634&lt;=251,"Johto",IF(A634&lt;=386,"Hoenn",IF(A634&lt;=493,"Sinnoh",IF(A634&lt;=649,"Unova",IF(A634&lt;=721,"Kalos",IF(A634&lt;=809,"Alola",IF(A634&lt;=905,"Galar","Paldea"))))))))</f>
        <v>Sinnoh</v>
      </c>
      <c r="F634" t="str">
        <f>IF(G634&gt;=600,"Lendário",IF(G634&gt;=500,"Forte","Normal"))</f>
        <v>Forte</v>
      </c>
      <c r="G634" s="3">
        <f>G633</f>
        <v>530</v>
      </c>
      <c r="H634" s="3">
        <f>H633</f>
        <v>84</v>
      </c>
      <c r="I634" s="3">
        <f>I633</f>
        <v>86</v>
      </c>
      <c r="J634" s="3">
        <f>J633</f>
        <v>88</v>
      </c>
      <c r="K634" s="3">
        <f>K633</f>
        <v>111</v>
      </c>
      <c r="L634" s="3">
        <f>L633</f>
        <v>101</v>
      </c>
      <c r="M634" s="3">
        <f>M633</f>
        <v>60</v>
      </c>
      <c r="N634" s="3">
        <f>AVERAGE($I$2:$I$1168)</f>
        <v>78.907455012853475</v>
      </c>
      <c r="O634" s="3" t="str">
        <f>CONCATENATE(A634,"-",B634)</f>
        <v>395-Empoleon</v>
      </c>
    </row>
    <row r="635" spans="1:15">
      <c r="A635" s="63">
        <v>395</v>
      </c>
      <c r="B635" s="2" t="str">
        <f>B634</f>
        <v>Empoleon</v>
      </c>
      <c r="C635" t="s">
        <v>64</v>
      </c>
      <c r="D635" s="22">
        <f>COUNTIF($C$2:$C$1168,Tabela1[[#This Row],[Type]])</f>
        <v>34</v>
      </c>
      <c r="E635" s="62" t="str">
        <f>IF(A635&lt;=151,"Kanto",IF(A635&lt;=251,"Johto",IF(A635&lt;=386,"Hoenn",IF(A635&lt;=493,"Sinnoh",IF(A635&lt;=649,"Unova",IF(A635&lt;=721,"Kalos",IF(A635&lt;=809,"Alola",IF(A635&lt;=905,"Galar","Paldea"))))))))</f>
        <v>Sinnoh</v>
      </c>
      <c r="F635" t="str">
        <f>IF(G635&gt;=600,"Lendário",IF(G635&gt;=500,"Forte","Normal"))</f>
        <v>Forte</v>
      </c>
      <c r="G635" s="3">
        <f>G634</f>
        <v>530</v>
      </c>
      <c r="H635" s="3">
        <f>H634</f>
        <v>84</v>
      </c>
      <c r="I635" s="3">
        <f>I634</f>
        <v>86</v>
      </c>
      <c r="J635" s="3">
        <f>J634</f>
        <v>88</v>
      </c>
      <c r="K635" s="3">
        <f>K634</f>
        <v>111</v>
      </c>
      <c r="L635" s="3">
        <f>L634</f>
        <v>101</v>
      </c>
      <c r="M635" s="3">
        <f>M634</f>
        <v>60</v>
      </c>
      <c r="N635" s="3">
        <f>AVERAGE($I$2:$I$1168)</f>
        <v>78.907455012853475</v>
      </c>
      <c r="O635" s="3" t="str">
        <f>CONCATENATE(A635,"-",B635)</f>
        <v>395-Empoleon</v>
      </c>
    </row>
    <row r="636" spans="1:15">
      <c r="A636" s="63">
        <v>395</v>
      </c>
      <c r="B636" s="2" t="str">
        <f>B635</f>
        <v>Empoleon</v>
      </c>
      <c r="C636" t="s">
        <v>25</v>
      </c>
      <c r="D636" s="22">
        <f>COUNTIF($C$2:$C$1168,Tabela1[[#This Row],[Type]])</f>
        <v>100</v>
      </c>
      <c r="E636" s="62" t="str">
        <f>IF(A636&lt;=151,"Kanto",IF(A636&lt;=251,"Johto",IF(A636&lt;=386,"Hoenn",IF(A636&lt;=493,"Sinnoh",IF(A636&lt;=649,"Unova",IF(A636&lt;=721,"Kalos",IF(A636&lt;=809,"Alola",IF(A636&lt;=905,"Galar","Paldea"))))))))</f>
        <v>Sinnoh</v>
      </c>
      <c r="F636" t="str">
        <f>IF(G636&gt;=600,"Lendário",IF(G636&gt;=500,"Forte","Normal"))</f>
        <v>Forte</v>
      </c>
      <c r="G636" s="3">
        <f>G635</f>
        <v>530</v>
      </c>
      <c r="H636" s="3">
        <f>H635</f>
        <v>84</v>
      </c>
      <c r="I636" s="3">
        <f>I635</f>
        <v>86</v>
      </c>
      <c r="J636" s="3">
        <f>J635</f>
        <v>88</v>
      </c>
      <c r="K636" s="3">
        <f>K635</f>
        <v>111</v>
      </c>
      <c r="L636" s="3">
        <f>L635</f>
        <v>101</v>
      </c>
      <c r="M636" s="3">
        <f>M635</f>
        <v>60</v>
      </c>
      <c r="N636" s="3">
        <f>AVERAGE($I$2:$I$1168)</f>
        <v>78.907455012853475</v>
      </c>
      <c r="O636" s="3" t="str">
        <f>CONCATENATE(A636,"-",B636)</f>
        <v>395-Empoleon</v>
      </c>
    </row>
    <row r="637" spans="1:15">
      <c r="A637" s="63">
        <v>396</v>
      </c>
      <c r="B637" s="2" t="s">
        <v>457</v>
      </c>
      <c r="C637" t="s">
        <v>42</v>
      </c>
      <c r="D637" s="22">
        <f>COUNTIF($C$2:$C$1168,Tabela1[[#This Row],[Type]])</f>
        <v>99</v>
      </c>
      <c r="E637" s="62" t="str">
        <f>IF(A637&lt;=151,"Kanto",IF(A637&lt;=251,"Johto",IF(A637&lt;=386,"Hoenn",IF(A637&lt;=493,"Sinnoh",IF(A637&lt;=649,"Unova",IF(A637&lt;=721,"Kalos",IF(A637&lt;=809,"Alola",IF(A637&lt;=905,"Galar","Paldea"))))))))</f>
        <v>Sinnoh</v>
      </c>
      <c r="F637" t="str">
        <f>IF(G637&gt;=600,"Lendário",IF(G637&gt;=500,"Forte","Normal"))</f>
        <v>Normal</v>
      </c>
      <c r="G637" s="3">
        <v>245</v>
      </c>
      <c r="H637" s="3">
        <v>40</v>
      </c>
      <c r="I637" s="3">
        <v>55</v>
      </c>
      <c r="J637" s="3">
        <v>30</v>
      </c>
      <c r="K637" s="3">
        <v>30</v>
      </c>
      <c r="L637" s="3">
        <v>30</v>
      </c>
      <c r="M637" s="3">
        <v>60</v>
      </c>
      <c r="N637" s="3">
        <f>AVERAGE($I$2:$I$1168)</f>
        <v>78.907455012853475</v>
      </c>
      <c r="O637" s="3" t="str">
        <f>CONCATENATE(A637,"-",B637)</f>
        <v>396-Starly</v>
      </c>
    </row>
    <row r="638" spans="1:15">
      <c r="A638" s="63">
        <v>396</v>
      </c>
      <c r="B638" s="2" t="str">
        <f>B637</f>
        <v>Starly</v>
      </c>
      <c r="C638" t="s">
        <v>25</v>
      </c>
      <c r="D638" s="22">
        <f>COUNTIF($C$2:$C$1168,Tabela1[[#This Row],[Type]])</f>
        <v>100</v>
      </c>
      <c r="E638" s="62" t="str">
        <f>IF(A638&lt;=151,"Kanto",IF(A638&lt;=251,"Johto",IF(A638&lt;=386,"Hoenn",IF(A638&lt;=493,"Sinnoh",IF(A638&lt;=649,"Unova",IF(A638&lt;=721,"Kalos",IF(A638&lt;=809,"Alola",IF(A638&lt;=905,"Galar","Paldea"))))))))</f>
        <v>Sinnoh</v>
      </c>
      <c r="F638" t="str">
        <f>IF(G638&gt;=600,"Lendário",IF(G638&gt;=500,"Forte","Normal"))</f>
        <v>Normal</v>
      </c>
      <c r="G638" s="3">
        <f>G637</f>
        <v>245</v>
      </c>
      <c r="H638" s="3">
        <f>H637</f>
        <v>40</v>
      </c>
      <c r="I638" s="3">
        <f>I637</f>
        <v>55</v>
      </c>
      <c r="J638" s="3">
        <f>J637</f>
        <v>30</v>
      </c>
      <c r="K638" s="3">
        <f>K637</f>
        <v>30</v>
      </c>
      <c r="L638" s="3">
        <f>L637</f>
        <v>30</v>
      </c>
      <c r="M638" s="3">
        <f>M637</f>
        <v>60</v>
      </c>
      <c r="N638" s="3">
        <f>AVERAGE($I$2:$I$1168)</f>
        <v>78.907455012853475</v>
      </c>
      <c r="O638" s="3" t="str">
        <f>CONCATENATE(A638,"-",B638)</f>
        <v>396-Starly</v>
      </c>
    </row>
    <row r="639" spans="1:15">
      <c r="A639" s="63">
        <v>397</v>
      </c>
      <c r="B639" s="2" t="s">
        <v>458</v>
      </c>
      <c r="C639" t="s">
        <v>42</v>
      </c>
      <c r="D639" s="22">
        <f>COUNTIF($C$2:$C$1168,Tabela1[[#This Row],[Type]])</f>
        <v>99</v>
      </c>
      <c r="E639" s="62" t="str">
        <f>IF(A639&lt;=151,"Kanto",IF(A639&lt;=251,"Johto",IF(A639&lt;=386,"Hoenn",IF(A639&lt;=493,"Sinnoh",IF(A639&lt;=649,"Unova",IF(A639&lt;=721,"Kalos",IF(A639&lt;=809,"Alola",IF(A639&lt;=905,"Galar","Paldea"))))))))</f>
        <v>Sinnoh</v>
      </c>
      <c r="F639" t="str">
        <f>IF(G639&gt;=600,"Lendário",IF(G639&gt;=500,"Forte","Normal"))</f>
        <v>Normal</v>
      </c>
      <c r="G639" s="3">
        <v>340</v>
      </c>
      <c r="H639" s="3">
        <v>55</v>
      </c>
      <c r="I639" s="3">
        <v>75</v>
      </c>
      <c r="J639" s="3">
        <v>50</v>
      </c>
      <c r="K639" s="3">
        <v>40</v>
      </c>
      <c r="L639" s="3">
        <v>40</v>
      </c>
      <c r="M639" s="3">
        <v>80</v>
      </c>
      <c r="N639" s="3">
        <f>AVERAGE($I$2:$I$1168)</f>
        <v>78.907455012853475</v>
      </c>
      <c r="O639" s="3" t="str">
        <f>CONCATENATE(A639,"-",B639)</f>
        <v>397-Staravia</v>
      </c>
    </row>
    <row r="640" spans="1:15">
      <c r="A640" s="63">
        <v>397</v>
      </c>
      <c r="B640" s="2" t="str">
        <f>B639</f>
        <v>Staravia</v>
      </c>
      <c r="C640" t="s">
        <v>25</v>
      </c>
      <c r="D640" s="22">
        <f>COUNTIF($C$2:$C$1168,Tabela1[[#This Row],[Type]])</f>
        <v>100</v>
      </c>
      <c r="E640" s="62" t="str">
        <f>IF(A640&lt;=151,"Kanto",IF(A640&lt;=251,"Johto",IF(A640&lt;=386,"Hoenn",IF(A640&lt;=493,"Sinnoh",IF(A640&lt;=649,"Unova",IF(A640&lt;=721,"Kalos",IF(A640&lt;=809,"Alola",IF(A640&lt;=905,"Galar","Paldea"))))))))</f>
        <v>Sinnoh</v>
      </c>
      <c r="F640" t="str">
        <f>IF(G640&gt;=600,"Lendário",IF(G640&gt;=500,"Forte","Normal"))</f>
        <v>Normal</v>
      </c>
      <c r="G640" s="3">
        <f>G639</f>
        <v>340</v>
      </c>
      <c r="H640" s="3">
        <f>H639</f>
        <v>55</v>
      </c>
      <c r="I640" s="3">
        <f>I639</f>
        <v>75</v>
      </c>
      <c r="J640" s="3">
        <f>J639</f>
        <v>50</v>
      </c>
      <c r="K640" s="3">
        <f>K639</f>
        <v>40</v>
      </c>
      <c r="L640" s="3">
        <f>L639</f>
        <v>40</v>
      </c>
      <c r="M640" s="3">
        <f>M639</f>
        <v>80</v>
      </c>
      <c r="N640" s="3">
        <f>AVERAGE($I$2:$I$1168)</f>
        <v>78.907455012853475</v>
      </c>
      <c r="O640" s="3" t="str">
        <f>CONCATENATE(A640,"-",B640)</f>
        <v>397-Staravia</v>
      </c>
    </row>
    <row r="641" spans="1:15">
      <c r="A641" s="63">
        <v>398</v>
      </c>
      <c r="B641" s="2" t="s">
        <v>459</v>
      </c>
      <c r="C641" t="s">
        <v>42</v>
      </c>
      <c r="D641" s="22">
        <f>COUNTIF($C$2:$C$1168,Tabela1[[#This Row],[Type]])</f>
        <v>99</v>
      </c>
      <c r="E641" s="62" t="str">
        <f>IF(A641&lt;=151,"Kanto",IF(A641&lt;=251,"Johto",IF(A641&lt;=386,"Hoenn",IF(A641&lt;=493,"Sinnoh",IF(A641&lt;=649,"Unova",IF(A641&lt;=721,"Kalos",IF(A641&lt;=809,"Alola",IF(A641&lt;=905,"Galar","Paldea"))))))))</f>
        <v>Sinnoh</v>
      </c>
      <c r="F641" t="str">
        <f>IF(G641&gt;=600,"Lendário",IF(G641&gt;=500,"Forte","Normal"))</f>
        <v>Normal</v>
      </c>
      <c r="G641" s="3">
        <v>475</v>
      </c>
      <c r="H641" s="3">
        <v>85</v>
      </c>
      <c r="I641" s="3">
        <v>120</v>
      </c>
      <c r="J641" s="3">
        <v>70</v>
      </c>
      <c r="K641" s="3">
        <v>50</v>
      </c>
      <c r="L641" s="3">
        <v>50</v>
      </c>
      <c r="M641" s="3">
        <v>100</v>
      </c>
      <c r="N641" s="3">
        <f>AVERAGE($I$2:$I$1168)</f>
        <v>78.907455012853475</v>
      </c>
      <c r="O641" s="3" t="str">
        <f>CONCATENATE(A641,"-",B641)</f>
        <v>398-Staraptor</v>
      </c>
    </row>
    <row r="642" spans="1:15">
      <c r="A642" s="63">
        <v>399</v>
      </c>
      <c r="B642" s="2" t="s">
        <v>460</v>
      </c>
      <c r="C642" t="s">
        <v>42</v>
      </c>
      <c r="D642" s="22">
        <f>COUNTIF($C$2:$C$1168,Tabela1[[#This Row],[Type]])</f>
        <v>99</v>
      </c>
      <c r="E642" s="62" t="str">
        <f>IF(A642&lt;=151,"Kanto",IF(A642&lt;=251,"Johto",IF(A642&lt;=386,"Hoenn",IF(A642&lt;=493,"Sinnoh",IF(A642&lt;=649,"Unova",IF(A642&lt;=721,"Kalos",IF(A642&lt;=809,"Alola",IF(A642&lt;=905,"Galar","Paldea"))))))))</f>
        <v>Sinnoh</v>
      </c>
      <c r="F642" t="str">
        <f>IF(G642&gt;=600,"Lendário",IF(G642&gt;=500,"Forte","Normal"))</f>
        <v>Normal</v>
      </c>
      <c r="G642" s="3">
        <v>250</v>
      </c>
      <c r="H642" s="3">
        <v>59</v>
      </c>
      <c r="I642" s="3">
        <v>45</v>
      </c>
      <c r="J642" s="3">
        <v>40</v>
      </c>
      <c r="K642" s="3">
        <v>35</v>
      </c>
      <c r="L642" s="3">
        <v>40</v>
      </c>
      <c r="M642" s="3">
        <v>31</v>
      </c>
      <c r="N642" s="3">
        <f>AVERAGE($I$2:$I$1168)</f>
        <v>78.907455012853475</v>
      </c>
      <c r="O642" s="3" t="str">
        <f>CONCATENATE(A642,"-",B642)</f>
        <v>399-Bidoof</v>
      </c>
    </row>
    <row r="643" spans="1:15">
      <c r="A643" s="63">
        <v>400</v>
      </c>
      <c r="B643" s="2" t="s">
        <v>461</v>
      </c>
      <c r="C643" t="s">
        <v>42</v>
      </c>
      <c r="D643" s="22">
        <f>COUNTIF($C$2:$C$1168,Tabela1[[#This Row],[Type]])</f>
        <v>99</v>
      </c>
      <c r="E643" s="62" t="str">
        <f>IF(A643&lt;=151,"Kanto",IF(A643&lt;=251,"Johto",IF(A643&lt;=386,"Hoenn",IF(A643&lt;=493,"Sinnoh",IF(A643&lt;=649,"Unova",IF(A643&lt;=721,"Kalos",IF(A643&lt;=809,"Alola",IF(A643&lt;=905,"Galar","Paldea"))))))))</f>
        <v>Sinnoh</v>
      </c>
      <c r="F643" t="str">
        <f>IF(G643&gt;=600,"Lendário",IF(G643&gt;=500,"Forte","Normal"))</f>
        <v>Normal</v>
      </c>
      <c r="G643" s="3">
        <v>410</v>
      </c>
      <c r="H643" s="3">
        <v>79</v>
      </c>
      <c r="I643" s="3">
        <v>85</v>
      </c>
      <c r="J643" s="3">
        <v>60</v>
      </c>
      <c r="K643" s="3">
        <v>55</v>
      </c>
      <c r="L643" s="3">
        <v>60</v>
      </c>
      <c r="M643" s="3">
        <v>71</v>
      </c>
      <c r="N643" s="3">
        <f>AVERAGE($I$2:$I$1168)</f>
        <v>78.907455012853475</v>
      </c>
      <c r="O643" s="3" t="str">
        <f>CONCATENATE(A643,"-",B643)</f>
        <v>400-Bibarel</v>
      </c>
    </row>
    <row r="644" spans="1:15">
      <c r="A644" s="63">
        <v>401</v>
      </c>
      <c r="B644" s="2" t="s">
        <v>462</v>
      </c>
      <c r="C644" t="s">
        <v>35</v>
      </c>
      <c r="D644" s="22">
        <f>COUNTIF($C$2:$C$1168,Tabela1[[#This Row],[Type]])</f>
        <v>71</v>
      </c>
      <c r="E644" s="62" t="str">
        <f>IF(A644&lt;=151,"Kanto",IF(A644&lt;=251,"Johto",IF(A644&lt;=386,"Hoenn",IF(A644&lt;=493,"Sinnoh",IF(A644&lt;=649,"Unova",IF(A644&lt;=721,"Kalos",IF(A644&lt;=809,"Alola",IF(A644&lt;=905,"Galar","Paldea"))))))))</f>
        <v>Sinnoh</v>
      </c>
      <c r="F644" t="str">
        <f>IF(G644&gt;=600,"Lendário",IF(G644&gt;=500,"Forte","Normal"))</f>
        <v>Normal</v>
      </c>
      <c r="G644" s="3">
        <v>194</v>
      </c>
      <c r="H644" s="3">
        <v>37</v>
      </c>
      <c r="I644" s="3">
        <v>25</v>
      </c>
      <c r="J644" s="3">
        <v>41</v>
      </c>
      <c r="K644" s="3">
        <v>25</v>
      </c>
      <c r="L644" s="3">
        <v>41</v>
      </c>
      <c r="M644" s="3">
        <v>25</v>
      </c>
      <c r="N644" s="3">
        <f>AVERAGE($I$2:$I$1168)</f>
        <v>78.907455012853475</v>
      </c>
      <c r="O644" s="3" t="str">
        <f>CONCATENATE(A644,"-",B644)</f>
        <v>401-Kricketot</v>
      </c>
    </row>
    <row r="645" spans="1:15">
      <c r="A645" s="63">
        <v>402</v>
      </c>
      <c r="B645" s="2" t="s">
        <v>463</v>
      </c>
      <c r="C645" t="s">
        <v>35</v>
      </c>
      <c r="D645" s="22">
        <f>COUNTIF($C$2:$C$1168,Tabela1[[#This Row],[Type]])</f>
        <v>71</v>
      </c>
      <c r="E645" s="62" t="str">
        <f>IF(A645&lt;=151,"Kanto",IF(A645&lt;=251,"Johto",IF(A645&lt;=386,"Hoenn",IF(A645&lt;=493,"Sinnoh",IF(A645&lt;=649,"Unova",IF(A645&lt;=721,"Kalos",IF(A645&lt;=809,"Alola",IF(A645&lt;=905,"Galar","Paldea"))))))))</f>
        <v>Sinnoh</v>
      </c>
      <c r="F645" t="str">
        <f>IF(G645&gt;=600,"Lendário",IF(G645&gt;=500,"Forte","Normal"))</f>
        <v>Normal</v>
      </c>
      <c r="G645" s="3">
        <v>384</v>
      </c>
      <c r="H645" s="3">
        <v>77</v>
      </c>
      <c r="I645" s="3">
        <v>85</v>
      </c>
      <c r="J645" s="3">
        <v>51</v>
      </c>
      <c r="K645" s="3">
        <v>55</v>
      </c>
      <c r="L645" s="3">
        <v>51</v>
      </c>
      <c r="M645" s="3">
        <v>65</v>
      </c>
      <c r="N645" s="3">
        <f>AVERAGE($I$2:$I$1168)</f>
        <v>78.907455012853475</v>
      </c>
      <c r="O645" s="3" t="str">
        <f>CONCATENATE(A645,"-",B645)</f>
        <v>402-Kricketune</v>
      </c>
    </row>
    <row r="646" spans="1:15">
      <c r="A646" s="63">
        <v>403</v>
      </c>
      <c r="B646" s="2" t="s">
        <v>464</v>
      </c>
      <c r="C646" t="s">
        <v>52</v>
      </c>
      <c r="D646" s="22">
        <f>COUNTIF($C$2:$C$1168,Tabela1[[#This Row],[Type]])</f>
        <v>51</v>
      </c>
      <c r="E646" s="62" t="str">
        <f>IF(A646&lt;=151,"Kanto",IF(A646&lt;=251,"Johto",IF(A646&lt;=386,"Hoenn",IF(A646&lt;=493,"Sinnoh",IF(A646&lt;=649,"Unova",IF(A646&lt;=721,"Kalos",IF(A646&lt;=809,"Alola",IF(A646&lt;=905,"Galar","Paldea"))))))))</f>
        <v>Sinnoh</v>
      </c>
      <c r="F646" t="str">
        <f>IF(G646&gt;=600,"Lendário",IF(G646&gt;=500,"Forte","Normal"))</f>
        <v>Normal</v>
      </c>
      <c r="G646" s="3">
        <v>263</v>
      </c>
      <c r="H646" s="3">
        <v>45</v>
      </c>
      <c r="I646" s="3">
        <v>65</v>
      </c>
      <c r="J646" s="3">
        <v>34</v>
      </c>
      <c r="K646" s="3">
        <v>40</v>
      </c>
      <c r="L646" s="3">
        <v>34</v>
      </c>
      <c r="M646" s="3">
        <v>45</v>
      </c>
      <c r="N646" s="3">
        <f>AVERAGE($I$2:$I$1168)</f>
        <v>78.907455012853475</v>
      </c>
      <c r="O646" s="3" t="str">
        <f>CONCATENATE(A646,"-",B646)</f>
        <v>403-Shinx</v>
      </c>
    </row>
    <row r="647" spans="1:15">
      <c r="A647" s="63">
        <v>404</v>
      </c>
      <c r="B647" s="2" t="s">
        <v>465</v>
      </c>
      <c r="C647" t="s">
        <v>52</v>
      </c>
      <c r="D647" s="22">
        <f>COUNTIF($C$2:$C$1168,Tabela1[[#This Row],[Type]])</f>
        <v>51</v>
      </c>
      <c r="E647" s="62" t="str">
        <f>IF(A647&lt;=151,"Kanto",IF(A647&lt;=251,"Johto",IF(A647&lt;=386,"Hoenn",IF(A647&lt;=493,"Sinnoh",IF(A647&lt;=649,"Unova",IF(A647&lt;=721,"Kalos",IF(A647&lt;=809,"Alola",IF(A647&lt;=905,"Galar","Paldea"))))))))</f>
        <v>Sinnoh</v>
      </c>
      <c r="F647" t="str">
        <f>IF(G647&gt;=600,"Lendário",IF(G647&gt;=500,"Forte","Normal"))</f>
        <v>Normal</v>
      </c>
      <c r="G647" s="3">
        <v>363</v>
      </c>
      <c r="H647" s="3">
        <v>60</v>
      </c>
      <c r="I647" s="3">
        <v>85</v>
      </c>
      <c r="J647" s="3">
        <v>49</v>
      </c>
      <c r="K647" s="3">
        <v>60</v>
      </c>
      <c r="L647" s="3">
        <v>49</v>
      </c>
      <c r="M647" s="3">
        <v>60</v>
      </c>
      <c r="N647" s="3">
        <f>AVERAGE($I$2:$I$1168)</f>
        <v>78.907455012853475</v>
      </c>
      <c r="O647" s="3" t="str">
        <f>CONCATENATE(A647,"-",B647)</f>
        <v>404-Luxio</v>
      </c>
    </row>
    <row r="648" spans="1:15">
      <c r="A648" s="63">
        <v>405</v>
      </c>
      <c r="B648" s="2" t="s">
        <v>466</v>
      </c>
      <c r="C648" t="s">
        <v>52</v>
      </c>
      <c r="D648" s="22">
        <f>COUNTIF($C$2:$C$1168,Tabela1[[#This Row],[Type]])</f>
        <v>51</v>
      </c>
      <c r="E648" s="62" t="str">
        <f>IF(A648&lt;=151,"Kanto",IF(A648&lt;=251,"Johto",IF(A648&lt;=386,"Hoenn",IF(A648&lt;=493,"Sinnoh",IF(A648&lt;=649,"Unova",IF(A648&lt;=721,"Kalos",IF(A648&lt;=809,"Alola",IF(A648&lt;=905,"Galar","Paldea"))))))))</f>
        <v>Sinnoh</v>
      </c>
      <c r="F648" t="str">
        <f>IF(G648&gt;=600,"Lendário",IF(G648&gt;=500,"Forte","Normal"))</f>
        <v>Forte</v>
      </c>
      <c r="G648" s="3">
        <v>523</v>
      </c>
      <c r="H648" s="3">
        <v>80</v>
      </c>
      <c r="I648" s="3">
        <v>120</v>
      </c>
      <c r="J648" s="3">
        <v>79</v>
      </c>
      <c r="K648" s="3">
        <v>95</v>
      </c>
      <c r="L648" s="3">
        <v>79</v>
      </c>
      <c r="M648" s="3">
        <v>70</v>
      </c>
      <c r="N648" s="3">
        <f>AVERAGE($I$2:$I$1168)</f>
        <v>78.907455012853475</v>
      </c>
      <c r="O648" s="3" t="str">
        <f>CONCATENATE(A648,"-",B648)</f>
        <v>405-Luxray</v>
      </c>
    </row>
    <row r="649" spans="1:15">
      <c r="A649" s="63">
        <v>406</v>
      </c>
      <c r="B649" s="2" t="s">
        <v>467</v>
      </c>
      <c r="C649" t="s">
        <v>16</v>
      </c>
      <c r="D649" s="22">
        <f>COUNTIF($C$2:$C$1168,Tabela1[[#This Row],[Type]])</f>
        <v>93</v>
      </c>
      <c r="E649" s="62" t="str">
        <f>IF(A649&lt;=151,"Kanto",IF(A649&lt;=251,"Johto",IF(A649&lt;=386,"Hoenn",IF(A649&lt;=493,"Sinnoh",IF(A649&lt;=649,"Unova",IF(A649&lt;=721,"Kalos",IF(A649&lt;=809,"Alola",IF(A649&lt;=905,"Galar","Paldea"))))))))</f>
        <v>Sinnoh</v>
      </c>
      <c r="F649" t="str">
        <f>IF(G649&gt;=600,"Lendário",IF(G649&gt;=500,"Forte","Normal"))</f>
        <v>Normal</v>
      </c>
      <c r="G649" s="3">
        <v>280</v>
      </c>
      <c r="H649" s="3">
        <v>40</v>
      </c>
      <c r="I649" s="3">
        <v>30</v>
      </c>
      <c r="J649" s="3">
        <v>35</v>
      </c>
      <c r="K649" s="3">
        <v>50</v>
      </c>
      <c r="L649" s="3">
        <v>70</v>
      </c>
      <c r="M649" s="3">
        <v>55</v>
      </c>
      <c r="N649" s="3">
        <f>AVERAGE($I$2:$I$1168)</f>
        <v>78.907455012853475</v>
      </c>
      <c r="O649" s="3" t="str">
        <f>CONCATENATE(A649,"-",B649)</f>
        <v>406-Budew</v>
      </c>
    </row>
    <row r="650" spans="1:15">
      <c r="A650" s="63">
        <v>406</v>
      </c>
      <c r="B650" s="2" t="str">
        <f>B649</f>
        <v>Budew</v>
      </c>
      <c r="C650" t="s">
        <v>17</v>
      </c>
      <c r="D650" s="22">
        <f>COUNTIF($C$2:$C$1168,Tabela1[[#This Row],[Type]])</f>
        <v>61</v>
      </c>
      <c r="E650" s="62" t="str">
        <f>IF(A650&lt;=151,"Kanto",IF(A650&lt;=251,"Johto",IF(A650&lt;=386,"Hoenn",IF(A650&lt;=493,"Sinnoh",IF(A650&lt;=649,"Unova",IF(A650&lt;=721,"Kalos",IF(A650&lt;=809,"Alola",IF(A650&lt;=905,"Galar","Paldea"))))))))</f>
        <v>Sinnoh</v>
      </c>
      <c r="F650" t="str">
        <f>IF(G650&gt;=600,"Lendário",IF(G650&gt;=500,"Forte","Normal"))</f>
        <v>Normal</v>
      </c>
      <c r="G650" s="3">
        <f>G649</f>
        <v>280</v>
      </c>
      <c r="H650" s="3">
        <f>H649</f>
        <v>40</v>
      </c>
      <c r="I650" s="3">
        <f>I649</f>
        <v>30</v>
      </c>
      <c r="J650" s="3">
        <f>J649</f>
        <v>35</v>
      </c>
      <c r="K650" s="3">
        <f>K649</f>
        <v>50</v>
      </c>
      <c r="L650" s="3">
        <f>L649</f>
        <v>70</v>
      </c>
      <c r="M650" s="3">
        <f>M649</f>
        <v>55</v>
      </c>
      <c r="N650" s="3">
        <f>AVERAGE($I$2:$I$1168)</f>
        <v>78.907455012853475</v>
      </c>
      <c r="O650" s="3" t="str">
        <f>CONCATENATE(A650,"-",B650)</f>
        <v>406-Budew</v>
      </c>
    </row>
    <row r="651" spans="1:15">
      <c r="A651" s="63">
        <v>407</v>
      </c>
      <c r="B651" s="2" t="s">
        <v>468</v>
      </c>
      <c r="C651" t="s">
        <v>16</v>
      </c>
      <c r="D651" s="22">
        <f>COUNTIF($C$2:$C$1168,Tabela1[[#This Row],[Type]])</f>
        <v>93</v>
      </c>
      <c r="E651" s="62" t="str">
        <f>IF(A651&lt;=151,"Kanto",IF(A651&lt;=251,"Johto",IF(A651&lt;=386,"Hoenn",IF(A651&lt;=493,"Sinnoh",IF(A651&lt;=649,"Unova",IF(A651&lt;=721,"Kalos",IF(A651&lt;=809,"Alola",IF(A651&lt;=905,"Galar","Paldea"))))))))</f>
        <v>Sinnoh</v>
      </c>
      <c r="F651" t="str">
        <f>IF(G651&gt;=600,"Lendário",IF(G651&gt;=500,"Forte","Normal"))</f>
        <v>Forte</v>
      </c>
      <c r="G651" s="3">
        <v>505</v>
      </c>
      <c r="H651" s="3">
        <v>60</v>
      </c>
      <c r="I651" s="3">
        <v>70</v>
      </c>
      <c r="J651" s="3">
        <v>55</v>
      </c>
      <c r="K651" s="3">
        <v>125</v>
      </c>
      <c r="L651" s="3">
        <v>105</v>
      </c>
      <c r="M651" s="3">
        <v>90</v>
      </c>
      <c r="N651" s="3">
        <f>AVERAGE($I$2:$I$1168)</f>
        <v>78.907455012853475</v>
      </c>
      <c r="O651" s="3" t="str">
        <f>CONCATENATE(A651,"-",B651)</f>
        <v>407-Roserade</v>
      </c>
    </row>
    <row r="652" spans="1:15">
      <c r="A652" s="63">
        <v>407</v>
      </c>
      <c r="B652" s="2" t="str">
        <f>B651</f>
        <v>Roserade</v>
      </c>
      <c r="C652" t="s">
        <v>17</v>
      </c>
      <c r="D652" s="22">
        <f>COUNTIF($C$2:$C$1168,Tabela1[[#This Row],[Type]])</f>
        <v>61</v>
      </c>
      <c r="E652" s="62" t="str">
        <f>IF(A652&lt;=151,"Kanto",IF(A652&lt;=251,"Johto",IF(A652&lt;=386,"Hoenn",IF(A652&lt;=493,"Sinnoh",IF(A652&lt;=649,"Unova",IF(A652&lt;=721,"Kalos",IF(A652&lt;=809,"Alola",IF(A652&lt;=905,"Galar","Paldea"))))))))</f>
        <v>Sinnoh</v>
      </c>
      <c r="F652" t="str">
        <f>IF(G652&gt;=600,"Lendário",IF(G652&gt;=500,"Forte","Normal"))</f>
        <v>Forte</v>
      </c>
      <c r="G652" s="3">
        <f>G651</f>
        <v>505</v>
      </c>
      <c r="H652" s="3">
        <f>H651</f>
        <v>60</v>
      </c>
      <c r="I652" s="3">
        <f>I651</f>
        <v>70</v>
      </c>
      <c r="J652" s="3">
        <f>J651</f>
        <v>55</v>
      </c>
      <c r="K652" s="3">
        <f>K651</f>
        <v>125</v>
      </c>
      <c r="L652" s="3">
        <f>L651</f>
        <v>105</v>
      </c>
      <c r="M652" s="3">
        <f>M651</f>
        <v>90</v>
      </c>
      <c r="N652" s="3">
        <f>AVERAGE($I$2:$I$1168)</f>
        <v>78.907455012853475</v>
      </c>
      <c r="O652" s="3" t="str">
        <f>CONCATENATE(A652,"-",B652)</f>
        <v>407-Roserade</v>
      </c>
    </row>
    <row r="653" spans="1:15">
      <c r="A653" s="63">
        <v>408</v>
      </c>
      <c r="B653" s="2" t="s">
        <v>469</v>
      </c>
      <c r="C653" t="s">
        <v>107</v>
      </c>
      <c r="D653" s="22">
        <f>COUNTIF($C$2:$C$1168,Tabela1[[#This Row],[Type]])</f>
        <v>56</v>
      </c>
      <c r="E653" s="62" t="str">
        <f>IF(A653&lt;=151,"Kanto",IF(A653&lt;=251,"Johto",IF(A653&lt;=386,"Hoenn",IF(A653&lt;=493,"Sinnoh",IF(A653&lt;=649,"Unova",IF(A653&lt;=721,"Kalos",IF(A653&lt;=809,"Alola",IF(A653&lt;=905,"Galar","Paldea"))))))))</f>
        <v>Sinnoh</v>
      </c>
      <c r="F653" t="str">
        <f>IF(G653&gt;=600,"Lendário",IF(G653&gt;=500,"Forte","Normal"))</f>
        <v>Normal</v>
      </c>
      <c r="G653" s="3">
        <v>350</v>
      </c>
      <c r="H653" s="3">
        <v>67</v>
      </c>
      <c r="I653" s="3">
        <v>125</v>
      </c>
      <c r="J653" s="3">
        <v>40</v>
      </c>
      <c r="K653" s="3">
        <v>30</v>
      </c>
      <c r="L653" s="3">
        <v>30</v>
      </c>
      <c r="M653" s="3">
        <v>58</v>
      </c>
      <c r="N653" s="3">
        <f>AVERAGE($I$2:$I$1168)</f>
        <v>78.907455012853475</v>
      </c>
      <c r="O653" s="3" t="str">
        <f>CONCATENATE(A653,"-",B653)</f>
        <v>408-Cranidos</v>
      </c>
    </row>
    <row r="654" spans="1:15">
      <c r="A654" s="63">
        <v>409</v>
      </c>
      <c r="B654" s="2" t="s">
        <v>470</v>
      </c>
      <c r="C654" t="s">
        <v>107</v>
      </c>
      <c r="D654" s="22">
        <f>COUNTIF($C$2:$C$1168,Tabela1[[#This Row],[Type]])</f>
        <v>56</v>
      </c>
      <c r="E654" s="62" t="str">
        <f>IF(A654&lt;=151,"Kanto",IF(A654&lt;=251,"Johto",IF(A654&lt;=386,"Hoenn",IF(A654&lt;=493,"Sinnoh",IF(A654&lt;=649,"Unova",IF(A654&lt;=721,"Kalos",IF(A654&lt;=809,"Alola",IF(A654&lt;=905,"Galar","Paldea"))))))))</f>
        <v>Sinnoh</v>
      </c>
      <c r="F654" t="str">
        <f>IF(G654&gt;=600,"Lendário",IF(G654&gt;=500,"Forte","Normal"))</f>
        <v>Normal</v>
      </c>
      <c r="G654" s="3">
        <v>495</v>
      </c>
      <c r="H654" s="3">
        <v>97</v>
      </c>
      <c r="I654" s="3">
        <v>165</v>
      </c>
      <c r="J654" s="3">
        <v>60</v>
      </c>
      <c r="K654" s="3">
        <v>65</v>
      </c>
      <c r="L654" s="3">
        <v>50</v>
      </c>
      <c r="M654" s="3">
        <v>58</v>
      </c>
      <c r="N654" s="3">
        <f>AVERAGE($I$2:$I$1168)</f>
        <v>78.907455012853475</v>
      </c>
      <c r="O654" s="3" t="str">
        <f>CONCATENATE(A654,"-",B654)</f>
        <v>409-Rampardos</v>
      </c>
    </row>
    <row r="655" spans="1:15">
      <c r="A655" s="63">
        <v>410</v>
      </c>
      <c r="B655" s="2" t="s">
        <v>471</v>
      </c>
      <c r="C655" t="s">
        <v>107</v>
      </c>
      <c r="D655" s="22">
        <f>COUNTIF($C$2:$C$1168,Tabela1[[#This Row],[Type]])</f>
        <v>56</v>
      </c>
      <c r="E655" s="62" t="str">
        <f>IF(A655&lt;=151,"Kanto",IF(A655&lt;=251,"Johto",IF(A655&lt;=386,"Hoenn",IF(A655&lt;=493,"Sinnoh",IF(A655&lt;=649,"Unova",IF(A655&lt;=721,"Kalos",IF(A655&lt;=809,"Alola",IF(A655&lt;=905,"Galar","Paldea"))))))))</f>
        <v>Sinnoh</v>
      </c>
      <c r="F655" t="str">
        <f>IF(G655&gt;=600,"Lendário",IF(G655&gt;=500,"Forte","Normal"))</f>
        <v>Normal</v>
      </c>
      <c r="G655" s="3">
        <v>350</v>
      </c>
      <c r="H655" s="3">
        <v>30</v>
      </c>
      <c r="I655" s="3">
        <v>42</v>
      </c>
      <c r="J655" s="3">
        <v>118</v>
      </c>
      <c r="K655" s="3">
        <v>42</v>
      </c>
      <c r="L655" s="3">
        <v>88</v>
      </c>
      <c r="M655" s="3">
        <v>30</v>
      </c>
      <c r="N655" s="3">
        <f>AVERAGE($I$2:$I$1168)</f>
        <v>78.907455012853475</v>
      </c>
      <c r="O655" s="3" t="str">
        <f>CONCATENATE(A655,"-",B655)</f>
        <v>410-Shieldon</v>
      </c>
    </row>
    <row r="656" spans="1:15">
      <c r="A656" s="63">
        <v>410</v>
      </c>
      <c r="B656" s="2" t="str">
        <f>B655</f>
        <v>Shieldon</v>
      </c>
      <c r="C656" t="s">
        <v>115</v>
      </c>
      <c r="D656" s="22">
        <f>COUNTIF($C$2:$C$1168,Tabela1[[#This Row],[Type]])</f>
        <v>48</v>
      </c>
      <c r="E656" s="62" t="str">
        <f>IF(A656&lt;=151,"Kanto",IF(A656&lt;=251,"Johto",IF(A656&lt;=386,"Hoenn",IF(A656&lt;=493,"Sinnoh",IF(A656&lt;=649,"Unova",IF(A656&lt;=721,"Kalos",IF(A656&lt;=809,"Alola",IF(A656&lt;=905,"Galar","Paldea"))))))))</f>
        <v>Sinnoh</v>
      </c>
      <c r="F656" t="str">
        <f>IF(G656&gt;=600,"Lendário",IF(G656&gt;=500,"Forte","Normal"))</f>
        <v>Normal</v>
      </c>
      <c r="G656" s="3">
        <f>G655</f>
        <v>350</v>
      </c>
      <c r="H656" s="3">
        <f>H655</f>
        <v>30</v>
      </c>
      <c r="I656" s="3">
        <f>I655</f>
        <v>42</v>
      </c>
      <c r="J656" s="3">
        <f>J655</f>
        <v>118</v>
      </c>
      <c r="K656" s="3">
        <f>K655</f>
        <v>42</v>
      </c>
      <c r="L656" s="3">
        <f>L655</f>
        <v>88</v>
      </c>
      <c r="M656" s="3">
        <f>M655</f>
        <v>30</v>
      </c>
      <c r="N656" s="3">
        <f>AVERAGE($I$2:$I$1168)</f>
        <v>78.907455012853475</v>
      </c>
      <c r="O656" s="3" t="str">
        <f>CONCATENATE(A656,"-",B656)</f>
        <v>410-Shieldon</v>
      </c>
    </row>
    <row r="657" spans="1:15">
      <c r="A657" s="63">
        <v>411</v>
      </c>
      <c r="B657" s="2" t="s">
        <v>472</v>
      </c>
      <c r="C657" t="s">
        <v>107</v>
      </c>
      <c r="D657" s="22">
        <f>COUNTIF($C$2:$C$1168,Tabela1[[#This Row],[Type]])</f>
        <v>56</v>
      </c>
      <c r="E657" s="62" t="str">
        <f>IF(A657&lt;=151,"Kanto",IF(A657&lt;=251,"Johto",IF(A657&lt;=386,"Hoenn",IF(A657&lt;=493,"Sinnoh",IF(A657&lt;=649,"Unova",IF(A657&lt;=721,"Kalos",IF(A657&lt;=809,"Alola",IF(A657&lt;=905,"Galar","Paldea"))))))))</f>
        <v>Sinnoh</v>
      </c>
      <c r="F657" t="str">
        <f>IF(G657&gt;=600,"Lendário",IF(G657&gt;=500,"Forte","Normal"))</f>
        <v>Normal</v>
      </c>
      <c r="G657" s="3">
        <v>495</v>
      </c>
      <c r="H657" s="3">
        <v>60</v>
      </c>
      <c r="I657" s="3">
        <v>52</v>
      </c>
      <c r="J657" s="3">
        <v>168</v>
      </c>
      <c r="K657" s="3">
        <v>47</v>
      </c>
      <c r="L657" s="3">
        <v>138</v>
      </c>
      <c r="M657" s="3">
        <v>30</v>
      </c>
      <c r="N657" s="3">
        <f>AVERAGE($I$2:$I$1168)</f>
        <v>78.907455012853475</v>
      </c>
      <c r="O657" s="3" t="str">
        <f>CONCATENATE(A657,"-",B657)</f>
        <v>411-Bastiodon</v>
      </c>
    </row>
    <row r="658" spans="1:15">
      <c r="A658" s="63">
        <v>411</v>
      </c>
      <c r="B658" s="2" t="str">
        <f>B657</f>
        <v>Bastiodon</v>
      </c>
      <c r="C658" t="s">
        <v>115</v>
      </c>
      <c r="D658" s="22">
        <f>COUNTIF($C$2:$C$1168,Tabela1[[#This Row],[Type]])</f>
        <v>48</v>
      </c>
      <c r="E658" s="62" t="str">
        <f>IF(A658&lt;=151,"Kanto",IF(A658&lt;=251,"Johto",IF(A658&lt;=386,"Hoenn",IF(A658&lt;=493,"Sinnoh",IF(A658&lt;=649,"Unova",IF(A658&lt;=721,"Kalos",IF(A658&lt;=809,"Alola",IF(A658&lt;=905,"Galar","Paldea"))))))))</f>
        <v>Sinnoh</v>
      </c>
      <c r="F658" t="str">
        <f>IF(G658&gt;=600,"Lendário",IF(G658&gt;=500,"Forte","Normal"))</f>
        <v>Normal</v>
      </c>
      <c r="G658" s="3">
        <f>G657</f>
        <v>495</v>
      </c>
      <c r="H658" s="3">
        <f>H657</f>
        <v>60</v>
      </c>
      <c r="I658" s="3">
        <f>I657</f>
        <v>52</v>
      </c>
      <c r="J658" s="3">
        <f>J657</f>
        <v>168</v>
      </c>
      <c r="K658" s="3">
        <f>K657</f>
        <v>47</v>
      </c>
      <c r="L658" s="3">
        <f>L657</f>
        <v>138</v>
      </c>
      <c r="M658" s="3">
        <f>M657</f>
        <v>30</v>
      </c>
      <c r="N658" s="3">
        <f>AVERAGE($I$2:$I$1168)</f>
        <v>78.907455012853475</v>
      </c>
      <c r="O658" s="3" t="str">
        <f>CONCATENATE(A658,"-",B658)</f>
        <v>411-Bastiodon</v>
      </c>
    </row>
    <row r="659" spans="1:15">
      <c r="A659" s="63">
        <v>412</v>
      </c>
      <c r="B659" s="2" t="s">
        <v>473</v>
      </c>
      <c r="C659" t="s">
        <v>35</v>
      </c>
      <c r="D659" s="22">
        <f>COUNTIF($C$2:$C$1168,Tabela1[[#This Row],[Type]])</f>
        <v>71</v>
      </c>
      <c r="E659" s="62" t="str">
        <f>IF(A659&lt;=151,"Kanto",IF(A659&lt;=251,"Johto",IF(A659&lt;=386,"Hoenn",IF(A659&lt;=493,"Sinnoh",IF(A659&lt;=649,"Unova",IF(A659&lt;=721,"Kalos",IF(A659&lt;=809,"Alola",IF(A659&lt;=905,"Galar","Paldea"))))))))</f>
        <v>Sinnoh</v>
      </c>
      <c r="F659" t="str">
        <f>IF(G659&gt;=600,"Lendário",IF(G659&gt;=500,"Forte","Normal"))</f>
        <v>Normal</v>
      </c>
      <c r="G659" s="3">
        <v>224</v>
      </c>
      <c r="H659" s="3">
        <v>40</v>
      </c>
      <c r="I659" s="3">
        <v>29</v>
      </c>
      <c r="J659" s="3">
        <v>45</v>
      </c>
      <c r="K659" s="3">
        <v>29</v>
      </c>
      <c r="L659" s="3">
        <v>45</v>
      </c>
      <c r="M659" s="3">
        <v>36</v>
      </c>
      <c r="N659" s="3">
        <f>AVERAGE($I$2:$I$1168)</f>
        <v>78.907455012853475</v>
      </c>
      <c r="O659" s="3" t="str">
        <f>CONCATENATE(A659,"-",B659)</f>
        <v>412-Burmy</v>
      </c>
    </row>
    <row r="660" spans="1:15">
      <c r="A660" s="63">
        <v>413</v>
      </c>
      <c r="B660" s="2" t="s">
        <v>474</v>
      </c>
      <c r="C660" t="s">
        <v>35</v>
      </c>
      <c r="D660" s="22">
        <f>COUNTIF($C$2:$C$1168,Tabela1[[#This Row],[Type]])</f>
        <v>71</v>
      </c>
      <c r="E660" s="62" t="str">
        <f>IF(A660&lt;=151,"Kanto",IF(A660&lt;=251,"Johto",IF(A660&lt;=386,"Hoenn",IF(A660&lt;=493,"Sinnoh",IF(A660&lt;=649,"Unova",IF(A660&lt;=721,"Kalos",IF(A660&lt;=809,"Alola",IF(A660&lt;=905,"Galar","Paldea"))))))))</f>
        <v>Sinnoh</v>
      </c>
      <c r="F660" t="str">
        <f>IF(G660&gt;=600,"Lendário",IF(G660&gt;=500,"Forte","Normal"))</f>
        <v>Normal</v>
      </c>
      <c r="G660" s="3">
        <v>424</v>
      </c>
      <c r="H660" s="3">
        <v>60</v>
      </c>
      <c r="I660" s="3">
        <v>59</v>
      </c>
      <c r="J660" s="3">
        <v>85</v>
      </c>
      <c r="K660" s="3">
        <v>79</v>
      </c>
      <c r="L660" s="3">
        <v>105</v>
      </c>
      <c r="M660" s="3">
        <v>36</v>
      </c>
      <c r="N660" s="3">
        <f>AVERAGE($I$2:$I$1168)</f>
        <v>78.907455012853475</v>
      </c>
      <c r="O660" s="3" t="str">
        <f>CONCATENATE(A660,"-",B660)</f>
        <v>413-Wormadam- Plant Cloak</v>
      </c>
    </row>
    <row r="661" spans="1:15">
      <c r="A661" s="63">
        <v>413</v>
      </c>
      <c r="B661" s="2" t="s">
        <v>475</v>
      </c>
      <c r="C661" t="s">
        <v>35</v>
      </c>
      <c r="D661" s="22">
        <f>COUNTIF($C$2:$C$1168,Tabela1[[#This Row],[Type]])</f>
        <v>71</v>
      </c>
      <c r="E661" s="62" t="str">
        <f>IF(A661&lt;=151,"Kanto",IF(A661&lt;=251,"Johto",IF(A661&lt;=386,"Hoenn",IF(A661&lt;=493,"Sinnoh",IF(A661&lt;=649,"Unova",IF(A661&lt;=721,"Kalos",IF(A661&lt;=809,"Alola",IF(A661&lt;=905,"Galar","Paldea"))))))))</f>
        <v>Sinnoh</v>
      </c>
      <c r="F661" t="str">
        <f>IF(G661&gt;=600,"Lendário",IF(G661&gt;=500,"Forte","Normal"))</f>
        <v>Normal</v>
      </c>
      <c r="G661" s="3">
        <v>424</v>
      </c>
      <c r="H661" s="3">
        <v>60</v>
      </c>
      <c r="I661" s="3">
        <v>79</v>
      </c>
      <c r="J661" s="3">
        <v>105</v>
      </c>
      <c r="K661" s="3">
        <v>59</v>
      </c>
      <c r="L661" s="3">
        <v>85</v>
      </c>
      <c r="M661" s="3">
        <v>36</v>
      </c>
      <c r="N661" s="3">
        <f>AVERAGE($I$2:$I$1168)</f>
        <v>78.907455012853475</v>
      </c>
      <c r="O661" s="3" t="str">
        <f>CONCATENATE(A661,"-",B661)</f>
        <v>413-Wormadam- Sandy Cloak</v>
      </c>
    </row>
    <row r="662" spans="1:15">
      <c r="A662" s="63">
        <v>413</v>
      </c>
      <c r="B662" s="2" t="s">
        <v>476</v>
      </c>
      <c r="C662" t="s">
        <v>35</v>
      </c>
      <c r="D662" s="22">
        <f>COUNTIF($C$2:$C$1168,Tabela1[[#This Row],[Type]])</f>
        <v>71</v>
      </c>
      <c r="E662" s="62" t="str">
        <f>IF(A662&lt;=151,"Kanto",IF(A662&lt;=251,"Johto",IF(A662&lt;=386,"Hoenn",IF(A662&lt;=493,"Sinnoh",IF(A662&lt;=649,"Unova",IF(A662&lt;=721,"Kalos",IF(A662&lt;=809,"Alola",IF(A662&lt;=905,"Galar","Paldea"))))))))</f>
        <v>Sinnoh</v>
      </c>
      <c r="F662" t="str">
        <f>IF(G662&gt;=600,"Lendário",IF(G662&gt;=500,"Forte","Normal"))</f>
        <v>Normal</v>
      </c>
      <c r="G662" s="3">
        <v>424</v>
      </c>
      <c r="H662" s="3">
        <v>60</v>
      </c>
      <c r="I662" s="3">
        <v>69</v>
      </c>
      <c r="J662" s="3">
        <v>95</v>
      </c>
      <c r="K662" s="3">
        <v>69</v>
      </c>
      <c r="L662" s="3">
        <v>95</v>
      </c>
      <c r="M662" s="3">
        <v>36</v>
      </c>
      <c r="N662" s="3">
        <f>AVERAGE($I$2:$I$1168)</f>
        <v>78.907455012853475</v>
      </c>
      <c r="O662" s="3" t="str">
        <f>CONCATENATE(A662,"-",B662)</f>
        <v>413-Wormadam- Trash Cloak</v>
      </c>
    </row>
    <row r="663" spans="1:15">
      <c r="A663" s="63">
        <v>414</v>
      </c>
      <c r="B663" s="2" t="s">
        <v>477</v>
      </c>
      <c r="C663" t="s">
        <v>35</v>
      </c>
      <c r="D663" s="22">
        <f>COUNTIF($C$2:$C$1168,Tabela1[[#This Row],[Type]])</f>
        <v>71</v>
      </c>
      <c r="E663" s="62" t="str">
        <f>IF(A663&lt;=151,"Kanto",IF(A663&lt;=251,"Johto",IF(A663&lt;=386,"Hoenn",IF(A663&lt;=493,"Sinnoh",IF(A663&lt;=649,"Unova",IF(A663&lt;=721,"Kalos",IF(A663&lt;=809,"Alola",IF(A663&lt;=905,"Galar","Paldea"))))))))</f>
        <v>Sinnoh</v>
      </c>
      <c r="F663" t="str">
        <f>IF(G663&gt;=600,"Lendário",IF(G663&gt;=500,"Forte","Normal"))</f>
        <v>Normal</v>
      </c>
      <c r="G663" s="3">
        <v>424</v>
      </c>
      <c r="H663" s="3">
        <v>70</v>
      </c>
      <c r="I663" s="3">
        <v>94</v>
      </c>
      <c r="J663" s="3">
        <v>50</v>
      </c>
      <c r="K663" s="3">
        <v>94</v>
      </c>
      <c r="L663" s="3">
        <v>50</v>
      </c>
      <c r="M663" s="3">
        <v>66</v>
      </c>
      <c r="N663" s="3">
        <f>AVERAGE($I$2:$I$1168)</f>
        <v>78.907455012853475</v>
      </c>
      <c r="O663" s="3" t="str">
        <f>CONCATENATE(A663,"-",B663)</f>
        <v>414-Mothim</v>
      </c>
    </row>
    <row r="664" spans="1:15">
      <c r="A664" s="63">
        <v>414</v>
      </c>
      <c r="B664" s="2" t="str">
        <f>B663</f>
        <v>Mothim</v>
      </c>
      <c r="C664" t="s">
        <v>25</v>
      </c>
      <c r="D664" s="22">
        <f>COUNTIF($C$2:$C$1168,Tabela1[[#This Row],[Type]])</f>
        <v>100</v>
      </c>
      <c r="E664" s="62" t="str">
        <f>IF(A664&lt;=151,"Kanto",IF(A664&lt;=251,"Johto",IF(A664&lt;=386,"Hoenn",IF(A664&lt;=493,"Sinnoh",IF(A664&lt;=649,"Unova",IF(A664&lt;=721,"Kalos",IF(A664&lt;=809,"Alola",IF(A664&lt;=905,"Galar","Paldea"))))))))</f>
        <v>Sinnoh</v>
      </c>
      <c r="F664" t="str">
        <f>IF(G664&gt;=600,"Lendário",IF(G664&gt;=500,"Forte","Normal"))</f>
        <v>Normal</v>
      </c>
      <c r="G664" s="3">
        <f>G663</f>
        <v>424</v>
      </c>
      <c r="H664" s="3">
        <f>H663</f>
        <v>70</v>
      </c>
      <c r="I664" s="3">
        <f>I663</f>
        <v>94</v>
      </c>
      <c r="J664" s="3">
        <f>J663</f>
        <v>50</v>
      </c>
      <c r="K664" s="3">
        <f>K663</f>
        <v>94</v>
      </c>
      <c r="L664" s="3">
        <f>L663</f>
        <v>50</v>
      </c>
      <c r="M664" s="3">
        <f>M663</f>
        <v>66</v>
      </c>
      <c r="N664" s="3">
        <f>AVERAGE($I$2:$I$1168)</f>
        <v>78.907455012853475</v>
      </c>
      <c r="O664" s="3" t="str">
        <f>CONCATENATE(A664,"-",B664)</f>
        <v>414-Mothim</v>
      </c>
    </row>
    <row r="665" spans="1:15">
      <c r="A665" s="63">
        <v>415</v>
      </c>
      <c r="B665" s="2" t="s">
        <v>478</v>
      </c>
      <c r="C665" t="s">
        <v>35</v>
      </c>
      <c r="D665" s="22">
        <f>COUNTIF($C$2:$C$1168,Tabela1[[#This Row],[Type]])</f>
        <v>71</v>
      </c>
      <c r="E665" s="62" t="str">
        <f>IF(A665&lt;=151,"Kanto",IF(A665&lt;=251,"Johto",IF(A665&lt;=386,"Hoenn",IF(A665&lt;=493,"Sinnoh",IF(A665&lt;=649,"Unova",IF(A665&lt;=721,"Kalos",IF(A665&lt;=809,"Alola",IF(A665&lt;=905,"Galar","Paldea"))))))))</f>
        <v>Sinnoh</v>
      </c>
      <c r="F665" t="str">
        <f>IF(G665&gt;=600,"Lendário",IF(G665&gt;=500,"Forte","Normal"))</f>
        <v>Normal</v>
      </c>
      <c r="G665" s="3">
        <v>244</v>
      </c>
      <c r="H665" s="3">
        <v>30</v>
      </c>
      <c r="I665" s="3">
        <v>30</v>
      </c>
      <c r="J665" s="3">
        <v>42</v>
      </c>
      <c r="K665" s="3">
        <v>30</v>
      </c>
      <c r="L665" s="3">
        <v>42</v>
      </c>
      <c r="M665" s="3">
        <v>70</v>
      </c>
      <c r="N665" s="3">
        <f>AVERAGE($I$2:$I$1168)</f>
        <v>78.907455012853475</v>
      </c>
      <c r="O665" s="3" t="str">
        <f>CONCATENATE(A665,"-",B665)</f>
        <v>415-Combee</v>
      </c>
    </row>
    <row r="666" spans="1:15">
      <c r="A666" s="63">
        <v>415</v>
      </c>
      <c r="B666" s="2" t="str">
        <f>B665</f>
        <v>Combee</v>
      </c>
      <c r="C666" t="s">
        <v>25</v>
      </c>
      <c r="D666" s="22">
        <f>COUNTIF($C$2:$C$1168,Tabela1[[#This Row],[Type]])</f>
        <v>100</v>
      </c>
      <c r="E666" s="62" t="str">
        <f>IF(A666&lt;=151,"Kanto",IF(A666&lt;=251,"Johto",IF(A666&lt;=386,"Hoenn",IF(A666&lt;=493,"Sinnoh",IF(A666&lt;=649,"Unova",IF(A666&lt;=721,"Kalos",IF(A666&lt;=809,"Alola",IF(A666&lt;=905,"Galar","Paldea"))))))))</f>
        <v>Sinnoh</v>
      </c>
      <c r="F666" t="str">
        <f>IF(G666&gt;=600,"Lendário",IF(G666&gt;=500,"Forte","Normal"))</f>
        <v>Normal</v>
      </c>
      <c r="G666" s="3">
        <f>G665</f>
        <v>244</v>
      </c>
      <c r="H666" s="3">
        <f>H665</f>
        <v>30</v>
      </c>
      <c r="I666" s="3">
        <f>I665</f>
        <v>30</v>
      </c>
      <c r="J666" s="3">
        <f>J665</f>
        <v>42</v>
      </c>
      <c r="K666" s="3">
        <f>K665</f>
        <v>30</v>
      </c>
      <c r="L666" s="3">
        <f>L665</f>
        <v>42</v>
      </c>
      <c r="M666" s="3">
        <f>M665</f>
        <v>70</v>
      </c>
      <c r="N666" s="3">
        <f>AVERAGE($I$2:$I$1168)</f>
        <v>78.907455012853475</v>
      </c>
      <c r="O666" s="3" t="str">
        <f>CONCATENATE(A666,"-",B666)</f>
        <v>415-Combee</v>
      </c>
    </row>
    <row r="667" spans="1:15">
      <c r="A667" s="63">
        <v>416</v>
      </c>
      <c r="B667" s="2" t="s">
        <v>479</v>
      </c>
      <c r="C667" t="s">
        <v>35</v>
      </c>
      <c r="D667" s="22">
        <f>COUNTIF($C$2:$C$1168,Tabela1[[#This Row],[Type]])</f>
        <v>71</v>
      </c>
      <c r="E667" s="62" t="str">
        <f>IF(A667&lt;=151,"Kanto",IF(A667&lt;=251,"Johto",IF(A667&lt;=386,"Hoenn",IF(A667&lt;=493,"Sinnoh",IF(A667&lt;=649,"Unova",IF(A667&lt;=721,"Kalos",IF(A667&lt;=809,"Alola",IF(A667&lt;=905,"Galar","Paldea"))))))))</f>
        <v>Sinnoh</v>
      </c>
      <c r="F667" t="str">
        <f>IF(G667&gt;=600,"Lendário",IF(G667&gt;=500,"Forte","Normal"))</f>
        <v>Normal</v>
      </c>
      <c r="G667" s="3">
        <v>474</v>
      </c>
      <c r="H667" s="3">
        <v>70</v>
      </c>
      <c r="I667" s="3">
        <v>80</v>
      </c>
      <c r="J667" s="3">
        <v>102</v>
      </c>
      <c r="K667" s="3">
        <v>80</v>
      </c>
      <c r="L667" s="3">
        <v>102</v>
      </c>
      <c r="M667" s="3">
        <v>40</v>
      </c>
      <c r="N667" s="3">
        <f>AVERAGE($I$2:$I$1168)</f>
        <v>78.907455012853475</v>
      </c>
      <c r="O667" s="3" t="str">
        <f>CONCATENATE(A667,"-",B667)</f>
        <v>416-Vespiquen</v>
      </c>
    </row>
    <row r="668" spans="1:15">
      <c r="A668" s="63">
        <v>416</v>
      </c>
      <c r="B668" s="2" t="str">
        <f>B667</f>
        <v>Vespiquen</v>
      </c>
      <c r="C668" t="s">
        <v>25</v>
      </c>
      <c r="D668" s="22">
        <f>COUNTIF($C$2:$C$1168,Tabela1[[#This Row],[Type]])</f>
        <v>100</v>
      </c>
      <c r="E668" s="62" t="str">
        <f>IF(A668&lt;=151,"Kanto",IF(A668&lt;=251,"Johto",IF(A668&lt;=386,"Hoenn",IF(A668&lt;=493,"Sinnoh",IF(A668&lt;=649,"Unova",IF(A668&lt;=721,"Kalos",IF(A668&lt;=809,"Alola",IF(A668&lt;=905,"Galar","Paldea"))))))))</f>
        <v>Sinnoh</v>
      </c>
      <c r="F668" t="str">
        <f>IF(G668&gt;=600,"Lendário",IF(G668&gt;=500,"Forte","Normal"))</f>
        <v>Normal</v>
      </c>
      <c r="G668" s="3">
        <f>G667</f>
        <v>474</v>
      </c>
      <c r="H668" s="3">
        <f>H667</f>
        <v>70</v>
      </c>
      <c r="I668" s="3">
        <f>I667</f>
        <v>80</v>
      </c>
      <c r="J668" s="3">
        <f>J667</f>
        <v>102</v>
      </c>
      <c r="K668" s="3">
        <f>K667</f>
        <v>80</v>
      </c>
      <c r="L668" s="3">
        <f>L667</f>
        <v>102</v>
      </c>
      <c r="M668" s="3">
        <f>M667</f>
        <v>40</v>
      </c>
      <c r="N668" s="3">
        <f>AVERAGE($I$2:$I$1168)</f>
        <v>78.907455012853475</v>
      </c>
      <c r="O668" s="3" t="str">
        <f>CONCATENATE(A668,"-",B668)</f>
        <v>416-Vespiquen</v>
      </c>
    </row>
    <row r="669" spans="1:15">
      <c r="A669" s="63">
        <v>417</v>
      </c>
      <c r="B669" s="2" t="s">
        <v>480</v>
      </c>
      <c r="C669" t="s">
        <v>52</v>
      </c>
      <c r="D669" s="22">
        <f>COUNTIF($C$2:$C$1168,Tabela1[[#This Row],[Type]])</f>
        <v>51</v>
      </c>
      <c r="E669" s="62" t="str">
        <f>IF(A669&lt;=151,"Kanto",IF(A669&lt;=251,"Johto",IF(A669&lt;=386,"Hoenn",IF(A669&lt;=493,"Sinnoh",IF(A669&lt;=649,"Unova",IF(A669&lt;=721,"Kalos",IF(A669&lt;=809,"Alola",IF(A669&lt;=905,"Galar","Paldea"))))))))</f>
        <v>Sinnoh</v>
      </c>
      <c r="F669" t="str">
        <f>IF(G669&gt;=600,"Lendário",IF(G669&gt;=500,"Forte","Normal"))</f>
        <v>Normal</v>
      </c>
      <c r="G669" s="3">
        <v>405</v>
      </c>
      <c r="H669" s="3">
        <v>60</v>
      </c>
      <c r="I669" s="3">
        <v>45</v>
      </c>
      <c r="J669" s="3">
        <v>70</v>
      </c>
      <c r="K669" s="3">
        <v>45</v>
      </c>
      <c r="L669" s="3">
        <v>90</v>
      </c>
      <c r="M669" s="3">
        <v>95</v>
      </c>
      <c r="N669" s="3">
        <f>AVERAGE($I$2:$I$1168)</f>
        <v>78.907455012853475</v>
      </c>
      <c r="O669" s="3" t="str">
        <f>CONCATENATE(A669,"-",B669)</f>
        <v>417-Pachirisu</v>
      </c>
    </row>
    <row r="670" spans="1:15">
      <c r="A670" s="63">
        <v>418</v>
      </c>
      <c r="B670" s="2" t="s">
        <v>481</v>
      </c>
      <c r="C670" t="s">
        <v>30</v>
      </c>
      <c r="D670" s="22">
        <f>COUNTIF($C$2:$C$1168,Tabela1[[#This Row],[Type]])</f>
        <v>121</v>
      </c>
      <c r="E670" s="62" t="str">
        <f>IF(A670&lt;=151,"Kanto",IF(A670&lt;=251,"Johto",IF(A670&lt;=386,"Hoenn",IF(A670&lt;=493,"Sinnoh",IF(A670&lt;=649,"Unova",IF(A670&lt;=721,"Kalos",IF(A670&lt;=809,"Alola",IF(A670&lt;=905,"Galar","Paldea"))))))))</f>
        <v>Sinnoh</v>
      </c>
      <c r="F670" t="str">
        <f>IF(G670&gt;=600,"Lendário",IF(G670&gt;=500,"Forte","Normal"))</f>
        <v>Normal</v>
      </c>
      <c r="G670" s="3">
        <v>330</v>
      </c>
      <c r="H670" s="3">
        <v>55</v>
      </c>
      <c r="I670" s="3">
        <v>65</v>
      </c>
      <c r="J670" s="3">
        <v>35</v>
      </c>
      <c r="K670" s="3">
        <v>60</v>
      </c>
      <c r="L670" s="3">
        <v>30</v>
      </c>
      <c r="M670" s="3">
        <v>85</v>
      </c>
      <c r="N670" s="3">
        <f>AVERAGE($I$2:$I$1168)</f>
        <v>78.907455012853475</v>
      </c>
      <c r="O670" s="3" t="str">
        <f>CONCATENATE(A670,"-",B670)</f>
        <v>418-Buizel</v>
      </c>
    </row>
    <row r="671" spans="1:15">
      <c r="A671" s="63">
        <v>419</v>
      </c>
      <c r="B671" s="2" t="s">
        <v>482</v>
      </c>
      <c r="C671" t="s">
        <v>30</v>
      </c>
      <c r="D671" s="22">
        <f>COUNTIF($C$2:$C$1168,Tabela1[[#This Row],[Type]])</f>
        <v>121</v>
      </c>
      <c r="E671" s="62" t="str">
        <f>IF(A671&lt;=151,"Kanto",IF(A671&lt;=251,"Johto",IF(A671&lt;=386,"Hoenn",IF(A671&lt;=493,"Sinnoh",IF(A671&lt;=649,"Unova",IF(A671&lt;=721,"Kalos",IF(A671&lt;=809,"Alola",IF(A671&lt;=905,"Galar","Paldea"))))))))</f>
        <v>Sinnoh</v>
      </c>
      <c r="F671" t="str">
        <f>IF(G671&gt;=600,"Lendário",IF(G671&gt;=500,"Forte","Normal"))</f>
        <v>Normal</v>
      </c>
      <c r="G671" s="3">
        <v>495</v>
      </c>
      <c r="H671" s="3">
        <v>85</v>
      </c>
      <c r="I671" s="3">
        <v>105</v>
      </c>
      <c r="J671" s="3">
        <v>55</v>
      </c>
      <c r="K671" s="3">
        <v>85</v>
      </c>
      <c r="L671" s="3">
        <v>50</v>
      </c>
      <c r="M671" s="3">
        <v>115</v>
      </c>
      <c r="N671" s="3">
        <f>AVERAGE($I$2:$I$1168)</f>
        <v>78.907455012853475</v>
      </c>
      <c r="O671" s="3" t="str">
        <f>CONCATENATE(A671,"-",B671)</f>
        <v>419-Floatzel</v>
      </c>
    </row>
    <row r="672" spans="1:15">
      <c r="A672" s="63">
        <v>420</v>
      </c>
      <c r="B672" s="2" t="s">
        <v>483</v>
      </c>
      <c r="C672" t="s">
        <v>16</v>
      </c>
      <c r="D672" s="22">
        <f>COUNTIF($C$2:$C$1168,Tabela1[[#This Row],[Type]])</f>
        <v>93</v>
      </c>
      <c r="E672" s="62" t="str">
        <f>IF(A672&lt;=151,"Kanto",IF(A672&lt;=251,"Johto",IF(A672&lt;=386,"Hoenn",IF(A672&lt;=493,"Sinnoh",IF(A672&lt;=649,"Unova",IF(A672&lt;=721,"Kalos",IF(A672&lt;=809,"Alola",IF(A672&lt;=905,"Galar","Paldea"))))))))</f>
        <v>Sinnoh</v>
      </c>
      <c r="F672" t="str">
        <f>IF(G672&gt;=600,"Lendário",IF(G672&gt;=500,"Forte","Normal"))</f>
        <v>Normal</v>
      </c>
      <c r="G672" s="3">
        <v>275</v>
      </c>
      <c r="H672" s="3">
        <v>45</v>
      </c>
      <c r="I672" s="3">
        <v>35</v>
      </c>
      <c r="J672" s="3">
        <v>45</v>
      </c>
      <c r="K672" s="3">
        <v>62</v>
      </c>
      <c r="L672" s="3">
        <v>53</v>
      </c>
      <c r="M672" s="3">
        <v>35</v>
      </c>
      <c r="N672" s="3">
        <f>AVERAGE($I$2:$I$1168)</f>
        <v>78.907455012853475</v>
      </c>
      <c r="O672" s="3" t="str">
        <f>CONCATENATE(A672,"-",B672)</f>
        <v>420-Cherubi</v>
      </c>
    </row>
    <row r="673" spans="1:15">
      <c r="A673" s="63">
        <v>421</v>
      </c>
      <c r="B673" s="2" t="s">
        <v>484</v>
      </c>
      <c r="C673" t="s">
        <v>16</v>
      </c>
      <c r="D673" s="22">
        <f>COUNTIF($C$2:$C$1168,Tabela1[[#This Row],[Type]])</f>
        <v>93</v>
      </c>
      <c r="E673" s="62" t="str">
        <f>IF(A673&lt;=151,"Kanto",IF(A673&lt;=251,"Johto",IF(A673&lt;=386,"Hoenn",IF(A673&lt;=493,"Sinnoh",IF(A673&lt;=649,"Unova",IF(A673&lt;=721,"Kalos",IF(A673&lt;=809,"Alola",IF(A673&lt;=905,"Galar","Paldea"))))))))</f>
        <v>Sinnoh</v>
      </c>
      <c r="F673" t="str">
        <f>IF(G673&gt;=600,"Lendário",IF(G673&gt;=500,"Forte","Normal"))</f>
        <v>Normal</v>
      </c>
      <c r="G673" s="3">
        <v>450</v>
      </c>
      <c r="H673" s="3">
        <v>70</v>
      </c>
      <c r="I673" s="3">
        <v>60</v>
      </c>
      <c r="J673" s="3">
        <v>70</v>
      </c>
      <c r="K673" s="3">
        <v>87</v>
      </c>
      <c r="L673" s="3">
        <v>78</v>
      </c>
      <c r="M673" s="3">
        <v>85</v>
      </c>
      <c r="N673" s="3">
        <f>AVERAGE($I$2:$I$1168)</f>
        <v>78.907455012853475</v>
      </c>
      <c r="O673" s="3" t="str">
        <f>CONCATENATE(A673,"-",B673)</f>
        <v>421-Cherrim</v>
      </c>
    </row>
    <row r="674" spans="1:15">
      <c r="A674" s="63">
        <v>422</v>
      </c>
      <c r="B674" s="2" t="s">
        <v>485</v>
      </c>
      <c r="C674" t="s">
        <v>30</v>
      </c>
      <c r="D674" s="22">
        <f>COUNTIF($C$2:$C$1168,Tabela1[[#This Row],[Type]])</f>
        <v>121</v>
      </c>
      <c r="E674" s="62" t="str">
        <f>IF(A674&lt;=151,"Kanto",IF(A674&lt;=251,"Johto",IF(A674&lt;=386,"Hoenn",IF(A674&lt;=493,"Sinnoh",IF(A674&lt;=649,"Unova",IF(A674&lt;=721,"Kalos",IF(A674&lt;=809,"Alola",IF(A674&lt;=905,"Galar","Paldea"))))))))</f>
        <v>Sinnoh</v>
      </c>
      <c r="F674" t="str">
        <f>IF(G674&gt;=600,"Lendário",IF(G674&gt;=500,"Forte","Normal"))</f>
        <v>Normal</v>
      </c>
      <c r="G674" s="3">
        <v>325</v>
      </c>
      <c r="H674" s="3">
        <v>76</v>
      </c>
      <c r="I674" s="3">
        <v>48</v>
      </c>
      <c r="J674" s="3">
        <v>48</v>
      </c>
      <c r="K674" s="3">
        <v>57</v>
      </c>
      <c r="L674" s="3">
        <v>62</v>
      </c>
      <c r="M674" s="3">
        <v>34</v>
      </c>
      <c r="N674" s="3">
        <f>AVERAGE($I$2:$I$1168)</f>
        <v>78.907455012853475</v>
      </c>
      <c r="O674" s="3" t="str">
        <f>CONCATENATE(A674,"-",B674)</f>
        <v>422-Shellos</v>
      </c>
    </row>
    <row r="675" spans="1:15">
      <c r="A675" s="63">
        <v>423</v>
      </c>
      <c r="B675" s="2" t="s">
        <v>486</v>
      </c>
      <c r="C675" t="s">
        <v>30</v>
      </c>
      <c r="D675" s="22">
        <f>COUNTIF($C$2:$C$1168,Tabela1[[#This Row],[Type]])</f>
        <v>121</v>
      </c>
      <c r="E675" s="62" t="str">
        <f>IF(A675&lt;=151,"Kanto",IF(A675&lt;=251,"Johto",IF(A675&lt;=386,"Hoenn",IF(A675&lt;=493,"Sinnoh",IF(A675&lt;=649,"Unova",IF(A675&lt;=721,"Kalos",IF(A675&lt;=809,"Alola",IF(A675&lt;=905,"Galar","Paldea"))))))))</f>
        <v>Sinnoh</v>
      </c>
      <c r="F675" t="str">
        <f>IF(G675&gt;=600,"Lendário",IF(G675&gt;=500,"Forte","Normal"))</f>
        <v>Normal</v>
      </c>
      <c r="G675" s="3">
        <v>475</v>
      </c>
      <c r="H675" s="3">
        <v>111</v>
      </c>
      <c r="I675" s="3">
        <v>83</v>
      </c>
      <c r="J675" s="3">
        <v>68</v>
      </c>
      <c r="K675" s="3">
        <v>92</v>
      </c>
      <c r="L675" s="3">
        <v>82</v>
      </c>
      <c r="M675" s="3">
        <v>39</v>
      </c>
      <c r="N675" s="3">
        <f>AVERAGE($I$2:$I$1168)</f>
        <v>78.907455012853475</v>
      </c>
      <c r="O675" s="3" t="str">
        <f>CONCATENATE(A675,"-",B675)</f>
        <v>423-Gastrodon</v>
      </c>
    </row>
    <row r="676" spans="1:15">
      <c r="A676" s="63">
        <v>423</v>
      </c>
      <c r="B676" s="2" t="str">
        <f>B675</f>
        <v>Gastrodon</v>
      </c>
      <c r="C676" t="s">
        <v>55</v>
      </c>
      <c r="D676" s="22">
        <f>COUNTIF($C$2:$C$1168,Tabela1[[#This Row],[Type]])</f>
        <v>62</v>
      </c>
      <c r="E676" s="62" t="str">
        <f>IF(A676&lt;=151,"Kanto",IF(A676&lt;=251,"Johto",IF(A676&lt;=386,"Hoenn",IF(A676&lt;=493,"Sinnoh",IF(A676&lt;=649,"Unova",IF(A676&lt;=721,"Kalos",IF(A676&lt;=809,"Alola",IF(A676&lt;=905,"Galar","Paldea"))))))))</f>
        <v>Sinnoh</v>
      </c>
      <c r="F676" t="str">
        <f>IF(G676&gt;=600,"Lendário",IF(G676&gt;=500,"Forte","Normal"))</f>
        <v>Normal</v>
      </c>
      <c r="G676" s="3">
        <f>G675</f>
        <v>475</v>
      </c>
      <c r="H676" s="3">
        <f>H675</f>
        <v>111</v>
      </c>
      <c r="I676" s="3">
        <f>I675</f>
        <v>83</v>
      </c>
      <c r="J676" s="3">
        <f>J675</f>
        <v>68</v>
      </c>
      <c r="K676" s="3">
        <f>K675</f>
        <v>92</v>
      </c>
      <c r="L676" s="3">
        <f>L675</f>
        <v>82</v>
      </c>
      <c r="M676" s="3">
        <f>M675</f>
        <v>39</v>
      </c>
      <c r="N676" s="3">
        <f>AVERAGE($I$2:$I$1168)</f>
        <v>78.907455012853475</v>
      </c>
      <c r="O676" s="3" t="str">
        <f>CONCATENATE(A676,"-",B676)</f>
        <v>423-Gastrodon</v>
      </c>
    </row>
    <row r="677" spans="1:15">
      <c r="A677" s="63">
        <v>423</v>
      </c>
      <c r="B677" s="2" t="str">
        <f>B676</f>
        <v>Gastrodon</v>
      </c>
      <c r="C677" t="s">
        <v>64</v>
      </c>
      <c r="D677" s="22">
        <f>COUNTIF($C$2:$C$1168,Tabela1[[#This Row],[Type]])</f>
        <v>34</v>
      </c>
      <c r="E677" s="62" t="str">
        <f>IF(A677&lt;=151,"Kanto",IF(A677&lt;=251,"Johto",IF(A677&lt;=386,"Hoenn",IF(A677&lt;=493,"Sinnoh",IF(A677&lt;=649,"Unova",IF(A677&lt;=721,"Kalos",IF(A677&lt;=809,"Alola",IF(A677&lt;=905,"Galar","Paldea"))))))))</f>
        <v>Sinnoh</v>
      </c>
      <c r="F677" t="str">
        <f>IF(G677&gt;=600,"Lendário",IF(G677&gt;=500,"Forte","Normal"))</f>
        <v>Normal</v>
      </c>
      <c r="G677" s="3">
        <f>G676</f>
        <v>475</v>
      </c>
      <c r="H677" s="3">
        <f>H676</f>
        <v>111</v>
      </c>
      <c r="I677" s="3">
        <f>I676</f>
        <v>83</v>
      </c>
      <c r="J677" s="3">
        <f>J676</f>
        <v>68</v>
      </c>
      <c r="K677" s="3">
        <f>K676</f>
        <v>92</v>
      </c>
      <c r="L677" s="3">
        <f>L676</f>
        <v>82</v>
      </c>
      <c r="M677" s="3">
        <f>M676</f>
        <v>39</v>
      </c>
      <c r="N677" s="3">
        <f>AVERAGE($I$2:$I$1168)</f>
        <v>78.907455012853475</v>
      </c>
      <c r="O677" s="3" t="str">
        <f>CONCATENATE(A677,"-",B677)</f>
        <v>423-Gastrodon</v>
      </c>
    </row>
    <row r="678" spans="1:15">
      <c r="A678" s="63">
        <v>424</v>
      </c>
      <c r="B678" s="2" t="s">
        <v>487</v>
      </c>
      <c r="C678" t="s">
        <v>42</v>
      </c>
      <c r="D678" s="22">
        <f>COUNTIF($C$2:$C$1168,Tabela1[[#This Row],[Type]])</f>
        <v>99</v>
      </c>
      <c r="E678" s="62" t="str">
        <f>IF(A678&lt;=151,"Kanto",IF(A678&lt;=251,"Johto",IF(A678&lt;=386,"Hoenn",IF(A678&lt;=493,"Sinnoh",IF(A678&lt;=649,"Unova",IF(A678&lt;=721,"Kalos",IF(A678&lt;=809,"Alola",IF(A678&lt;=905,"Galar","Paldea"))))))))</f>
        <v>Sinnoh</v>
      </c>
      <c r="F678" t="str">
        <f>IF(G678&gt;=600,"Lendário",IF(G678&gt;=500,"Forte","Normal"))</f>
        <v>Normal</v>
      </c>
      <c r="G678" s="3">
        <v>482</v>
      </c>
      <c r="H678" s="3">
        <v>75</v>
      </c>
      <c r="I678" s="3">
        <v>100</v>
      </c>
      <c r="J678" s="3">
        <v>66</v>
      </c>
      <c r="K678" s="3">
        <v>60</v>
      </c>
      <c r="L678" s="3">
        <v>66</v>
      </c>
      <c r="M678" s="3">
        <v>115</v>
      </c>
      <c r="N678" s="3">
        <f>AVERAGE($I$2:$I$1168)</f>
        <v>78.907455012853475</v>
      </c>
      <c r="O678" s="3" t="str">
        <f>CONCATENATE(A678,"-",B678)</f>
        <v>424-Ambipom</v>
      </c>
    </row>
    <row r="679" spans="1:15">
      <c r="A679" s="63">
        <v>424</v>
      </c>
      <c r="B679" s="2" t="str">
        <f>B678</f>
        <v>Ambipom</v>
      </c>
      <c r="C679" t="s">
        <v>25</v>
      </c>
      <c r="D679" s="22">
        <f>COUNTIF($C$2:$C$1168,Tabela1[[#This Row],[Type]])</f>
        <v>100</v>
      </c>
      <c r="E679" s="62" t="str">
        <f>IF(A679&lt;=151,"Kanto",IF(A679&lt;=251,"Johto",IF(A679&lt;=386,"Hoenn",IF(A679&lt;=493,"Sinnoh",IF(A679&lt;=649,"Unova",IF(A679&lt;=721,"Kalos",IF(A679&lt;=809,"Alola",IF(A679&lt;=905,"Galar","Paldea"))))))))</f>
        <v>Sinnoh</v>
      </c>
      <c r="F679" t="str">
        <f>IF(G679&gt;=600,"Lendário",IF(G679&gt;=500,"Forte","Normal"))</f>
        <v>Normal</v>
      </c>
      <c r="G679" s="3">
        <f>G678</f>
        <v>482</v>
      </c>
      <c r="H679" s="3">
        <f>H678</f>
        <v>75</v>
      </c>
      <c r="I679" s="3">
        <f>I678</f>
        <v>100</v>
      </c>
      <c r="J679" s="3">
        <f>J678</f>
        <v>66</v>
      </c>
      <c r="K679" s="3">
        <f>K678</f>
        <v>60</v>
      </c>
      <c r="L679" s="3">
        <f>L678</f>
        <v>66</v>
      </c>
      <c r="M679" s="3">
        <f>M678</f>
        <v>115</v>
      </c>
      <c r="N679" s="3">
        <f>AVERAGE($I$2:$I$1168)</f>
        <v>78.907455012853475</v>
      </c>
      <c r="O679" s="3" t="str">
        <f>CONCATENATE(A679,"-",B679)</f>
        <v>424-Ambipom</v>
      </c>
    </row>
    <row r="680" spans="1:15">
      <c r="A680" s="63">
        <v>425</v>
      </c>
      <c r="B680" s="2" t="s">
        <v>488</v>
      </c>
      <c r="C680" t="s">
        <v>128</v>
      </c>
      <c r="D680" s="22">
        <f>COUNTIF($C$2:$C$1168,Tabela1[[#This Row],[Type]])</f>
        <v>45</v>
      </c>
      <c r="E680" s="62" t="str">
        <f>IF(A680&lt;=151,"Kanto",IF(A680&lt;=251,"Johto",IF(A680&lt;=386,"Hoenn",IF(A680&lt;=493,"Sinnoh",IF(A680&lt;=649,"Unova",IF(A680&lt;=721,"Kalos",IF(A680&lt;=809,"Alola",IF(A680&lt;=905,"Galar","Paldea"))))))))</f>
        <v>Sinnoh</v>
      </c>
      <c r="F680" t="str">
        <f>IF(G680&gt;=600,"Lendário",IF(G680&gt;=500,"Forte","Normal"))</f>
        <v>Normal</v>
      </c>
      <c r="G680" s="3">
        <v>348</v>
      </c>
      <c r="H680" s="3">
        <v>90</v>
      </c>
      <c r="I680" s="3">
        <v>50</v>
      </c>
      <c r="J680" s="3">
        <v>34</v>
      </c>
      <c r="K680" s="3">
        <v>60</v>
      </c>
      <c r="L680" s="3">
        <v>44</v>
      </c>
      <c r="M680" s="3">
        <v>70</v>
      </c>
      <c r="N680" s="3">
        <f>AVERAGE($I$2:$I$1168)</f>
        <v>78.907455012853475</v>
      </c>
      <c r="O680" s="3" t="str">
        <f>CONCATENATE(A680,"-",B680)</f>
        <v>425-Drifloon</v>
      </c>
    </row>
    <row r="681" spans="1:15">
      <c r="A681" s="63">
        <v>425</v>
      </c>
      <c r="B681" s="2" t="str">
        <f>B680</f>
        <v>Drifloon</v>
      </c>
      <c r="C681" t="s">
        <v>25</v>
      </c>
      <c r="D681" s="22">
        <f>COUNTIF($C$2:$C$1168,Tabela1[[#This Row],[Type]])</f>
        <v>100</v>
      </c>
      <c r="E681" s="62" t="str">
        <f>IF(A681&lt;=151,"Kanto",IF(A681&lt;=251,"Johto",IF(A681&lt;=386,"Hoenn",IF(A681&lt;=493,"Sinnoh",IF(A681&lt;=649,"Unova",IF(A681&lt;=721,"Kalos",IF(A681&lt;=809,"Alola",IF(A681&lt;=905,"Galar","Paldea"))))))))</f>
        <v>Sinnoh</v>
      </c>
      <c r="F681" t="str">
        <f>IF(G681&gt;=600,"Lendário",IF(G681&gt;=500,"Forte","Normal"))</f>
        <v>Normal</v>
      </c>
      <c r="G681" s="3">
        <f>G680</f>
        <v>348</v>
      </c>
      <c r="H681" s="3">
        <f>H680</f>
        <v>90</v>
      </c>
      <c r="I681" s="3">
        <f>I680</f>
        <v>50</v>
      </c>
      <c r="J681" s="3">
        <f>J680</f>
        <v>34</v>
      </c>
      <c r="K681" s="3">
        <f>K680</f>
        <v>60</v>
      </c>
      <c r="L681" s="3">
        <f>L680</f>
        <v>44</v>
      </c>
      <c r="M681" s="3">
        <f>M680</f>
        <v>70</v>
      </c>
      <c r="N681" s="3">
        <f>AVERAGE($I$2:$I$1168)</f>
        <v>78.907455012853475</v>
      </c>
      <c r="O681" s="3" t="str">
        <f>CONCATENATE(A681,"-",B681)</f>
        <v>425-Drifloon</v>
      </c>
    </row>
    <row r="682" spans="1:15">
      <c r="A682" s="63">
        <v>426</v>
      </c>
      <c r="B682" s="2" t="s">
        <v>489</v>
      </c>
      <c r="C682" t="s">
        <v>128</v>
      </c>
      <c r="D682" s="22">
        <f>COUNTIF($C$2:$C$1168,Tabela1[[#This Row],[Type]])</f>
        <v>45</v>
      </c>
      <c r="E682" s="62" t="str">
        <f>IF(A682&lt;=151,"Kanto",IF(A682&lt;=251,"Johto",IF(A682&lt;=386,"Hoenn",IF(A682&lt;=493,"Sinnoh",IF(A682&lt;=649,"Unova",IF(A682&lt;=721,"Kalos",IF(A682&lt;=809,"Alola",IF(A682&lt;=905,"Galar","Paldea"))))))))</f>
        <v>Sinnoh</v>
      </c>
      <c r="F682" t="str">
        <f>IF(G682&gt;=600,"Lendário",IF(G682&gt;=500,"Forte","Normal"))</f>
        <v>Normal</v>
      </c>
      <c r="G682" s="3">
        <v>498</v>
      </c>
      <c r="H682" s="3">
        <v>150</v>
      </c>
      <c r="I682" s="3">
        <v>80</v>
      </c>
      <c r="J682" s="3">
        <v>44</v>
      </c>
      <c r="K682" s="3">
        <v>90</v>
      </c>
      <c r="L682" s="3">
        <v>54</v>
      </c>
      <c r="M682" s="3">
        <v>80</v>
      </c>
      <c r="N682" s="3">
        <f>AVERAGE($I$2:$I$1168)</f>
        <v>78.907455012853475</v>
      </c>
      <c r="O682" s="3" t="str">
        <f>CONCATENATE(A682,"-",B682)</f>
        <v>426-Drifblim</v>
      </c>
    </row>
    <row r="683" spans="1:15">
      <c r="A683" s="63">
        <v>426</v>
      </c>
      <c r="B683" s="2" t="str">
        <f>B682</f>
        <v>Drifblim</v>
      </c>
      <c r="C683" t="s">
        <v>25</v>
      </c>
      <c r="D683" s="22">
        <f>COUNTIF($C$2:$C$1168,Tabela1[[#This Row],[Type]])</f>
        <v>100</v>
      </c>
      <c r="E683" s="62" t="str">
        <f>IF(A683&lt;=151,"Kanto",IF(A683&lt;=251,"Johto",IF(A683&lt;=386,"Hoenn",IF(A683&lt;=493,"Sinnoh",IF(A683&lt;=649,"Unova",IF(A683&lt;=721,"Kalos",IF(A683&lt;=809,"Alola",IF(A683&lt;=905,"Galar","Paldea"))))))))</f>
        <v>Sinnoh</v>
      </c>
      <c r="F683" t="str">
        <f>IF(G683&gt;=600,"Lendário",IF(G683&gt;=500,"Forte","Normal"))</f>
        <v>Normal</v>
      </c>
      <c r="G683" s="3">
        <f>G682</f>
        <v>498</v>
      </c>
      <c r="H683" s="3">
        <f>H682</f>
        <v>150</v>
      </c>
      <c r="I683" s="3">
        <f>I682</f>
        <v>80</v>
      </c>
      <c r="J683" s="3">
        <f>J682</f>
        <v>44</v>
      </c>
      <c r="K683" s="3">
        <f>K682</f>
        <v>90</v>
      </c>
      <c r="L683" s="3">
        <f>L682</f>
        <v>54</v>
      </c>
      <c r="M683" s="3">
        <f>M682</f>
        <v>80</v>
      </c>
      <c r="N683" s="3">
        <f>AVERAGE($I$2:$I$1168)</f>
        <v>78.907455012853475</v>
      </c>
      <c r="O683" s="3" t="str">
        <f>CONCATENATE(A683,"-",B683)</f>
        <v>426-Drifblim</v>
      </c>
    </row>
    <row r="684" spans="1:15">
      <c r="A684" s="63">
        <v>427</v>
      </c>
      <c r="B684" s="2" t="s">
        <v>490</v>
      </c>
      <c r="C684" t="s">
        <v>42</v>
      </c>
      <c r="D684" s="22">
        <f>COUNTIF($C$2:$C$1168,Tabela1[[#This Row],[Type]])</f>
        <v>99</v>
      </c>
      <c r="E684" s="62" t="str">
        <f>IF(A684&lt;=151,"Kanto",IF(A684&lt;=251,"Johto",IF(A684&lt;=386,"Hoenn",IF(A684&lt;=493,"Sinnoh",IF(A684&lt;=649,"Unova",IF(A684&lt;=721,"Kalos",IF(A684&lt;=809,"Alola",IF(A684&lt;=905,"Galar","Paldea"))))))))</f>
        <v>Sinnoh</v>
      </c>
      <c r="F684" t="str">
        <f>IF(G684&gt;=600,"Lendário",IF(G684&gt;=500,"Forte","Normal"))</f>
        <v>Normal</v>
      </c>
      <c r="G684" s="3">
        <v>350</v>
      </c>
      <c r="H684" s="3">
        <v>55</v>
      </c>
      <c r="I684" s="3">
        <v>66</v>
      </c>
      <c r="J684" s="3">
        <v>44</v>
      </c>
      <c r="K684" s="3">
        <v>44</v>
      </c>
      <c r="L684" s="3">
        <v>56</v>
      </c>
      <c r="M684" s="3">
        <v>85</v>
      </c>
      <c r="N684" s="3">
        <f>AVERAGE($I$2:$I$1168)</f>
        <v>78.907455012853475</v>
      </c>
      <c r="O684" s="3" t="str">
        <f>CONCATENATE(A684,"-",B684)</f>
        <v>427-Buneary</v>
      </c>
    </row>
    <row r="685" spans="1:15">
      <c r="A685" s="63">
        <v>428</v>
      </c>
      <c r="B685" s="2" t="s">
        <v>491</v>
      </c>
      <c r="C685" t="s">
        <v>42</v>
      </c>
      <c r="D685" s="22">
        <f>COUNTIF($C$2:$C$1168,Tabela1[[#This Row],[Type]])</f>
        <v>99</v>
      </c>
      <c r="E685" s="62" t="str">
        <f>IF(A685&lt;=151,"Kanto",IF(A685&lt;=251,"Johto",IF(A685&lt;=386,"Hoenn",IF(A685&lt;=493,"Sinnoh",IF(A685&lt;=649,"Unova",IF(A685&lt;=721,"Kalos",IF(A685&lt;=809,"Alola",IF(A685&lt;=905,"Galar","Paldea"))))))))</f>
        <v>Sinnoh</v>
      </c>
      <c r="F685" t="str">
        <f>IF(G685&gt;=600,"Lendário",IF(G685&gt;=500,"Forte","Normal"))</f>
        <v>Normal</v>
      </c>
      <c r="G685" s="3">
        <v>480</v>
      </c>
      <c r="H685" s="3">
        <v>65</v>
      </c>
      <c r="I685" s="3">
        <v>76</v>
      </c>
      <c r="J685" s="3">
        <v>84</v>
      </c>
      <c r="K685" s="3">
        <v>54</v>
      </c>
      <c r="L685" s="3">
        <v>96</v>
      </c>
      <c r="M685" s="3">
        <v>105</v>
      </c>
      <c r="N685" s="3">
        <f>AVERAGE($I$2:$I$1168)</f>
        <v>78.907455012853475</v>
      </c>
      <c r="O685" s="3" t="str">
        <f>CONCATENATE(A685,"-",B685)</f>
        <v>428-Lopunny</v>
      </c>
    </row>
    <row r="686" spans="1:15">
      <c r="A686" s="63">
        <v>429</v>
      </c>
      <c r="B686" s="2" t="s">
        <v>492</v>
      </c>
      <c r="C686" t="s">
        <v>128</v>
      </c>
      <c r="D686" s="22">
        <f>COUNTIF($C$2:$C$1168,Tabela1[[#This Row],[Type]])</f>
        <v>45</v>
      </c>
      <c r="E686" s="62" t="str">
        <f>IF(A686&lt;=151,"Kanto",IF(A686&lt;=251,"Johto",IF(A686&lt;=386,"Hoenn",IF(A686&lt;=493,"Sinnoh",IF(A686&lt;=649,"Unova",IF(A686&lt;=721,"Kalos",IF(A686&lt;=809,"Alola",IF(A686&lt;=905,"Galar","Paldea"))))))))</f>
        <v>Sinnoh</v>
      </c>
      <c r="F686" t="str">
        <f>IF(G686&gt;=600,"Lendário",IF(G686&gt;=500,"Forte","Normal"))</f>
        <v>Normal</v>
      </c>
      <c r="G686" s="3">
        <v>495</v>
      </c>
      <c r="H686" s="3">
        <v>60</v>
      </c>
      <c r="I686" s="3">
        <v>60</v>
      </c>
      <c r="J686" s="3">
        <v>60</v>
      </c>
      <c r="K686" s="3">
        <v>105</v>
      </c>
      <c r="L686" s="3">
        <v>105</v>
      </c>
      <c r="M686" s="3">
        <v>105</v>
      </c>
      <c r="N686" s="3">
        <f>AVERAGE($I$2:$I$1168)</f>
        <v>78.907455012853475</v>
      </c>
      <c r="O686" s="3" t="str">
        <f>CONCATENATE(A686,"-",B686)</f>
        <v>429-Mismagius</v>
      </c>
    </row>
    <row r="687" spans="1:15">
      <c r="A687" s="63">
        <v>430</v>
      </c>
      <c r="B687" s="2" t="s">
        <v>493</v>
      </c>
      <c r="C687" t="s">
        <v>170</v>
      </c>
      <c r="D687" s="22">
        <f>COUNTIF($C$2:$C$1168,Tabela1[[#This Row],[Type]])</f>
        <v>49</v>
      </c>
      <c r="E687" s="62" t="str">
        <f>IF(A687&lt;=151,"Kanto",IF(A687&lt;=251,"Johto",IF(A687&lt;=386,"Hoenn",IF(A687&lt;=493,"Sinnoh",IF(A687&lt;=649,"Unova",IF(A687&lt;=721,"Kalos",IF(A687&lt;=809,"Alola",IF(A687&lt;=905,"Galar","Paldea"))))))))</f>
        <v>Sinnoh</v>
      </c>
      <c r="F687" t="str">
        <f>IF(G687&gt;=600,"Lendário",IF(G687&gt;=500,"Forte","Normal"))</f>
        <v>Forte</v>
      </c>
      <c r="G687" s="3">
        <v>505</v>
      </c>
      <c r="H687" s="3">
        <v>100</v>
      </c>
      <c r="I687" s="3">
        <v>125</v>
      </c>
      <c r="J687" s="3">
        <v>52</v>
      </c>
      <c r="K687" s="3">
        <v>105</v>
      </c>
      <c r="L687" s="3">
        <v>52</v>
      </c>
      <c r="M687" s="3">
        <v>71</v>
      </c>
      <c r="N687" s="3">
        <f>AVERAGE($I$2:$I$1168)</f>
        <v>78.907455012853475</v>
      </c>
      <c r="O687" s="3" t="str">
        <f>CONCATENATE(A687,"-",B687)</f>
        <v>430-Honchkrow</v>
      </c>
    </row>
    <row r="688" spans="1:15">
      <c r="A688" s="63">
        <v>430</v>
      </c>
      <c r="B688" s="2" t="str">
        <f>B687</f>
        <v>Honchkrow</v>
      </c>
      <c r="C688" t="s">
        <v>25</v>
      </c>
      <c r="D688" s="22">
        <f>COUNTIF($C$2:$C$1168,Tabela1[[#This Row],[Type]])</f>
        <v>100</v>
      </c>
      <c r="E688" s="62" t="str">
        <f>IF(A688&lt;=151,"Kanto",IF(A688&lt;=251,"Johto",IF(A688&lt;=386,"Hoenn",IF(A688&lt;=493,"Sinnoh",IF(A688&lt;=649,"Unova",IF(A688&lt;=721,"Kalos",IF(A688&lt;=809,"Alola",IF(A688&lt;=905,"Galar","Paldea"))))))))</f>
        <v>Sinnoh</v>
      </c>
      <c r="F688" t="str">
        <f>IF(G688&gt;=600,"Lendário",IF(G688&gt;=500,"Forte","Normal"))</f>
        <v>Forte</v>
      </c>
      <c r="G688" s="3">
        <f>G687</f>
        <v>505</v>
      </c>
      <c r="H688" s="3">
        <f>H687</f>
        <v>100</v>
      </c>
      <c r="I688" s="3">
        <f>I687</f>
        <v>125</v>
      </c>
      <c r="J688" s="3">
        <f>J687</f>
        <v>52</v>
      </c>
      <c r="K688" s="3">
        <f>K687</f>
        <v>105</v>
      </c>
      <c r="L688" s="3">
        <f>L687</f>
        <v>52</v>
      </c>
      <c r="M688" s="3">
        <f>M687</f>
        <v>71</v>
      </c>
      <c r="N688" s="3">
        <f>AVERAGE($I$2:$I$1168)</f>
        <v>78.907455012853475</v>
      </c>
      <c r="O688" s="3" t="str">
        <f>CONCATENATE(A688,"-",B688)</f>
        <v>430-Honchkrow</v>
      </c>
    </row>
    <row r="689" spans="1:15">
      <c r="A689" s="63">
        <v>431</v>
      </c>
      <c r="B689" s="2" t="s">
        <v>494</v>
      </c>
      <c r="C689" t="s">
        <v>42</v>
      </c>
      <c r="D689" s="22">
        <f>COUNTIF($C$2:$C$1168,Tabela1[[#This Row],[Type]])</f>
        <v>99</v>
      </c>
      <c r="E689" s="62" t="str">
        <f>IF(A689&lt;=151,"Kanto",IF(A689&lt;=251,"Johto",IF(A689&lt;=386,"Hoenn",IF(A689&lt;=493,"Sinnoh",IF(A689&lt;=649,"Unova",IF(A689&lt;=721,"Kalos",IF(A689&lt;=809,"Alola",IF(A689&lt;=905,"Galar","Paldea"))))))))</f>
        <v>Sinnoh</v>
      </c>
      <c r="F689" t="str">
        <f>IF(G689&gt;=600,"Lendário",IF(G689&gt;=500,"Forte","Normal"))</f>
        <v>Normal</v>
      </c>
      <c r="G689" s="3">
        <v>310</v>
      </c>
      <c r="H689" s="3">
        <v>49</v>
      </c>
      <c r="I689" s="3">
        <v>55</v>
      </c>
      <c r="J689" s="3">
        <v>42</v>
      </c>
      <c r="K689" s="3">
        <v>42</v>
      </c>
      <c r="L689" s="3">
        <v>37</v>
      </c>
      <c r="M689" s="3">
        <v>85</v>
      </c>
      <c r="N689" s="3">
        <f>AVERAGE($I$2:$I$1168)</f>
        <v>78.907455012853475</v>
      </c>
      <c r="O689" s="3" t="str">
        <f>CONCATENATE(A689,"-",B689)</f>
        <v>431-Glameow</v>
      </c>
    </row>
    <row r="690" spans="1:15">
      <c r="A690" s="63">
        <v>432</v>
      </c>
      <c r="B690" s="2" t="s">
        <v>495</v>
      </c>
      <c r="C690" t="s">
        <v>42</v>
      </c>
      <c r="D690" s="22">
        <f>COUNTIF($C$2:$C$1168,Tabela1[[#This Row],[Type]])</f>
        <v>99</v>
      </c>
      <c r="E690" s="62" t="str">
        <f>IF(A690&lt;=151,"Kanto",IF(A690&lt;=251,"Johto",IF(A690&lt;=386,"Hoenn",IF(A690&lt;=493,"Sinnoh",IF(A690&lt;=649,"Unova",IF(A690&lt;=721,"Kalos",IF(A690&lt;=809,"Alola",IF(A690&lt;=905,"Galar","Paldea"))))))))</f>
        <v>Sinnoh</v>
      </c>
      <c r="F690" t="str">
        <f>IF(G690&gt;=600,"Lendário",IF(G690&gt;=500,"Forte","Normal"))</f>
        <v>Normal</v>
      </c>
      <c r="G690" s="3">
        <v>452</v>
      </c>
      <c r="H690" s="3">
        <v>71</v>
      </c>
      <c r="I690" s="3">
        <v>82</v>
      </c>
      <c r="J690" s="3">
        <v>64</v>
      </c>
      <c r="K690" s="3">
        <v>64</v>
      </c>
      <c r="L690" s="3">
        <v>59</v>
      </c>
      <c r="M690" s="3">
        <v>112</v>
      </c>
      <c r="N690" s="3">
        <f>AVERAGE($I$2:$I$1168)</f>
        <v>78.907455012853475</v>
      </c>
      <c r="O690" s="3" t="str">
        <f>CONCATENATE(A690,"-",B690)</f>
        <v>432-Purugly</v>
      </c>
    </row>
    <row r="691" spans="1:15">
      <c r="A691" s="63">
        <v>433</v>
      </c>
      <c r="B691" s="2" t="s">
        <v>496</v>
      </c>
      <c r="C691" t="s">
        <v>94</v>
      </c>
      <c r="D691" s="22">
        <f>COUNTIF($C$2:$C$1168,Tabela1[[#This Row],[Type]])</f>
        <v>83</v>
      </c>
      <c r="E691" s="62" t="str">
        <f>IF(A691&lt;=151,"Kanto",IF(A691&lt;=251,"Johto",IF(A691&lt;=386,"Hoenn",IF(A691&lt;=493,"Sinnoh",IF(A691&lt;=649,"Unova",IF(A691&lt;=721,"Kalos",IF(A691&lt;=809,"Alola",IF(A691&lt;=905,"Galar","Paldea"))))))))</f>
        <v>Sinnoh</v>
      </c>
      <c r="F691" t="str">
        <f>IF(G691&gt;=600,"Lendário",IF(G691&gt;=500,"Forte","Normal"))</f>
        <v>Normal</v>
      </c>
      <c r="G691" s="3">
        <v>285</v>
      </c>
      <c r="H691" s="3">
        <v>45</v>
      </c>
      <c r="I691" s="3">
        <v>30</v>
      </c>
      <c r="J691" s="3">
        <v>50</v>
      </c>
      <c r="K691" s="3">
        <v>65</v>
      </c>
      <c r="L691" s="3">
        <v>50</v>
      </c>
      <c r="M691" s="3">
        <v>45</v>
      </c>
      <c r="N691" s="3">
        <f>AVERAGE($I$2:$I$1168)</f>
        <v>78.907455012853475</v>
      </c>
      <c r="O691" s="3" t="str">
        <f>CONCATENATE(A691,"-",B691)</f>
        <v>433-Chingling</v>
      </c>
    </row>
    <row r="692" spans="1:15">
      <c r="A692" s="63">
        <v>434</v>
      </c>
      <c r="B692" s="2" t="s">
        <v>497</v>
      </c>
      <c r="C692" t="s">
        <v>17</v>
      </c>
      <c r="D692" s="22">
        <f>COUNTIF($C$2:$C$1168,Tabela1[[#This Row],[Type]])</f>
        <v>61</v>
      </c>
      <c r="E692" s="62" t="str">
        <f>IF(A692&lt;=151,"Kanto",IF(A692&lt;=251,"Johto",IF(A692&lt;=386,"Hoenn",IF(A692&lt;=493,"Sinnoh",IF(A692&lt;=649,"Unova",IF(A692&lt;=721,"Kalos",IF(A692&lt;=809,"Alola",IF(A692&lt;=905,"Galar","Paldea"))))))))</f>
        <v>Sinnoh</v>
      </c>
      <c r="F692" t="str">
        <f>IF(G692&gt;=600,"Lendário",IF(G692&gt;=500,"Forte","Normal"))</f>
        <v>Normal</v>
      </c>
      <c r="G692" s="3">
        <v>329</v>
      </c>
      <c r="H692" s="3">
        <v>63</v>
      </c>
      <c r="I692" s="3">
        <v>63</v>
      </c>
      <c r="J692" s="3">
        <v>47</v>
      </c>
      <c r="K692" s="3">
        <v>41</v>
      </c>
      <c r="L692" s="3">
        <v>41</v>
      </c>
      <c r="M692" s="3">
        <v>74</v>
      </c>
      <c r="N692" s="3">
        <f>AVERAGE($I$2:$I$1168)</f>
        <v>78.907455012853475</v>
      </c>
      <c r="O692" s="3" t="str">
        <f>CONCATENATE(A692,"-",B692)</f>
        <v>434-Stunky</v>
      </c>
    </row>
    <row r="693" spans="1:15">
      <c r="A693" s="63">
        <v>434</v>
      </c>
      <c r="B693" s="2" t="str">
        <f>B692</f>
        <v>Stunky</v>
      </c>
      <c r="C693" t="s">
        <v>170</v>
      </c>
      <c r="D693" s="22">
        <f>COUNTIF($C$2:$C$1168,Tabela1[[#This Row],[Type]])</f>
        <v>49</v>
      </c>
      <c r="E693" s="62" t="str">
        <f>IF(A693&lt;=151,"Kanto",IF(A693&lt;=251,"Johto",IF(A693&lt;=386,"Hoenn",IF(A693&lt;=493,"Sinnoh",IF(A693&lt;=649,"Unova",IF(A693&lt;=721,"Kalos",IF(A693&lt;=809,"Alola",IF(A693&lt;=905,"Galar","Paldea"))))))))</f>
        <v>Sinnoh</v>
      </c>
      <c r="F693" t="str">
        <f>IF(G693&gt;=600,"Lendário",IF(G693&gt;=500,"Forte","Normal"))</f>
        <v>Normal</v>
      </c>
      <c r="G693" s="3">
        <f>G692</f>
        <v>329</v>
      </c>
      <c r="H693" s="3">
        <f>H692</f>
        <v>63</v>
      </c>
      <c r="I693" s="3">
        <f>I692</f>
        <v>63</v>
      </c>
      <c r="J693" s="3">
        <f>J692</f>
        <v>47</v>
      </c>
      <c r="K693" s="3">
        <f>K692</f>
        <v>41</v>
      </c>
      <c r="L693" s="3">
        <f>L692</f>
        <v>41</v>
      </c>
      <c r="M693" s="3">
        <f>M692</f>
        <v>74</v>
      </c>
      <c r="N693" s="3">
        <f>AVERAGE($I$2:$I$1168)</f>
        <v>78.907455012853475</v>
      </c>
      <c r="O693" s="3" t="str">
        <f>CONCATENATE(A693,"-",B693)</f>
        <v>434-Stunky</v>
      </c>
    </row>
    <row r="694" spans="1:15">
      <c r="A694" s="63">
        <v>435</v>
      </c>
      <c r="B694" s="2" t="s">
        <v>498</v>
      </c>
      <c r="C694" t="s">
        <v>17</v>
      </c>
      <c r="D694" s="22">
        <f>COUNTIF($C$2:$C$1168,Tabela1[[#This Row],[Type]])</f>
        <v>61</v>
      </c>
      <c r="E694" s="62" t="str">
        <f>IF(A694&lt;=151,"Kanto",IF(A694&lt;=251,"Johto",IF(A694&lt;=386,"Hoenn",IF(A694&lt;=493,"Sinnoh",IF(A694&lt;=649,"Unova",IF(A694&lt;=721,"Kalos",IF(A694&lt;=809,"Alola",IF(A694&lt;=905,"Galar","Paldea"))))))))</f>
        <v>Sinnoh</v>
      </c>
      <c r="F694" t="str">
        <f>IF(G694&gt;=600,"Lendário",IF(G694&gt;=500,"Forte","Normal"))</f>
        <v>Normal</v>
      </c>
      <c r="G694" s="3">
        <v>479</v>
      </c>
      <c r="H694" s="3">
        <v>103</v>
      </c>
      <c r="I694" s="3">
        <v>93</v>
      </c>
      <c r="J694" s="3">
        <v>67</v>
      </c>
      <c r="K694" s="3">
        <v>71</v>
      </c>
      <c r="L694" s="3">
        <v>61</v>
      </c>
      <c r="M694" s="3">
        <v>84</v>
      </c>
      <c r="N694" s="3">
        <f>AVERAGE($I$2:$I$1168)</f>
        <v>78.907455012853475</v>
      </c>
      <c r="O694" s="3" t="str">
        <f>CONCATENATE(A694,"-",B694)</f>
        <v>435-Skuntank</v>
      </c>
    </row>
    <row r="695" spans="1:15">
      <c r="A695" s="63">
        <v>435</v>
      </c>
      <c r="B695" s="2" t="str">
        <f>B694</f>
        <v>Skuntank</v>
      </c>
      <c r="C695" t="s">
        <v>170</v>
      </c>
      <c r="D695" s="22">
        <f>COUNTIF($C$2:$C$1168,Tabela1[[#This Row],[Type]])</f>
        <v>49</v>
      </c>
      <c r="E695" s="62" t="str">
        <f>IF(A695&lt;=151,"Kanto",IF(A695&lt;=251,"Johto",IF(A695&lt;=386,"Hoenn",IF(A695&lt;=493,"Sinnoh",IF(A695&lt;=649,"Unova",IF(A695&lt;=721,"Kalos",IF(A695&lt;=809,"Alola",IF(A695&lt;=905,"Galar","Paldea"))))))))</f>
        <v>Sinnoh</v>
      </c>
      <c r="F695" t="str">
        <f>IF(G695&gt;=600,"Lendário",IF(G695&gt;=500,"Forte","Normal"))</f>
        <v>Normal</v>
      </c>
      <c r="G695" s="3">
        <f>G694</f>
        <v>479</v>
      </c>
      <c r="H695" s="3">
        <f>H694</f>
        <v>103</v>
      </c>
      <c r="I695" s="3">
        <f>I694</f>
        <v>93</v>
      </c>
      <c r="J695" s="3">
        <f>J694</f>
        <v>67</v>
      </c>
      <c r="K695" s="3">
        <f>K694</f>
        <v>71</v>
      </c>
      <c r="L695" s="3">
        <f>L694</f>
        <v>61</v>
      </c>
      <c r="M695" s="3">
        <f>M694</f>
        <v>84</v>
      </c>
      <c r="N695" s="3">
        <f>AVERAGE($I$2:$I$1168)</f>
        <v>78.907455012853475</v>
      </c>
      <c r="O695" s="3" t="str">
        <f>CONCATENATE(A695,"-",B695)</f>
        <v>435-Skuntank</v>
      </c>
    </row>
    <row r="696" spans="1:15">
      <c r="A696" s="63">
        <v>436</v>
      </c>
      <c r="B696" s="2" t="s">
        <v>499</v>
      </c>
      <c r="C696" t="s">
        <v>115</v>
      </c>
      <c r="D696" s="22">
        <f>COUNTIF($C$2:$C$1168,Tabela1[[#This Row],[Type]])</f>
        <v>48</v>
      </c>
      <c r="E696" s="62" t="str">
        <f>IF(A696&lt;=151,"Kanto",IF(A696&lt;=251,"Johto",IF(A696&lt;=386,"Hoenn",IF(A696&lt;=493,"Sinnoh",IF(A696&lt;=649,"Unova",IF(A696&lt;=721,"Kalos",IF(A696&lt;=809,"Alola",IF(A696&lt;=905,"Galar","Paldea"))))))))</f>
        <v>Sinnoh</v>
      </c>
      <c r="F696" t="str">
        <f>IF(G696&gt;=600,"Lendário",IF(G696&gt;=500,"Forte","Normal"))</f>
        <v>Normal</v>
      </c>
      <c r="G696" s="3">
        <v>300</v>
      </c>
      <c r="H696" s="3">
        <v>57</v>
      </c>
      <c r="I696" s="3">
        <v>24</v>
      </c>
      <c r="J696" s="3">
        <v>86</v>
      </c>
      <c r="K696" s="3">
        <v>24</v>
      </c>
      <c r="L696" s="3">
        <v>86</v>
      </c>
      <c r="M696" s="3">
        <v>23</v>
      </c>
      <c r="N696" s="3">
        <f>AVERAGE($I$2:$I$1168)</f>
        <v>78.907455012853475</v>
      </c>
      <c r="O696" s="3" t="str">
        <f>CONCATENATE(A696,"-",B696)</f>
        <v>436-Bronzor</v>
      </c>
    </row>
    <row r="697" spans="1:15">
      <c r="A697" s="63">
        <v>436</v>
      </c>
      <c r="B697" s="2" t="str">
        <f>B696</f>
        <v>Bronzor</v>
      </c>
      <c r="C697" t="s">
        <v>94</v>
      </c>
      <c r="D697" s="22">
        <f>COUNTIF($C$2:$C$1168,Tabela1[[#This Row],[Type]])</f>
        <v>83</v>
      </c>
      <c r="E697" s="62" t="str">
        <f>IF(A697&lt;=151,"Kanto",IF(A697&lt;=251,"Johto",IF(A697&lt;=386,"Hoenn",IF(A697&lt;=493,"Sinnoh",IF(A697&lt;=649,"Unova",IF(A697&lt;=721,"Kalos",IF(A697&lt;=809,"Alola",IF(A697&lt;=905,"Galar","Paldea"))))))))</f>
        <v>Sinnoh</v>
      </c>
      <c r="F697" t="str">
        <f>IF(G697&gt;=600,"Lendário",IF(G697&gt;=500,"Forte","Normal"))</f>
        <v>Normal</v>
      </c>
      <c r="G697" s="3">
        <f>G696</f>
        <v>300</v>
      </c>
      <c r="H697" s="3">
        <f>H696</f>
        <v>57</v>
      </c>
      <c r="I697" s="3">
        <f>I696</f>
        <v>24</v>
      </c>
      <c r="J697" s="3">
        <f>J696</f>
        <v>86</v>
      </c>
      <c r="K697" s="3">
        <f>K696</f>
        <v>24</v>
      </c>
      <c r="L697" s="3">
        <f>L696</f>
        <v>86</v>
      </c>
      <c r="M697" s="3">
        <f>M696</f>
        <v>23</v>
      </c>
      <c r="N697" s="3">
        <f>AVERAGE($I$2:$I$1168)</f>
        <v>78.907455012853475</v>
      </c>
      <c r="O697" s="3" t="str">
        <f>CONCATENATE(A697,"-",B697)</f>
        <v>436-Bronzor</v>
      </c>
    </row>
    <row r="698" spans="1:15">
      <c r="A698" s="63">
        <v>437</v>
      </c>
      <c r="B698" s="2" t="s">
        <v>500</v>
      </c>
      <c r="C698" t="s">
        <v>115</v>
      </c>
      <c r="D698" s="22">
        <f>COUNTIF($C$2:$C$1168,Tabela1[[#This Row],[Type]])</f>
        <v>48</v>
      </c>
      <c r="E698" s="62" t="str">
        <f>IF(A698&lt;=151,"Kanto",IF(A698&lt;=251,"Johto",IF(A698&lt;=386,"Hoenn",IF(A698&lt;=493,"Sinnoh",IF(A698&lt;=649,"Unova",IF(A698&lt;=721,"Kalos",IF(A698&lt;=809,"Alola",IF(A698&lt;=905,"Galar","Paldea"))))))))</f>
        <v>Sinnoh</v>
      </c>
      <c r="F698" t="str">
        <f>IF(G698&gt;=600,"Lendário",IF(G698&gt;=500,"Forte","Normal"))</f>
        <v>Forte</v>
      </c>
      <c r="G698" s="3">
        <v>500</v>
      </c>
      <c r="H698" s="3">
        <v>67</v>
      </c>
      <c r="I698" s="3">
        <v>89</v>
      </c>
      <c r="J698" s="3">
        <v>116</v>
      </c>
      <c r="K698" s="3">
        <v>79</v>
      </c>
      <c r="L698" s="3">
        <v>116</v>
      </c>
      <c r="M698" s="3">
        <v>33</v>
      </c>
      <c r="N698" s="3">
        <f>AVERAGE($I$2:$I$1168)</f>
        <v>78.907455012853475</v>
      </c>
      <c r="O698" s="3" t="str">
        <f>CONCATENATE(A698,"-",B698)</f>
        <v>437-Bronzong</v>
      </c>
    </row>
    <row r="699" spans="1:15">
      <c r="A699" s="63">
        <v>437</v>
      </c>
      <c r="B699" s="2" t="str">
        <f>B698</f>
        <v>Bronzong</v>
      </c>
      <c r="C699" t="s">
        <v>94</v>
      </c>
      <c r="D699" s="22">
        <f>COUNTIF($C$2:$C$1168,Tabela1[[#This Row],[Type]])</f>
        <v>83</v>
      </c>
      <c r="E699" s="62" t="str">
        <f>IF(A699&lt;=151,"Kanto",IF(A699&lt;=251,"Johto",IF(A699&lt;=386,"Hoenn",IF(A699&lt;=493,"Sinnoh",IF(A699&lt;=649,"Unova",IF(A699&lt;=721,"Kalos",IF(A699&lt;=809,"Alola",IF(A699&lt;=905,"Galar","Paldea"))))))))</f>
        <v>Sinnoh</v>
      </c>
      <c r="F699" t="str">
        <f>IF(G699&gt;=600,"Lendário",IF(G699&gt;=500,"Forte","Normal"))</f>
        <v>Forte</v>
      </c>
      <c r="G699" s="3">
        <f>G698</f>
        <v>500</v>
      </c>
      <c r="H699" s="3">
        <f>H698</f>
        <v>67</v>
      </c>
      <c r="I699" s="3">
        <f>I698</f>
        <v>89</v>
      </c>
      <c r="J699" s="3">
        <f>J698</f>
        <v>116</v>
      </c>
      <c r="K699" s="3">
        <f>K698</f>
        <v>79</v>
      </c>
      <c r="L699" s="3">
        <f>L698</f>
        <v>116</v>
      </c>
      <c r="M699" s="3">
        <f>M698</f>
        <v>33</v>
      </c>
      <c r="N699" s="3">
        <f>AVERAGE($I$2:$I$1168)</f>
        <v>78.907455012853475</v>
      </c>
      <c r="O699" s="3" t="str">
        <f>CONCATENATE(A699,"-",B699)</f>
        <v>437-Bronzong</v>
      </c>
    </row>
    <row r="700" spans="1:15">
      <c r="A700" s="63">
        <v>438</v>
      </c>
      <c r="B700" s="2" t="s">
        <v>501</v>
      </c>
      <c r="C700" t="s">
        <v>107</v>
      </c>
      <c r="D700" s="22">
        <f>COUNTIF($C$2:$C$1168,Tabela1[[#This Row],[Type]])</f>
        <v>56</v>
      </c>
      <c r="E700" s="62" t="str">
        <f>IF(A700&lt;=151,"Kanto",IF(A700&lt;=251,"Johto",IF(A700&lt;=386,"Hoenn",IF(A700&lt;=493,"Sinnoh",IF(A700&lt;=649,"Unova",IF(A700&lt;=721,"Kalos",IF(A700&lt;=809,"Alola",IF(A700&lt;=905,"Galar","Paldea"))))))))</f>
        <v>Sinnoh</v>
      </c>
      <c r="F700" t="str">
        <f>IF(G700&gt;=600,"Lendário",IF(G700&gt;=500,"Forte","Normal"))</f>
        <v>Normal</v>
      </c>
      <c r="G700" s="3">
        <v>290</v>
      </c>
      <c r="H700" s="3">
        <v>50</v>
      </c>
      <c r="I700" s="3">
        <v>80</v>
      </c>
      <c r="J700" s="3">
        <v>95</v>
      </c>
      <c r="K700" s="3">
        <v>10</v>
      </c>
      <c r="L700" s="3">
        <v>45</v>
      </c>
      <c r="M700" s="3">
        <v>10</v>
      </c>
      <c r="N700" s="3">
        <f>AVERAGE($I$2:$I$1168)</f>
        <v>78.907455012853475</v>
      </c>
      <c r="O700" s="3" t="str">
        <f>CONCATENATE(A700,"-",B700)</f>
        <v>438-Bonsly</v>
      </c>
    </row>
    <row r="701" spans="1:15">
      <c r="A701" s="63">
        <v>439</v>
      </c>
      <c r="B701" s="2" t="s">
        <v>502</v>
      </c>
      <c r="C701" t="s">
        <v>94</v>
      </c>
      <c r="D701" s="22">
        <f>COUNTIF($C$2:$C$1168,Tabela1[[#This Row],[Type]])</f>
        <v>83</v>
      </c>
      <c r="E701" s="62" t="str">
        <f>IF(A701&lt;=151,"Kanto",IF(A701&lt;=251,"Johto",IF(A701&lt;=386,"Hoenn",IF(A701&lt;=493,"Sinnoh",IF(A701&lt;=649,"Unova",IF(A701&lt;=721,"Kalos",IF(A701&lt;=809,"Alola",IF(A701&lt;=905,"Galar","Paldea"))))))))</f>
        <v>Sinnoh</v>
      </c>
      <c r="F701" t="str">
        <f>IF(G701&gt;=600,"Lendário",IF(G701&gt;=500,"Forte","Normal"))</f>
        <v>Normal</v>
      </c>
      <c r="G701" s="3">
        <v>310</v>
      </c>
      <c r="H701" s="3">
        <v>20</v>
      </c>
      <c r="I701" s="3">
        <v>25</v>
      </c>
      <c r="J701" s="3">
        <v>45</v>
      </c>
      <c r="K701" s="3">
        <v>70</v>
      </c>
      <c r="L701" s="3">
        <v>90</v>
      </c>
      <c r="M701" s="3">
        <v>60</v>
      </c>
      <c r="N701" s="3">
        <f>AVERAGE($I$2:$I$1168)</f>
        <v>78.907455012853475</v>
      </c>
      <c r="O701" s="3" t="str">
        <f>CONCATENATE(A701,"-",B701)</f>
        <v>439-Mime Jr.</v>
      </c>
    </row>
    <row r="702" spans="1:15">
      <c r="A702" s="63">
        <v>440</v>
      </c>
      <c r="B702" s="2" t="s">
        <v>503</v>
      </c>
      <c r="C702" t="s">
        <v>42</v>
      </c>
      <c r="D702" s="22">
        <f>COUNTIF($C$2:$C$1168,Tabela1[[#This Row],[Type]])</f>
        <v>99</v>
      </c>
      <c r="E702" s="62" t="str">
        <f>IF(A702&lt;=151,"Kanto",IF(A702&lt;=251,"Johto",IF(A702&lt;=386,"Hoenn",IF(A702&lt;=493,"Sinnoh",IF(A702&lt;=649,"Unova",IF(A702&lt;=721,"Kalos",IF(A702&lt;=809,"Alola",IF(A702&lt;=905,"Galar","Paldea"))))))))</f>
        <v>Sinnoh</v>
      </c>
      <c r="F702" t="str">
        <f>IF(G702&gt;=600,"Lendário",IF(G702&gt;=500,"Forte","Normal"))</f>
        <v>Normal</v>
      </c>
      <c r="G702" s="3">
        <v>220</v>
      </c>
      <c r="H702" s="3">
        <v>100</v>
      </c>
      <c r="I702" s="3">
        <v>5</v>
      </c>
      <c r="J702" s="3">
        <v>5</v>
      </c>
      <c r="K702" s="3">
        <v>15</v>
      </c>
      <c r="L702" s="3">
        <v>65</v>
      </c>
      <c r="M702" s="3">
        <v>30</v>
      </c>
      <c r="N702" s="3">
        <f>AVERAGE($I$2:$I$1168)</f>
        <v>78.907455012853475</v>
      </c>
      <c r="O702" s="3" t="str">
        <f>CONCATENATE(A702,"-",B702)</f>
        <v>440-Happiny</v>
      </c>
    </row>
    <row r="703" spans="1:15">
      <c r="A703" s="63">
        <v>441</v>
      </c>
      <c r="B703" s="2" t="s">
        <v>504</v>
      </c>
      <c r="C703" t="s">
        <v>42</v>
      </c>
      <c r="D703" s="22">
        <f>COUNTIF($C$2:$C$1168,Tabela1[[#This Row],[Type]])</f>
        <v>99</v>
      </c>
      <c r="E703" s="62" t="str">
        <f>IF(A703&lt;=151,"Kanto",IF(A703&lt;=251,"Johto",IF(A703&lt;=386,"Hoenn",IF(A703&lt;=493,"Sinnoh",IF(A703&lt;=649,"Unova",IF(A703&lt;=721,"Kalos",IF(A703&lt;=809,"Alola",IF(A703&lt;=905,"Galar","Paldea"))))))))</f>
        <v>Sinnoh</v>
      </c>
      <c r="F703" t="str">
        <f>IF(G703&gt;=600,"Lendário",IF(G703&gt;=500,"Forte","Normal"))</f>
        <v>Normal</v>
      </c>
      <c r="G703" s="3">
        <v>411</v>
      </c>
      <c r="H703" s="3">
        <v>76</v>
      </c>
      <c r="I703" s="3">
        <v>65</v>
      </c>
      <c r="J703" s="3">
        <v>45</v>
      </c>
      <c r="K703" s="3">
        <v>92</v>
      </c>
      <c r="L703" s="3">
        <v>42</v>
      </c>
      <c r="M703" s="3">
        <v>91</v>
      </c>
      <c r="N703" s="3">
        <f>AVERAGE($I$2:$I$1168)</f>
        <v>78.907455012853475</v>
      </c>
      <c r="O703" s="3" t="str">
        <f>CONCATENATE(A703,"-",B703)</f>
        <v>441-Chatot</v>
      </c>
    </row>
    <row r="704" spans="1:15">
      <c r="A704" s="63">
        <v>442</v>
      </c>
      <c r="B704" s="2" t="s">
        <v>505</v>
      </c>
      <c r="C704" t="s">
        <v>128</v>
      </c>
      <c r="D704" s="22">
        <f>COUNTIF($C$2:$C$1168,Tabela1[[#This Row],[Type]])</f>
        <v>45</v>
      </c>
      <c r="E704" s="62" t="str">
        <f>IF(A704&lt;=151,"Kanto",IF(A704&lt;=251,"Johto",IF(A704&lt;=386,"Hoenn",IF(A704&lt;=493,"Sinnoh",IF(A704&lt;=649,"Unova",IF(A704&lt;=721,"Kalos",IF(A704&lt;=809,"Alola",IF(A704&lt;=905,"Galar","Paldea"))))))))</f>
        <v>Sinnoh</v>
      </c>
      <c r="F704" t="str">
        <f>IF(G704&gt;=600,"Lendário",IF(G704&gt;=500,"Forte","Normal"))</f>
        <v>Normal</v>
      </c>
      <c r="G704" s="3">
        <v>485</v>
      </c>
      <c r="H704" s="3">
        <v>50</v>
      </c>
      <c r="I704" s="3">
        <v>92</v>
      </c>
      <c r="J704" s="3">
        <v>108</v>
      </c>
      <c r="K704" s="3">
        <v>92</v>
      </c>
      <c r="L704" s="3">
        <v>108</v>
      </c>
      <c r="M704" s="3">
        <v>35</v>
      </c>
      <c r="N704" s="3">
        <f>AVERAGE($I$2:$I$1168)</f>
        <v>78.907455012853475</v>
      </c>
      <c r="O704" s="3" t="str">
        <f>CONCATENATE(A704,"-",B704)</f>
        <v>442-Spiritomb</v>
      </c>
    </row>
    <row r="705" spans="1:15">
      <c r="A705" s="63">
        <v>442</v>
      </c>
      <c r="B705" s="2" t="str">
        <f>B704</f>
        <v>Spiritomb</v>
      </c>
      <c r="C705" t="s">
        <v>170</v>
      </c>
      <c r="D705" s="22">
        <f>COUNTIF($C$2:$C$1168,Tabela1[[#This Row],[Type]])</f>
        <v>49</v>
      </c>
      <c r="E705" s="62" t="str">
        <f>IF(A705&lt;=151,"Kanto",IF(A705&lt;=251,"Johto",IF(A705&lt;=386,"Hoenn",IF(A705&lt;=493,"Sinnoh",IF(A705&lt;=649,"Unova",IF(A705&lt;=721,"Kalos",IF(A705&lt;=809,"Alola",IF(A705&lt;=905,"Galar","Paldea"))))))))</f>
        <v>Sinnoh</v>
      </c>
      <c r="F705" t="str">
        <f>IF(G705&gt;=600,"Lendário",IF(G705&gt;=500,"Forte","Normal"))</f>
        <v>Normal</v>
      </c>
      <c r="G705" s="3">
        <f>G704</f>
        <v>485</v>
      </c>
      <c r="H705" s="3">
        <f>H704</f>
        <v>50</v>
      </c>
      <c r="I705" s="3">
        <f>I704</f>
        <v>92</v>
      </c>
      <c r="J705" s="3">
        <f>J704</f>
        <v>108</v>
      </c>
      <c r="K705" s="3">
        <f>K704</f>
        <v>92</v>
      </c>
      <c r="L705" s="3">
        <f>L704</f>
        <v>108</v>
      </c>
      <c r="M705" s="3">
        <f>M704</f>
        <v>35</v>
      </c>
      <c r="N705" s="3">
        <f>AVERAGE($I$2:$I$1168)</f>
        <v>78.907455012853475</v>
      </c>
      <c r="O705" s="3" t="str">
        <f>CONCATENATE(A705,"-",B705)</f>
        <v>442-Spiritomb</v>
      </c>
    </row>
    <row r="706" spans="1:15">
      <c r="A706" s="63">
        <v>443</v>
      </c>
      <c r="B706" s="2" t="s">
        <v>506</v>
      </c>
      <c r="C706" t="s">
        <v>27</v>
      </c>
      <c r="D706" s="22">
        <f>COUNTIF($C$2:$C$1168,Tabela1[[#This Row],[Type]])</f>
        <v>44</v>
      </c>
      <c r="E706" s="62" t="str">
        <f>IF(A706&lt;=151,"Kanto",IF(A706&lt;=251,"Johto",IF(A706&lt;=386,"Hoenn",IF(A706&lt;=493,"Sinnoh",IF(A706&lt;=649,"Unova",IF(A706&lt;=721,"Kalos",IF(A706&lt;=809,"Alola",IF(A706&lt;=905,"Galar","Paldea"))))))))</f>
        <v>Sinnoh</v>
      </c>
      <c r="F706" t="str">
        <f>IF(G706&gt;=600,"Lendário",IF(G706&gt;=500,"Forte","Normal"))</f>
        <v>Normal</v>
      </c>
      <c r="G706" s="3">
        <v>300</v>
      </c>
      <c r="H706" s="3">
        <v>58</v>
      </c>
      <c r="I706" s="3">
        <v>70</v>
      </c>
      <c r="J706" s="3">
        <v>45</v>
      </c>
      <c r="K706" s="3">
        <v>40</v>
      </c>
      <c r="L706" s="3">
        <v>45</v>
      </c>
      <c r="M706" s="3">
        <v>42</v>
      </c>
      <c r="N706" s="3">
        <f>AVERAGE($I$2:$I$1168)</f>
        <v>78.907455012853475</v>
      </c>
      <c r="O706" s="3" t="str">
        <f>CONCATENATE(A706,"-",B706)</f>
        <v>443-Gible</v>
      </c>
    </row>
    <row r="707" spans="1:15">
      <c r="A707" s="63">
        <v>443</v>
      </c>
      <c r="B707" s="2" t="str">
        <f>B706</f>
        <v>Gible</v>
      </c>
      <c r="C707" t="s">
        <v>55</v>
      </c>
      <c r="D707" s="22">
        <f>COUNTIF($C$2:$C$1168,Tabela1[[#This Row],[Type]])</f>
        <v>62</v>
      </c>
      <c r="E707" s="62" t="str">
        <f>IF(A707&lt;=151,"Kanto",IF(A707&lt;=251,"Johto",IF(A707&lt;=386,"Hoenn",IF(A707&lt;=493,"Sinnoh",IF(A707&lt;=649,"Unova",IF(A707&lt;=721,"Kalos",IF(A707&lt;=809,"Alola",IF(A707&lt;=905,"Galar","Paldea"))))))))</f>
        <v>Sinnoh</v>
      </c>
      <c r="F707" t="str">
        <f>IF(G707&gt;=600,"Lendário",IF(G707&gt;=500,"Forte","Normal"))</f>
        <v>Normal</v>
      </c>
      <c r="G707" s="3">
        <f>G706</f>
        <v>300</v>
      </c>
      <c r="H707" s="3">
        <f>H706</f>
        <v>58</v>
      </c>
      <c r="I707" s="3">
        <f>I706</f>
        <v>70</v>
      </c>
      <c r="J707" s="3">
        <f>J706</f>
        <v>45</v>
      </c>
      <c r="K707" s="3">
        <f>K706</f>
        <v>40</v>
      </c>
      <c r="L707" s="3">
        <f>L706</f>
        <v>45</v>
      </c>
      <c r="M707" s="3">
        <f>M706</f>
        <v>42</v>
      </c>
      <c r="N707" s="3">
        <f>AVERAGE($I$2:$I$1168)</f>
        <v>78.907455012853475</v>
      </c>
      <c r="O707" s="3" t="str">
        <f>CONCATENATE(A707,"-",B707)</f>
        <v>443-Gible</v>
      </c>
    </row>
    <row r="708" spans="1:15">
      <c r="A708" s="63">
        <v>444</v>
      </c>
      <c r="B708" s="2" t="s">
        <v>507</v>
      </c>
      <c r="C708" t="s">
        <v>27</v>
      </c>
      <c r="D708" s="22">
        <f>COUNTIF($C$2:$C$1168,Tabela1[[#This Row],[Type]])</f>
        <v>44</v>
      </c>
      <c r="E708" s="62" t="str">
        <f>IF(A708&lt;=151,"Kanto",IF(A708&lt;=251,"Johto",IF(A708&lt;=386,"Hoenn",IF(A708&lt;=493,"Sinnoh",IF(A708&lt;=649,"Unova",IF(A708&lt;=721,"Kalos",IF(A708&lt;=809,"Alola",IF(A708&lt;=905,"Galar","Paldea"))))))))</f>
        <v>Sinnoh</v>
      </c>
      <c r="F708" t="str">
        <f>IF(G708&gt;=600,"Lendário",IF(G708&gt;=500,"Forte","Normal"))</f>
        <v>Normal</v>
      </c>
      <c r="G708" s="3">
        <v>410</v>
      </c>
      <c r="H708" s="3">
        <v>68</v>
      </c>
      <c r="I708" s="3">
        <v>90</v>
      </c>
      <c r="J708" s="3">
        <v>65</v>
      </c>
      <c r="K708" s="3">
        <v>50</v>
      </c>
      <c r="L708" s="3">
        <v>55</v>
      </c>
      <c r="M708" s="3">
        <v>82</v>
      </c>
      <c r="N708" s="3">
        <f>AVERAGE($I$2:$I$1168)</f>
        <v>78.907455012853475</v>
      </c>
      <c r="O708" s="3" t="str">
        <f>CONCATENATE(A708,"-",B708)</f>
        <v>444-Gabite</v>
      </c>
    </row>
    <row r="709" spans="1:15">
      <c r="A709" s="63">
        <v>444</v>
      </c>
      <c r="B709" s="2" t="str">
        <f>B708</f>
        <v>Gabite</v>
      </c>
      <c r="C709" t="s">
        <v>55</v>
      </c>
      <c r="D709" s="22">
        <f>COUNTIF($C$2:$C$1168,Tabela1[[#This Row],[Type]])</f>
        <v>62</v>
      </c>
      <c r="E709" s="62" t="str">
        <f>IF(A709&lt;=151,"Kanto",IF(A709&lt;=251,"Johto",IF(A709&lt;=386,"Hoenn",IF(A709&lt;=493,"Sinnoh",IF(A709&lt;=649,"Unova",IF(A709&lt;=721,"Kalos",IF(A709&lt;=809,"Alola",IF(A709&lt;=905,"Galar","Paldea"))))))))</f>
        <v>Sinnoh</v>
      </c>
      <c r="F709" t="str">
        <f>IF(G709&gt;=600,"Lendário",IF(G709&gt;=500,"Forte","Normal"))</f>
        <v>Normal</v>
      </c>
      <c r="G709" s="3">
        <f>G708</f>
        <v>410</v>
      </c>
      <c r="H709" s="3">
        <f>H708</f>
        <v>68</v>
      </c>
      <c r="I709" s="3">
        <f>I708</f>
        <v>90</v>
      </c>
      <c r="J709" s="3">
        <f>J708</f>
        <v>65</v>
      </c>
      <c r="K709" s="3">
        <f>K708</f>
        <v>50</v>
      </c>
      <c r="L709" s="3">
        <f>L708</f>
        <v>55</v>
      </c>
      <c r="M709" s="3">
        <f>M708</f>
        <v>82</v>
      </c>
      <c r="N709" s="3">
        <f>AVERAGE($I$2:$I$1168)</f>
        <v>78.907455012853475</v>
      </c>
      <c r="O709" s="3" t="str">
        <f>CONCATENATE(A709,"-",B709)</f>
        <v>444-Gabite</v>
      </c>
    </row>
    <row r="710" spans="1:15">
      <c r="A710" s="63">
        <v>445</v>
      </c>
      <c r="B710" s="2" t="s">
        <v>508</v>
      </c>
      <c r="C710" t="s">
        <v>27</v>
      </c>
      <c r="D710" s="22">
        <f>COUNTIF($C$2:$C$1168,Tabela1[[#This Row],[Type]])</f>
        <v>44</v>
      </c>
      <c r="E710" s="62" t="str">
        <f>IF(A710&lt;=151,"Kanto",IF(A710&lt;=251,"Johto",IF(A710&lt;=386,"Hoenn",IF(A710&lt;=493,"Sinnoh",IF(A710&lt;=649,"Unova",IF(A710&lt;=721,"Kalos",IF(A710&lt;=809,"Alola",IF(A710&lt;=905,"Galar","Paldea"))))))))</f>
        <v>Sinnoh</v>
      </c>
      <c r="F710" t="str">
        <f>IF(G710&gt;=600,"Lendário",IF(G710&gt;=500,"Forte","Normal"))</f>
        <v>Lendário</v>
      </c>
      <c r="G710" s="3">
        <v>600</v>
      </c>
      <c r="H710" s="3">
        <v>108</v>
      </c>
      <c r="I710" s="3">
        <v>130</v>
      </c>
      <c r="J710" s="3">
        <v>95</v>
      </c>
      <c r="K710" s="3">
        <v>80</v>
      </c>
      <c r="L710" s="3">
        <v>85</v>
      </c>
      <c r="M710" s="3">
        <v>102</v>
      </c>
      <c r="N710" s="3">
        <f>AVERAGE($I$2:$I$1168)</f>
        <v>78.907455012853475</v>
      </c>
      <c r="O710" s="3" t="str">
        <f>CONCATENATE(A710,"-",B710)</f>
        <v>445-Garchomp</v>
      </c>
    </row>
    <row r="711" spans="1:15">
      <c r="A711" s="63">
        <v>445</v>
      </c>
      <c r="B711" s="2" t="str">
        <f>B710</f>
        <v>Garchomp</v>
      </c>
      <c r="C711" t="s">
        <v>55</v>
      </c>
      <c r="D711" s="22">
        <f>COUNTIF($C$2:$C$1168,Tabela1[[#This Row],[Type]])</f>
        <v>62</v>
      </c>
      <c r="E711" s="62" t="str">
        <f>IF(A711&lt;=151,"Kanto",IF(A711&lt;=251,"Johto",IF(A711&lt;=386,"Hoenn",IF(A711&lt;=493,"Sinnoh",IF(A711&lt;=649,"Unova",IF(A711&lt;=721,"Kalos",IF(A711&lt;=809,"Alola",IF(A711&lt;=905,"Galar","Paldea"))))))))</f>
        <v>Sinnoh</v>
      </c>
      <c r="F711" t="str">
        <f>IF(G711&gt;=600,"Lendário",IF(G711&gt;=500,"Forte","Normal"))</f>
        <v>Lendário</v>
      </c>
      <c r="G711" s="3">
        <f>G710</f>
        <v>600</v>
      </c>
      <c r="H711" s="3">
        <f>H710</f>
        <v>108</v>
      </c>
      <c r="I711" s="3">
        <f>I710</f>
        <v>130</v>
      </c>
      <c r="J711" s="3">
        <f>J710</f>
        <v>95</v>
      </c>
      <c r="K711" s="3">
        <f>K710</f>
        <v>80</v>
      </c>
      <c r="L711" s="3">
        <f>L710</f>
        <v>85</v>
      </c>
      <c r="M711" s="3">
        <f>M710</f>
        <v>102</v>
      </c>
      <c r="N711" s="3">
        <f>AVERAGE($I$2:$I$1168)</f>
        <v>78.907455012853475</v>
      </c>
      <c r="O711" s="3" t="str">
        <f>CONCATENATE(A711,"-",B711)</f>
        <v>445-Garchomp</v>
      </c>
    </row>
    <row r="712" spans="1:15">
      <c r="A712" s="63">
        <v>445.1</v>
      </c>
      <c r="B712" s="2" t="s">
        <v>509</v>
      </c>
      <c r="C712" t="s">
        <v>27</v>
      </c>
      <c r="D712" s="22">
        <f>COUNTIF($C$2:$C$1168,Tabela1[[#This Row],[Type]])</f>
        <v>44</v>
      </c>
      <c r="E712" s="62" t="str">
        <f>IF(A712&lt;=151,"Kanto",IF(A712&lt;=251,"Johto",IF(A712&lt;=386,"Hoenn",IF(A712&lt;=493,"Sinnoh",IF(A712&lt;=649,"Unova",IF(A712&lt;=721,"Kalos",IF(A712&lt;=809,"Alola",IF(A712&lt;=905,"Galar","Paldea"))))))))</f>
        <v>Sinnoh</v>
      </c>
      <c r="F712" t="str">
        <f>IF(G712&gt;=600,"Lendário",IF(G712&gt;=500,"Forte","Normal"))</f>
        <v>Lendário</v>
      </c>
      <c r="G712" s="3">
        <v>700</v>
      </c>
      <c r="H712" s="3">
        <v>108</v>
      </c>
      <c r="I712" s="3">
        <v>170</v>
      </c>
      <c r="J712" s="3">
        <v>115</v>
      </c>
      <c r="K712" s="3">
        <v>120</v>
      </c>
      <c r="L712" s="3">
        <v>95</v>
      </c>
      <c r="M712" s="3">
        <v>92</v>
      </c>
      <c r="N712" s="3">
        <f>AVERAGE($I$2:$I$1168)</f>
        <v>78.907455012853475</v>
      </c>
      <c r="O712" s="3" t="str">
        <f>CONCATENATE(A712,"-",B712)</f>
        <v>445,1-Mega Garchomp</v>
      </c>
    </row>
    <row r="713" spans="1:15">
      <c r="A713" s="63">
        <v>445.1</v>
      </c>
      <c r="B713" s="2" t="s">
        <v>509</v>
      </c>
      <c r="C713" t="s">
        <v>55</v>
      </c>
      <c r="D713" s="22">
        <f>COUNTIF($C$2:$C$1168,Tabela1[[#This Row],[Type]])</f>
        <v>62</v>
      </c>
      <c r="E713" s="62" t="str">
        <f>IF(A713&lt;=151,"Kanto",IF(A713&lt;=251,"Johto",IF(A713&lt;=386,"Hoenn",IF(A713&lt;=493,"Sinnoh",IF(A713&lt;=649,"Unova",IF(A713&lt;=721,"Kalos",IF(A713&lt;=809,"Alola",IF(A713&lt;=905,"Galar","Paldea"))))))))</f>
        <v>Sinnoh</v>
      </c>
      <c r="F713" t="str">
        <f>IF(G713&gt;=600,"Lendário",IF(G713&gt;=500,"Forte","Normal"))</f>
        <v>Lendário</v>
      </c>
      <c r="G713" s="3">
        <f>G712</f>
        <v>700</v>
      </c>
      <c r="H713" s="3">
        <f>H712</f>
        <v>108</v>
      </c>
      <c r="I713" s="3">
        <f>I712</f>
        <v>170</v>
      </c>
      <c r="J713" s="3">
        <f>J712</f>
        <v>115</v>
      </c>
      <c r="K713" s="3">
        <f>K712</f>
        <v>120</v>
      </c>
      <c r="L713" s="3">
        <f>L712</f>
        <v>95</v>
      </c>
      <c r="M713" s="3">
        <f>M712</f>
        <v>92</v>
      </c>
      <c r="N713" s="3">
        <f>AVERAGE($I$2:$I$1168)</f>
        <v>78.907455012853475</v>
      </c>
      <c r="O713" s="3" t="str">
        <f>CONCATENATE(A713,"-",B713)</f>
        <v>445,1-Mega Garchomp</v>
      </c>
    </row>
    <row r="714" spans="1:15">
      <c r="A714" s="63">
        <v>446</v>
      </c>
      <c r="B714" s="2" t="s">
        <v>510</v>
      </c>
      <c r="C714" t="s">
        <v>42</v>
      </c>
      <c r="D714" s="22">
        <f>COUNTIF($C$2:$C$1168,Tabela1[[#This Row],[Type]])</f>
        <v>99</v>
      </c>
      <c r="E714" s="62" t="str">
        <f>IF(A714&lt;=151,"Kanto",IF(A714&lt;=251,"Johto",IF(A714&lt;=386,"Hoenn",IF(A714&lt;=493,"Sinnoh",IF(A714&lt;=649,"Unova",IF(A714&lt;=721,"Kalos",IF(A714&lt;=809,"Alola",IF(A714&lt;=905,"Galar","Paldea"))))))))</f>
        <v>Sinnoh</v>
      </c>
      <c r="F714" t="str">
        <f>IF(G714&gt;=600,"Lendário",IF(G714&gt;=500,"Forte","Normal"))</f>
        <v>Normal</v>
      </c>
      <c r="G714" s="3">
        <v>390</v>
      </c>
      <c r="H714" s="3">
        <v>135</v>
      </c>
      <c r="I714" s="3">
        <v>85</v>
      </c>
      <c r="J714" s="3">
        <v>40</v>
      </c>
      <c r="K714" s="3">
        <v>40</v>
      </c>
      <c r="L714" s="3">
        <v>85</v>
      </c>
      <c r="M714" s="3">
        <v>5</v>
      </c>
      <c r="N714" s="3">
        <f>AVERAGE($I$2:$I$1168)</f>
        <v>78.907455012853475</v>
      </c>
      <c r="O714" s="3" t="str">
        <f>CONCATENATE(A714,"-",B714)</f>
        <v>446-Munchlax</v>
      </c>
    </row>
    <row r="715" spans="1:15">
      <c r="A715" s="63">
        <v>446</v>
      </c>
      <c r="B715" s="2" t="str">
        <f>B714</f>
        <v>Munchlax</v>
      </c>
      <c r="C715" t="s">
        <v>25</v>
      </c>
      <c r="D715" s="22">
        <f>COUNTIF($C$2:$C$1168,Tabela1[[#This Row],[Type]])</f>
        <v>100</v>
      </c>
      <c r="E715" s="62" t="str">
        <f>IF(A715&lt;=151,"Kanto",IF(A715&lt;=251,"Johto",IF(A715&lt;=386,"Hoenn",IF(A715&lt;=493,"Sinnoh",IF(A715&lt;=649,"Unova",IF(A715&lt;=721,"Kalos",IF(A715&lt;=809,"Alola",IF(A715&lt;=905,"Galar","Paldea"))))))))</f>
        <v>Sinnoh</v>
      </c>
      <c r="F715" t="str">
        <f>IF(G715&gt;=600,"Lendário",IF(G715&gt;=500,"Forte","Normal"))</f>
        <v>Normal</v>
      </c>
      <c r="G715" s="3">
        <f>G714</f>
        <v>390</v>
      </c>
      <c r="H715" s="3">
        <f>H714</f>
        <v>135</v>
      </c>
      <c r="I715" s="3">
        <f>I714</f>
        <v>85</v>
      </c>
      <c r="J715" s="3">
        <f>J714</f>
        <v>40</v>
      </c>
      <c r="K715" s="3">
        <f>K714</f>
        <v>40</v>
      </c>
      <c r="L715" s="3">
        <f>L714</f>
        <v>85</v>
      </c>
      <c r="M715" s="3">
        <f>M714</f>
        <v>5</v>
      </c>
      <c r="N715" s="3">
        <f>AVERAGE($I$2:$I$1168)</f>
        <v>78.907455012853475</v>
      </c>
      <c r="O715" s="3" t="str">
        <f>CONCATENATE(A715,"-",B715)</f>
        <v>446-Munchlax</v>
      </c>
    </row>
    <row r="716" spans="1:15">
      <c r="A716" s="63">
        <v>447</v>
      </c>
      <c r="B716" s="2" t="s">
        <v>511</v>
      </c>
      <c r="C716" t="s">
        <v>86</v>
      </c>
      <c r="D716" s="22">
        <f>COUNTIF($C$2:$C$1168,Tabela1[[#This Row],[Type]])</f>
        <v>51</v>
      </c>
      <c r="E716" s="62" t="str">
        <f>IF(A716&lt;=151,"Kanto",IF(A716&lt;=251,"Johto",IF(A716&lt;=386,"Hoenn",IF(A716&lt;=493,"Sinnoh",IF(A716&lt;=649,"Unova",IF(A716&lt;=721,"Kalos",IF(A716&lt;=809,"Alola",IF(A716&lt;=905,"Galar","Paldea"))))))))</f>
        <v>Sinnoh</v>
      </c>
      <c r="F716" t="str">
        <f>IF(G716&gt;=600,"Lendário",IF(G716&gt;=500,"Forte","Normal"))</f>
        <v>Normal</v>
      </c>
      <c r="G716" s="3">
        <v>285</v>
      </c>
      <c r="H716" s="3">
        <v>40</v>
      </c>
      <c r="I716" s="3">
        <v>70</v>
      </c>
      <c r="J716" s="3">
        <v>40</v>
      </c>
      <c r="K716" s="3">
        <v>35</v>
      </c>
      <c r="L716" s="3">
        <v>40</v>
      </c>
      <c r="M716" s="3">
        <v>60</v>
      </c>
      <c r="N716" s="3">
        <f>AVERAGE($I$2:$I$1168)</f>
        <v>78.907455012853475</v>
      </c>
      <c r="O716" s="3" t="str">
        <f>CONCATENATE(A716,"-",B716)</f>
        <v>447-Riolu</v>
      </c>
    </row>
    <row r="717" spans="1:15">
      <c r="A717" s="63">
        <v>448</v>
      </c>
      <c r="B717" s="2" t="s">
        <v>512</v>
      </c>
      <c r="C717" t="s">
        <v>86</v>
      </c>
      <c r="D717" s="22">
        <f>COUNTIF($C$2:$C$1168,Tabela1[[#This Row],[Type]])</f>
        <v>51</v>
      </c>
      <c r="E717" s="62" t="str">
        <f>IF(A717&lt;=151,"Kanto",IF(A717&lt;=251,"Johto",IF(A717&lt;=386,"Hoenn",IF(A717&lt;=493,"Sinnoh",IF(A717&lt;=649,"Unova",IF(A717&lt;=721,"Kalos",IF(A717&lt;=809,"Alola",IF(A717&lt;=905,"Galar","Paldea"))))))))</f>
        <v>Sinnoh</v>
      </c>
      <c r="F717" t="str">
        <f>IF(G717&gt;=600,"Lendário",IF(G717&gt;=500,"Forte","Normal"))</f>
        <v>Forte</v>
      </c>
      <c r="G717" s="3">
        <v>525</v>
      </c>
      <c r="H717" s="3">
        <v>70</v>
      </c>
      <c r="I717" s="3">
        <v>110</v>
      </c>
      <c r="J717" s="3">
        <v>70</v>
      </c>
      <c r="K717" s="3">
        <v>115</v>
      </c>
      <c r="L717" s="3">
        <v>70</v>
      </c>
      <c r="M717" s="3">
        <v>90</v>
      </c>
      <c r="N717" s="3">
        <f>AVERAGE($I$2:$I$1168)</f>
        <v>78.907455012853475</v>
      </c>
      <c r="O717" s="3" t="str">
        <f>CONCATENATE(A717,"-",B717)</f>
        <v>448-Lucario</v>
      </c>
    </row>
    <row r="718" spans="1:15">
      <c r="A718" s="63">
        <v>448</v>
      </c>
      <c r="B718" s="2" t="str">
        <f>B717</f>
        <v>Lucario</v>
      </c>
      <c r="C718" t="s">
        <v>115</v>
      </c>
      <c r="D718" s="22">
        <f>COUNTIF($C$2:$C$1168,Tabela1[[#This Row],[Type]])</f>
        <v>48</v>
      </c>
      <c r="E718" s="62" t="str">
        <f>IF(A718&lt;=151,"Kanto",IF(A718&lt;=251,"Johto",IF(A718&lt;=386,"Hoenn",IF(A718&lt;=493,"Sinnoh",IF(A718&lt;=649,"Unova",IF(A718&lt;=721,"Kalos",IF(A718&lt;=809,"Alola",IF(A718&lt;=905,"Galar","Paldea"))))))))</f>
        <v>Sinnoh</v>
      </c>
      <c r="F718" t="str">
        <f>IF(G718&gt;=600,"Lendário",IF(G718&gt;=500,"Forte","Normal"))</f>
        <v>Forte</v>
      </c>
      <c r="G718" s="3">
        <f>G717</f>
        <v>525</v>
      </c>
      <c r="H718" s="3">
        <f>H717</f>
        <v>70</v>
      </c>
      <c r="I718" s="3">
        <f>I717</f>
        <v>110</v>
      </c>
      <c r="J718" s="3">
        <f>J717</f>
        <v>70</v>
      </c>
      <c r="K718" s="3">
        <f>K717</f>
        <v>115</v>
      </c>
      <c r="L718" s="3">
        <f>L717</f>
        <v>70</v>
      </c>
      <c r="M718" s="3">
        <f>M717</f>
        <v>90</v>
      </c>
      <c r="N718" s="3">
        <f>AVERAGE($I$2:$I$1168)</f>
        <v>78.907455012853475</v>
      </c>
      <c r="O718" s="3" t="str">
        <f>CONCATENATE(A718,"-",B718)</f>
        <v>448-Lucario</v>
      </c>
    </row>
    <row r="719" spans="1:15">
      <c r="A719" s="63">
        <v>448.1</v>
      </c>
      <c r="B719" s="2" t="s">
        <v>513</v>
      </c>
      <c r="C719" t="s">
        <v>86</v>
      </c>
      <c r="D719" s="22">
        <f>COUNTIF($C$2:$C$1168,Tabela1[[#This Row],[Type]])</f>
        <v>51</v>
      </c>
      <c r="E719" s="62" t="str">
        <f>IF(A719&lt;=151,"Kanto",IF(A719&lt;=251,"Johto",IF(A719&lt;=386,"Hoenn",IF(A719&lt;=493,"Sinnoh",IF(A719&lt;=649,"Unova",IF(A719&lt;=721,"Kalos",IF(A719&lt;=809,"Alola",IF(A719&lt;=905,"Galar","Paldea"))))))))</f>
        <v>Sinnoh</v>
      </c>
      <c r="F719" t="str">
        <f>IF(G719&gt;=600,"Lendário",IF(G719&gt;=500,"Forte","Normal"))</f>
        <v>Lendário</v>
      </c>
      <c r="G719" s="3">
        <v>625</v>
      </c>
      <c r="H719" s="3">
        <v>70</v>
      </c>
      <c r="I719" s="3">
        <v>145</v>
      </c>
      <c r="J719" s="3">
        <v>88</v>
      </c>
      <c r="K719" s="3">
        <v>140</v>
      </c>
      <c r="L719" s="3">
        <v>70</v>
      </c>
      <c r="M719" s="3">
        <v>112</v>
      </c>
      <c r="N719" s="3">
        <f>AVERAGE($I$2:$I$1168)</f>
        <v>78.907455012853475</v>
      </c>
      <c r="O719" s="3" t="str">
        <f>CONCATENATE(A719,"-",B719)</f>
        <v>448,1-Mega Lucario</v>
      </c>
    </row>
    <row r="720" spans="1:15">
      <c r="A720" s="63">
        <v>448.1</v>
      </c>
      <c r="B720" s="2" t="s">
        <v>513</v>
      </c>
      <c r="C720" t="s">
        <v>115</v>
      </c>
      <c r="D720" s="22">
        <f>COUNTIF($C$2:$C$1168,Tabela1[[#This Row],[Type]])</f>
        <v>48</v>
      </c>
      <c r="E720" s="62" t="str">
        <f>IF(A720&lt;=151,"Kanto",IF(A720&lt;=251,"Johto",IF(A720&lt;=386,"Hoenn",IF(A720&lt;=493,"Sinnoh",IF(A720&lt;=649,"Unova",IF(A720&lt;=721,"Kalos",IF(A720&lt;=809,"Alola",IF(A720&lt;=905,"Galar","Paldea"))))))))</f>
        <v>Sinnoh</v>
      </c>
      <c r="F720" t="str">
        <f>IF(G720&gt;=600,"Lendário",IF(G720&gt;=500,"Forte","Normal"))</f>
        <v>Lendário</v>
      </c>
      <c r="G720" s="3">
        <f>G719</f>
        <v>625</v>
      </c>
      <c r="H720" s="3">
        <f>H719</f>
        <v>70</v>
      </c>
      <c r="I720" s="3">
        <f>I719</f>
        <v>145</v>
      </c>
      <c r="J720" s="3">
        <f>J719</f>
        <v>88</v>
      </c>
      <c r="K720" s="3">
        <f>K719</f>
        <v>140</v>
      </c>
      <c r="L720" s="3">
        <f>L719</f>
        <v>70</v>
      </c>
      <c r="M720" s="3">
        <f>M719</f>
        <v>112</v>
      </c>
      <c r="N720" s="3">
        <f>AVERAGE($I$2:$I$1168)</f>
        <v>78.907455012853475</v>
      </c>
      <c r="O720" s="3" t="str">
        <f>CONCATENATE(A720,"-",B720)</f>
        <v>448,1-Mega Lucario</v>
      </c>
    </row>
    <row r="721" spans="1:15">
      <c r="A721" s="63">
        <v>449</v>
      </c>
      <c r="B721" s="2" t="s">
        <v>514</v>
      </c>
      <c r="C721" t="s">
        <v>55</v>
      </c>
      <c r="D721" s="22">
        <f>COUNTIF($C$2:$C$1168,Tabela1[[#This Row],[Type]])</f>
        <v>62</v>
      </c>
      <c r="E721" s="62" t="str">
        <f>IF(A721&lt;=151,"Kanto",IF(A721&lt;=251,"Johto",IF(A721&lt;=386,"Hoenn",IF(A721&lt;=493,"Sinnoh",IF(A721&lt;=649,"Unova",IF(A721&lt;=721,"Kalos",IF(A721&lt;=809,"Alola",IF(A721&lt;=905,"Galar","Paldea"))))))))</f>
        <v>Sinnoh</v>
      </c>
      <c r="F721" t="str">
        <f>IF(G721&gt;=600,"Lendário",IF(G721&gt;=500,"Forte","Normal"))</f>
        <v>Normal</v>
      </c>
      <c r="G721" s="3">
        <v>330</v>
      </c>
      <c r="H721" s="3">
        <v>68</v>
      </c>
      <c r="I721" s="3">
        <v>72</v>
      </c>
      <c r="J721" s="3">
        <v>78</v>
      </c>
      <c r="K721" s="3">
        <v>38</v>
      </c>
      <c r="L721" s="3">
        <v>42</v>
      </c>
      <c r="M721" s="3">
        <v>32</v>
      </c>
      <c r="N721" s="3">
        <f>AVERAGE($I$2:$I$1168)</f>
        <v>78.907455012853475</v>
      </c>
      <c r="O721" s="3" t="str">
        <f>CONCATENATE(A721,"-",B721)</f>
        <v>449-Hippopotas</v>
      </c>
    </row>
    <row r="722" spans="1:15">
      <c r="A722" s="63">
        <v>450</v>
      </c>
      <c r="B722" s="2" t="s">
        <v>515</v>
      </c>
      <c r="C722" t="s">
        <v>55</v>
      </c>
      <c r="D722" s="22">
        <f>COUNTIF($C$2:$C$1168,Tabela1[[#This Row],[Type]])</f>
        <v>62</v>
      </c>
      <c r="E722" s="62" t="str">
        <f>IF(A722&lt;=151,"Kanto",IF(A722&lt;=251,"Johto",IF(A722&lt;=386,"Hoenn",IF(A722&lt;=493,"Sinnoh",IF(A722&lt;=649,"Unova",IF(A722&lt;=721,"Kalos",IF(A722&lt;=809,"Alola",IF(A722&lt;=905,"Galar","Paldea"))))))))</f>
        <v>Sinnoh</v>
      </c>
      <c r="F722" t="str">
        <f>IF(G722&gt;=600,"Lendário",IF(G722&gt;=500,"Forte","Normal"))</f>
        <v>Forte</v>
      </c>
      <c r="G722" s="3">
        <v>525</v>
      </c>
      <c r="H722" s="3">
        <v>108</v>
      </c>
      <c r="I722" s="3">
        <v>112</v>
      </c>
      <c r="J722" s="3">
        <v>118</v>
      </c>
      <c r="K722" s="3">
        <v>68</v>
      </c>
      <c r="L722" s="3">
        <v>72</v>
      </c>
      <c r="M722" s="3">
        <v>47</v>
      </c>
      <c r="N722" s="3">
        <f>AVERAGE($I$2:$I$1168)</f>
        <v>78.907455012853475</v>
      </c>
      <c r="O722" s="3" t="str">
        <f>CONCATENATE(A722,"-",B722)</f>
        <v>450-Hippowdon</v>
      </c>
    </row>
    <row r="723" spans="1:15">
      <c r="A723" s="63">
        <v>451</v>
      </c>
      <c r="B723" s="2" t="s">
        <v>516</v>
      </c>
      <c r="C723" t="s">
        <v>17</v>
      </c>
      <c r="D723" s="22">
        <f>COUNTIF($C$2:$C$1168,Tabela1[[#This Row],[Type]])</f>
        <v>61</v>
      </c>
      <c r="E723" s="62" t="str">
        <f>IF(A723&lt;=151,"Kanto",IF(A723&lt;=251,"Johto",IF(A723&lt;=386,"Hoenn",IF(A723&lt;=493,"Sinnoh",IF(A723&lt;=649,"Unova",IF(A723&lt;=721,"Kalos",IF(A723&lt;=809,"Alola",IF(A723&lt;=905,"Galar","Paldea"))))))))</f>
        <v>Sinnoh</v>
      </c>
      <c r="F723" t="str">
        <f>IF(G723&gt;=600,"Lendário",IF(G723&gt;=500,"Forte","Normal"))</f>
        <v>Normal</v>
      </c>
      <c r="G723" s="3">
        <v>330</v>
      </c>
      <c r="H723" s="3">
        <v>40</v>
      </c>
      <c r="I723" s="3">
        <v>50</v>
      </c>
      <c r="J723" s="3">
        <v>90</v>
      </c>
      <c r="K723" s="3">
        <v>30</v>
      </c>
      <c r="L723" s="3">
        <v>55</v>
      </c>
      <c r="M723" s="3">
        <v>65</v>
      </c>
      <c r="N723" s="3">
        <f>AVERAGE($I$2:$I$1168)</f>
        <v>78.907455012853475</v>
      </c>
      <c r="O723" s="3" t="str">
        <f>CONCATENATE(A723,"-",B723)</f>
        <v>451-Skorupi</v>
      </c>
    </row>
    <row r="724" spans="1:15">
      <c r="A724" s="63">
        <v>451</v>
      </c>
      <c r="B724" s="2" t="str">
        <f>B723</f>
        <v>Skorupi</v>
      </c>
      <c r="C724" t="s">
        <v>35</v>
      </c>
      <c r="D724" s="22">
        <f>COUNTIF($C$2:$C$1168,Tabela1[[#This Row],[Type]])</f>
        <v>71</v>
      </c>
      <c r="E724" s="62" t="str">
        <f>IF(A724&lt;=151,"Kanto",IF(A724&lt;=251,"Johto",IF(A724&lt;=386,"Hoenn",IF(A724&lt;=493,"Sinnoh",IF(A724&lt;=649,"Unova",IF(A724&lt;=721,"Kalos",IF(A724&lt;=809,"Alola",IF(A724&lt;=905,"Galar","Paldea"))))))))</f>
        <v>Sinnoh</v>
      </c>
      <c r="F724" t="str">
        <f>IF(G724&gt;=600,"Lendário",IF(G724&gt;=500,"Forte","Normal"))</f>
        <v>Normal</v>
      </c>
      <c r="G724" s="3">
        <f>G723</f>
        <v>330</v>
      </c>
      <c r="H724" s="3">
        <f>H723</f>
        <v>40</v>
      </c>
      <c r="I724" s="3">
        <f>I723</f>
        <v>50</v>
      </c>
      <c r="J724" s="3">
        <f>J723</f>
        <v>90</v>
      </c>
      <c r="K724" s="3">
        <f>K723</f>
        <v>30</v>
      </c>
      <c r="L724" s="3">
        <f>L723</f>
        <v>55</v>
      </c>
      <c r="M724" s="3">
        <f>M723</f>
        <v>65</v>
      </c>
      <c r="N724" s="3">
        <f>AVERAGE($I$2:$I$1168)</f>
        <v>78.907455012853475</v>
      </c>
      <c r="O724" s="3" t="str">
        <f>CONCATENATE(A724,"-",B724)</f>
        <v>451-Skorupi</v>
      </c>
    </row>
    <row r="725" spans="1:15">
      <c r="A725" s="63">
        <v>452</v>
      </c>
      <c r="B725" s="2" t="s">
        <v>517</v>
      </c>
      <c r="C725" t="s">
        <v>17</v>
      </c>
      <c r="D725" s="22">
        <f>COUNTIF($C$2:$C$1168,Tabela1[[#This Row],[Type]])</f>
        <v>61</v>
      </c>
      <c r="E725" s="62" t="str">
        <f>IF(A725&lt;=151,"Kanto",IF(A725&lt;=251,"Johto",IF(A725&lt;=386,"Hoenn",IF(A725&lt;=493,"Sinnoh",IF(A725&lt;=649,"Unova",IF(A725&lt;=721,"Kalos",IF(A725&lt;=809,"Alola",IF(A725&lt;=905,"Galar","Paldea"))))))))</f>
        <v>Sinnoh</v>
      </c>
      <c r="F725" t="str">
        <f>IF(G725&gt;=600,"Lendário",IF(G725&gt;=500,"Forte","Normal"))</f>
        <v>Forte</v>
      </c>
      <c r="G725" s="3">
        <v>500</v>
      </c>
      <c r="H725" s="3">
        <v>70</v>
      </c>
      <c r="I725" s="3">
        <v>90</v>
      </c>
      <c r="J725" s="3">
        <v>110</v>
      </c>
      <c r="K725" s="3">
        <v>60</v>
      </c>
      <c r="L725" s="3">
        <v>75</v>
      </c>
      <c r="M725" s="3">
        <v>95</v>
      </c>
      <c r="N725" s="3">
        <f>AVERAGE($I$2:$I$1168)</f>
        <v>78.907455012853475</v>
      </c>
      <c r="O725" s="3" t="str">
        <f>CONCATENATE(A725,"-",B725)</f>
        <v>452-Drapion</v>
      </c>
    </row>
    <row r="726" spans="1:15">
      <c r="A726" s="63">
        <v>452</v>
      </c>
      <c r="B726" s="2" t="str">
        <f>B725</f>
        <v>Drapion</v>
      </c>
      <c r="C726" t="s">
        <v>170</v>
      </c>
      <c r="D726" s="22">
        <f>COUNTIF($C$2:$C$1168,Tabela1[[#This Row],[Type]])</f>
        <v>49</v>
      </c>
      <c r="E726" s="62" t="str">
        <f>IF(A726&lt;=151,"Kanto",IF(A726&lt;=251,"Johto",IF(A726&lt;=386,"Hoenn",IF(A726&lt;=493,"Sinnoh",IF(A726&lt;=649,"Unova",IF(A726&lt;=721,"Kalos",IF(A726&lt;=809,"Alola",IF(A726&lt;=905,"Galar","Paldea"))))))))</f>
        <v>Sinnoh</v>
      </c>
      <c r="F726" t="str">
        <f>IF(G726&gt;=600,"Lendário",IF(G726&gt;=500,"Forte","Normal"))</f>
        <v>Forte</v>
      </c>
      <c r="G726" s="3">
        <f>G725</f>
        <v>500</v>
      </c>
      <c r="H726" s="3">
        <f>H725</f>
        <v>70</v>
      </c>
      <c r="I726" s="3">
        <f>I725</f>
        <v>90</v>
      </c>
      <c r="J726" s="3">
        <f>J725</f>
        <v>110</v>
      </c>
      <c r="K726" s="3">
        <f>K725</f>
        <v>60</v>
      </c>
      <c r="L726" s="3">
        <f>L725</f>
        <v>75</v>
      </c>
      <c r="M726" s="3">
        <f>M725</f>
        <v>95</v>
      </c>
      <c r="N726" s="3">
        <f>AVERAGE($I$2:$I$1168)</f>
        <v>78.907455012853475</v>
      </c>
      <c r="O726" s="3" t="str">
        <f>CONCATENATE(A726,"-",B726)</f>
        <v>452-Drapion</v>
      </c>
    </row>
    <row r="727" spans="1:15">
      <c r="A727" s="63">
        <v>453</v>
      </c>
      <c r="B727" s="2" t="s">
        <v>518</v>
      </c>
      <c r="C727" t="s">
        <v>17</v>
      </c>
      <c r="D727" s="22">
        <f>COUNTIF($C$2:$C$1168,Tabela1[[#This Row],[Type]])</f>
        <v>61</v>
      </c>
      <c r="E727" s="62" t="str">
        <f>IF(A727&lt;=151,"Kanto",IF(A727&lt;=251,"Johto",IF(A727&lt;=386,"Hoenn",IF(A727&lt;=493,"Sinnoh",IF(A727&lt;=649,"Unova",IF(A727&lt;=721,"Kalos",IF(A727&lt;=809,"Alola",IF(A727&lt;=905,"Galar","Paldea"))))))))</f>
        <v>Sinnoh</v>
      </c>
      <c r="F727" t="str">
        <f>IF(G727&gt;=600,"Lendário",IF(G727&gt;=500,"Forte","Normal"))</f>
        <v>Normal</v>
      </c>
      <c r="G727" s="3">
        <v>300</v>
      </c>
      <c r="H727" s="3">
        <v>48</v>
      </c>
      <c r="I727" s="3">
        <v>61</v>
      </c>
      <c r="J727" s="3">
        <v>40</v>
      </c>
      <c r="K727" s="3">
        <v>61</v>
      </c>
      <c r="L727" s="3">
        <v>40</v>
      </c>
      <c r="M727" s="3">
        <v>50</v>
      </c>
      <c r="N727" s="3">
        <f>AVERAGE($I$2:$I$1168)</f>
        <v>78.907455012853475</v>
      </c>
      <c r="O727" s="3" t="str">
        <f>CONCATENATE(A727,"-",B727)</f>
        <v>453-Croagunk</v>
      </c>
    </row>
    <row r="728" spans="1:15">
      <c r="A728" s="63">
        <v>453</v>
      </c>
      <c r="B728" s="2" t="str">
        <f>B727</f>
        <v>Croagunk</v>
      </c>
      <c r="C728" t="s">
        <v>86</v>
      </c>
      <c r="D728" s="22">
        <f>COUNTIF($C$2:$C$1168,Tabela1[[#This Row],[Type]])</f>
        <v>51</v>
      </c>
      <c r="E728" s="62" t="str">
        <f>IF(A728&lt;=151,"Kanto",IF(A728&lt;=251,"Johto",IF(A728&lt;=386,"Hoenn",IF(A728&lt;=493,"Sinnoh",IF(A728&lt;=649,"Unova",IF(A728&lt;=721,"Kalos",IF(A728&lt;=809,"Alola",IF(A728&lt;=905,"Galar","Paldea"))))))))</f>
        <v>Sinnoh</v>
      </c>
      <c r="F728" t="str">
        <f>IF(G728&gt;=600,"Lendário",IF(G728&gt;=500,"Forte","Normal"))</f>
        <v>Normal</v>
      </c>
      <c r="G728" s="3">
        <f>G727</f>
        <v>300</v>
      </c>
      <c r="H728" s="3">
        <f>H727</f>
        <v>48</v>
      </c>
      <c r="I728" s="3">
        <f>I727</f>
        <v>61</v>
      </c>
      <c r="J728" s="3">
        <f>J727</f>
        <v>40</v>
      </c>
      <c r="K728" s="3">
        <f>K727</f>
        <v>61</v>
      </c>
      <c r="L728" s="3">
        <f>L727</f>
        <v>40</v>
      </c>
      <c r="M728" s="3">
        <f>M727</f>
        <v>50</v>
      </c>
      <c r="N728" s="3">
        <f>AVERAGE($I$2:$I$1168)</f>
        <v>78.907455012853475</v>
      </c>
      <c r="O728" s="3" t="str">
        <f>CONCATENATE(A728,"-",B728)</f>
        <v>453-Croagunk</v>
      </c>
    </row>
    <row r="729" spans="1:15">
      <c r="A729" s="63">
        <v>454</v>
      </c>
      <c r="B729" s="2" t="s">
        <v>519</v>
      </c>
      <c r="C729" t="s">
        <v>17</v>
      </c>
      <c r="D729" s="22">
        <f>COUNTIF($C$2:$C$1168,Tabela1[[#This Row],[Type]])</f>
        <v>61</v>
      </c>
      <c r="E729" s="62" t="str">
        <f>IF(A729&lt;=151,"Kanto",IF(A729&lt;=251,"Johto",IF(A729&lt;=386,"Hoenn",IF(A729&lt;=493,"Sinnoh",IF(A729&lt;=649,"Unova",IF(A729&lt;=721,"Kalos",IF(A729&lt;=809,"Alola",IF(A729&lt;=905,"Galar","Paldea"))))))))</f>
        <v>Sinnoh</v>
      </c>
      <c r="F729" t="str">
        <f>IF(G729&gt;=600,"Lendário",IF(G729&gt;=500,"Forte","Normal"))</f>
        <v>Normal</v>
      </c>
      <c r="G729" s="3">
        <v>490</v>
      </c>
      <c r="H729" s="3">
        <v>83</v>
      </c>
      <c r="I729" s="3">
        <v>106</v>
      </c>
      <c r="J729" s="3">
        <v>65</v>
      </c>
      <c r="K729" s="3">
        <v>86</v>
      </c>
      <c r="L729" s="3">
        <v>65</v>
      </c>
      <c r="M729" s="3">
        <v>85</v>
      </c>
      <c r="N729" s="3">
        <f>AVERAGE($I$2:$I$1168)</f>
        <v>78.907455012853475</v>
      </c>
      <c r="O729" s="3" t="str">
        <f>CONCATENATE(A729,"-",B729)</f>
        <v>454-Toxicroak</v>
      </c>
    </row>
    <row r="730" spans="1:15">
      <c r="A730" s="63">
        <v>454</v>
      </c>
      <c r="B730" s="2" t="str">
        <f>B729</f>
        <v>Toxicroak</v>
      </c>
      <c r="C730" t="s">
        <v>86</v>
      </c>
      <c r="D730" s="22">
        <f>COUNTIF($C$2:$C$1168,Tabela1[[#This Row],[Type]])</f>
        <v>51</v>
      </c>
      <c r="E730" s="62" t="str">
        <f>IF(A730&lt;=151,"Kanto",IF(A730&lt;=251,"Johto",IF(A730&lt;=386,"Hoenn",IF(A730&lt;=493,"Sinnoh",IF(A730&lt;=649,"Unova",IF(A730&lt;=721,"Kalos",IF(A730&lt;=809,"Alola",IF(A730&lt;=905,"Galar","Paldea"))))))))</f>
        <v>Sinnoh</v>
      </c>
      <c r="F730" t="str">
        <f>IF(G730&gt;=600,"Lendário",IF(G730&gt;=500,"Forte","Normal"))</f>
        <v>Normal</v>
      </c>
      <c r="G730" s="3">
        <f>G729</f>
        <v>490</v>
      </c>
      <c r="H730" s="3">
        <f>H729</f>
        <v>83</v>
      </c>
      <c r="I730" s="3">
        <f>I729</f>
        <v>106</v>
      </c>
      <c r="J730" s="3">
        <f>J729</f>
        <v>65</v>
      </c>
      <c r="K730" s="3">
        <f>K729</f>
        <v>86</v>
      </c>
      <c r="L730" s="3">
        <f>L729</f>
        <v>65</v>
      </c>
      <c r="M730" s="3">
        <f>M729</f>
        <v>85</v>
      </c>
      <c r="N730" s="3">
        <f>AVERAGE($I$2:$I$1168)</f>
        <v>78.907455012853475</v>
      </c>
      <c r="O730" s="3" t="str">
        <f>CONCATENATE(A730,"-",B730)</f>
        <v>454-Toxicroak</v>
      </c>
    </row>
    <row r="731" spans="1:15">
      <c r="A731" s="63">
        <v>455</v>
      </c>
      <c r="B731" s="2" t="s">
        <v>520</v>
      </c>
      <c r="C731" t="s">
        <v>16</v>
      </c>
      <c r="D731" s="22">
        <f>COUNTIF($C$2:$C$1168,Tabela1[[#This Row],[Type]])</f>
        <v>93</v>
      </c>
      <c r="E731" s="62" t="str">
        <f>IF(A731&lt;=151,"Kanto",IF(A731&lt;=251,"Johto",IF(A731&lt;=386,"Hoenn",IF(A731&lt;=493,"Sinnoh",IF(A731&lt;=649,"Unova",IF(A731&lt;=721,"Kalos",IF(A731&lt;=809,"Alola",IF(A731&lt;=905,"Galar","Paldea"))))))))</f>
        <v>Sinnoh</v>
      </c>
      <c r="F731" t="str">
        <f>IF(G731&gt;=600,"Lendário",IF(G731&gt;=500,"Forte","Normal"))</f>
        <v>Normal</v>
      </c>
      <c r="G731" s="3">
        <v>454</v>
      </c>
      <c r="H731" s="3">
        <v>74</v>
      </c>
      <c r="I731" s="3">
        <v>100</v>
      </c>
      <c r="J731" s="3">
        <v>72</v>
      </c>
      <c r="K731" s="3">
        <v>90</v>
      </c>
      <c r="L731" s="3">
        <v>72</v>
      </c>
      <c r="M731" s="3">
        <v>46</v>
      </c>
      <c r="N731" s="3">
        <f>AVERAGE($I$2:$I$1168)</f>
        <v>78.907455012853475</v>
      </c>
      <c r="O731" s="3" t="str">
        <f>CONCATENATE(A731,"-",B731)</f>
        <v>455-Carnivine</v>
      </c>
    </row>
    <row r="732" spans="1:15">
      <c r="A732" s="63">
        <v>456</v>
      </c>
      <c r="B732" s="2" t="s">
        <v>521</v>
      </c>
      <c r="C732" t="s">
        <v>30</v>
      </c>
      <c r="D732" s="22">
        <f>COUNTIF($C$2:$C$1168,Tabela1[[#This Row],[Type]])</f>
        <v>121</v>
      </c>
      <c r="E732" s="62" t="str">
        <f>IF(A732&lt;=151,"Kanto",IF(A732&lt;=251,"Johto",IF(A732&lt;=386,"Hoenn",IF(A732&lt;=493,"Sinnoh",IF(A732&lt;=649,"Unova",IF(A732&lt;=721,"Kalos",IF(A732&lt;=809,"Alola",IF(A732&lt;=905,"Galar","Paldea"))))))))</f>
        <v>Sinnoh</v>
      </c>
      <c r="F732" t="str">
        <f>IF(G732&gt;=600,"Lendário",IF(G732&gt;=500,"Forte","Normal"))</f>
        <v>Normal</v>
      </c>
      <c r="G732" s="3">
        <v>330</v>
      </c>
      <c r="H732" s="3">
        <v>49</v>
      </c>
      <c r="I732" s="3">
        <v>49</v>
      </c>
      <c r="J732" s="3">
        <v>56</v>
      </c>
      <c r="K732" s="3">
        <v>49</v>
      </c>
      <c r="L732" s="3">
        <v>61</v>
      </c>
      <c r="M732" s="3">
        <v>66</v>
      </c>
      <c r="N732" s="3">
        <f>AVERAGE($I$2:$I$1168)</f>
        <v>78.907455012853475</v>
      </c>
      <c r="O732" s="3" t="str">
        <f>CONCATENATE(A732,"-",B732)</f>
        <v>456-Finneon</v>
      </c>
    </row>
    <row r="733" spans="1:15">
      <c r="A733" s="63">
        <v>457</v>
      </c>
      <c r="B733" s="2" t="s">
        <v>522</v>
      </c>
      <c r="C733" t="s">
        <v>30</v>
      </c>
      <c r="D733" s="22">
        <f>COUNTIF($C$2:$C$1168,Tabela1[[#This Row],[Type]])</f>
        <v>121</v>
      </c>
      <c r="E733" s="62" t="str">
        <f>IF(A733&lt;=151,"Kanto",IF(A733&lt;=251,"Johto",IF(A733&lt;=386,"Hoenn",IF(A733&lt;=493,"Sinnoh",IF(A733&lt;=649,"Unova",IF(A733&lt;=721,"Kalos",IF(A733&lt;=809,"Alola",IF(A733&lt;=905,"Galar","Paldea"))))))))</f>
        <v>Sinnoh</v>
      </c>
      <c r="F733" t="str">
        <f>IF(G733&gt;=600,"Lendário",IF(G733&gt;=500,"Forte","Normal"))</f>
        <v>Normal</v>
      </c>
      <c r="G733" s="3">
        <v>460</v>
      </c>
      <c r="H733" s="3">
        <v>69</v>
      </c>
      <c r="I733" s="3">
        <v>69</v>
      </c>
      <c r="J733" s="3">
        <v>76</v>
      </c>
      <c r="K733" s="3">
        <v>69</v>
      </c>
      <c r="L733" s="3">
        <v>86</v>
      </c>
      <c r="M733" s="3">
        <v>91</v>
      </c>
      <c r="N733" s="3">
        <f>AVERAGE($I$2:$I$1168)</f>
        <v>78.907455012853475</v>
      </c>
      <c r="O733" s="3" t="str">
        <f>CONCATENATE(A733,"-",B733)</f>
        <v>457-Lumineon</v>
      </c>
    </row>
    <row r="734" spans="1:15">
      <c r="A734" s="63">
        <v>458</v>
      </c>
      <c r="B734" s="2" t="s">
        <v>523</v>
      </c>
      <c r="C734" t="s">
        <v>30</v>
      </c>
      <c r="D734" s="22">
        <f>COUNTIF($C$2:$C$1168,Tabela1[[#This Row],[Type]])</f>
        <v>121</v>
      </c>
      <c r="E734" s="62" t="str">
        <f>IF(A734&lt;=151,"Kanto",IF(A734&lt;=251,"Johto",IF(A734&lt;=386,"Hoenn",IF(A734&lt;=493,"Sinnoh",IF(A734&lt;=649,"Unova",IF(A734&lt;=721,"Kalos",IF(A734&lt;=809,"Alola",IF(A734&lt;=905,"Galar","Paldea"))))))))</f>
        <v>Sinnoh</v>
      </c>
      <c r="F734" t="str">
        <f>IF(G734&gt;=600,"Lendário",IF(G734&gt;=500,"Forte","Normal"))</f>
        <v>Normal</v>
      </c>
      <c r="G734" s="3">
        <v>345</v>
      </c>
      <c r="H734" s="3">
        <v>45</v>
      </c>
      <c r="I734" s="3">
        <v>20</v>
      </c>
      <c r="J734" s="3">
        <v>50</v>
      </c>
      <c r="K734" s="3">
        <v>60</v>
      </c>
      <c r="L734" s="3">
        <v>120</v>
      </c>
      <c r="M734" s="3">
        <v>50</v>
      </c>
      <c r="N734" s="3">
        <f>AVERAGE($I$2:$I$1168)</f>
        <v>78.907455012853475</v>
      </c>
      <c r="O734" s="3" t="str">
        <f>CONCATENATE(A734,"-",B734)</f>
        <v>458-Mantyke</v>
      </c>
    </row>
    <row r="735" spans="1:15">
      <c r="A735" s="63">
        <v>458</v>
      </c>
      <c r="B735" s="2" t="str">
        <f>B734</f>
        <v>Mantyke</v>
      </c>
      <c r="C735" t="s">
        <v>25</v>
      </c>
      <c r="D735" s="22">
        <f>COUNTIF($C$2:$C$1168,Tabela1[[#This Row],[Type]])</f>
        <v>100</v>
      </c>
      <c r="E735" s="62" t="str">
        <f>IF(A735&lt;=151,"Kanto",IF(A735&lt;=251,"Johto",IF(A735&lt;=386,"Hoenn",IF(A735&lt;=493,"Sinnoh",IF(A735&lt;=649,"Unova",IF(A735&lt;=721,"Kalos",IF(A735&lt;=809,"Alola",IF(A735&lt;=905,"Galar","Paldea"))))))))</f>
        <v>Sinnoh</v>
      </c>
      <c r="F735" t="str">
        <f>IF(G735&gt;=600,"Lendário",IF(G735&gt;=500,"Forte","Normal"))</f>
        <v>Normal</v>
      </c>
      <c r="G735" s="3">
        <f>G734</f>
        <v>345</v>
      </c>
      <c r="H735" s="3">
        <f>H734</f>
        <v>45</v>
      </c>
      <c r="I735" s="3">
        <f>I734</f>
        <v>20</v>
      </c>
      <c r="J735" s="3">
        <f>J734</f>
        <v>50</v>
      </c>
      <c r="K735" s="3">
        <f>K734</f>
        <v>60</v>
      </c>
      <c r="L735" s="3">
        <f>L734</f>
        <v>120</v>
      </c>
      <c r="M735" s="3">
        <f>M734</f>
        <v>50</v>
      </c>
      <c r="N735" s="3">
        <f>AVERAGE($I$2:$I$1168)</f>
        <v>78.907455012853475</v>
      </c>
      <c r="O735" s="3" t="str">
        <f>CONCATENATE(A735,"-",B735)</f>
        <v>458-Mantyke</v>
      </c>
    </row>
    <row r="736" spans="1:15">
      <c r="A736" s="63">
        <v>459</v>
      </c>
      <c r="B736" s="2" t="s">
        <v>524</v>
      </c>
      <c r="C736" t="s">
        <v>16</v>
      </c>
      <c r="D736" s="22">
        <f>COUNTIF($C$2:$C$1168,Tabela1[[#This Row],[Type]])</f>
        <v>93</v>
      </c>
      <c r="E736" s="62" t="str">
        <f>IF(A736&lt;=151,"Kanto",IF(A736&lt;=251,"Johto",IF(A736&lt;=386,"Hoenn",IF(A736&lt;=493,"Sinnoh",IF(A736&lt;=649,"Unova",IF(A736&lt;=721,"Kalos",IF(A736&lt;=809,"Alola",IF(A736&lt;=905,"Galar","Paldea"))))))))</f>
        <v>Sinnoh</v>
      </c>
      <c r="F736" t="str">
        <f>IF(G736&gt;=600,"Lendário",IF(G736&gt;=500,"Forte","Normal"))</f>
        <v>Normal</v>
      </c>
      <c r="G736" s="3">
        <v>334</v>
      </c>
      <c r="H736" s="3">
        <v>60</v>
      </c>
      <c r="I736" s="3">
        <v>62</v>
      </c>
      <c r="J736" s="3">
        <v>50</v>
      </c>
      <c r="K736" s="3">
        <v>62</v>
      </c>
      <c r="L736" s="3">
        <v>60</v>
      </c>
      <c r="M736" s="3">
        <v>40</v>
      </c>
      <c r="N736" s="3">
        <f>AVERAGE($I$2:$I$1168)</f>
        <v>78.907455012853475</v>
      </c>
      <c r="O736" s="3" t="str">
        <f>CONCATENATE(A736,"-",B736)</f>
        <v>459-Snover</v>
      </c>
    </row>
    <row r="737" spans="1:15">
      <c r="A737" s="63">
        <v>459</v>
      </c>
      <c r="B737" s="2" t="str">
        <f>B736</f>
        <v>Snover</v>
      </c>
      <c r="C737" t="s">
        <v>122</v>
      </c>
      <c r="D737" s="22">
        <f>COUNTIF($C$2:$C$1168,Tabela1[[#This Row],[Type]])</f>
        <v>37</v>
      </c>
      <c r="E737" s="62" t="str">
        <f>IF(A737&lt;=151,"Kanto",IF(A737&lt;=251,"Johto",IF(A737&lt;=386,"Hoenn",IF(A737&lt;=493,"Sinnoh",IF(A737&lt;=649,"Unova",IF(A737&lt;=721,"Kalos",IF(A737&lt;=809,"Alola",IF(A737&lt;=905,"Galar","Paldea"))))))))</f>
        <v>Sinnoh</v>
      </c>
      <c r="F737" t="str">
        <f>IF(G737&gt;=600,"Lendário",IF(G737&gt;=500,"Forte","Normal"))</f>
        <v>Normal</v>
      </c>
      <c r="G737" s="3">
        <f>G736</f>
        <v>334</v>
      </c>
      <c r="H737" s="3">
        <f>H736</f>
        <v>60</v>
      </c>
      <c r="I737" s="3">
        <f>I736</f>
        <v>62</v>
      </c>
      <c r="J737" s="3">
        <f>J736</f>
        <v>50</v>
      </c>
      <c r="K737" s="3">
        <f>K736</f>
        <v>62</v>
      </c>
      <c r="L737" s="3">
        <f>L736</f>
        <v>60</v>
      </c>
      <c r="M737" s="3">
        <f>M736</f>
        <v>40</v>
      </c>
      <c r="N737" s="3">
        <f>AVERAGE($I$2:$I$1168)</f>
        <v>78.907455012853475</v>
      </c>
      <c r="O737" s="3" t="str">
        <f>CONCATENATE(A737,"-",B737)</f>
        <v>459-Snover</v>
      </c>
    </row>
    <row r="738" spans="1:15">
      <c r="A738" s="63">
        <v>460</v>
      </c>
      <c r="B738" s="2" t="s">
        <v>525</v>
      </c>
      <c r="C738" t="s">
        <v>16</v>
      </c>
      <c r="D738" s="22">
        <f>COUNTIF($C$2:$C$1168,Tabela1[[#This Row],[Type]])</f>
        <v>93</v>
      </c>
      <c r="E738" s="62" t="str">
        <f>IF(A738&lt;=151,"Kanto",IF(A738&lt;=251,"Johto",IF(A738&lt;=386,"Hoenn",IF(A738&lt;=493,"Sinnoh",IF(A738&lt;=649,"Unova",IF(A738&lt;=721,"Kalos",IF(A738&lt;=809,"Alola",IF(A738&lt;=905,"Galar","Paldea"))))))))</f>
        <v>Sinnoh</v>
      </c>
      <c r="F738" t="str">
        <f>IF(G738&gt;=600,"Lendário",IF(G738&gt;=500,"Forte","Normal"))</f>
        <v>Normal</v>
      </c>
      <c r="G738" s="3">
        <v>494</v>
      </c>
      <c r="H738" s="3">
        <v>90</v>
      </c>
      <c r="I738" s="3">
        <v>92</v>
      </c>
      <c r="J738" s="3">
        <v>75</v>
      </c>
      <c r="K738" s="3">
        <v>92</v>
      </c>
      <c r="L738" s="3">
        <v>85</v>
      </c>
      <c r="M738" s="3">
        <v>60</v>
      </c>
      <c r="N738" s="3">
        <f>AVERAGE($I$2:$I$1168)</f>
        <v>78.907455012853475</v>
      </c>
      <c r="O738" s="3" t="str">
        <f>CONCATENATE(A738,"-",B738)</f>
        <v>460-Abomasnow</v>
      </c>
    </row>
    <row r="739" spans="1:15">
      <c r="A739" s="63">
        <v>460</v>
      </c>
      <c r="B739" s="2" t="str">
        <f>B738</f>
        <v>Abomasnow</v>
      </c>
      <c r="C739" t="s">
        <v>122</v>
      </c>
      <c r="D739" s="22">
        <f>COUNTIF($C$2:$C$1168,Tabela1[[#This Row],[Type]])</f>
        <v>37</v>
      </c>
      <c r="E739" s="62" t="str">
        <f>IF(A739&lt;=151,"Kanto",IF(A739&lt;=251,"Johto",IF(A739&lt;=386,"Hoenn",IF(A739&lt;=493,"Sinnoh",IF(A739&lt;=649,"Unova",IF(A739&lt;=721,"Kalos",IF(A739&lt;=809,"Alola",IF(A739&lt;=905,"Galar","Paldea"))))))))</f>
        <v>Sinnoh</v>
      </c>
      <c r="F739" t="str">
        <f>IF(G739&gt;=600,"Lendário",IF(G739&gt;=500,"Forte","Normal"))</f>
        <v>Normal</v>
      </c>
      <c r="G739" s="3">
        <f>G738</f>
        <v>494</v>
      </c>
      <c r="H739" s="3">
        <f>H738</f>
        <v>90</v>
      </c>
      <c r="I739" s="3">
        <f>I738</f>
        <v>92</v>
      </c>
      <c r="J739" s="3">
        <f>J738</f>
        <v>75</v>
      </c>
      <c r="K739" s="3">
        <f>K738</f>
        <v>92</v>
      </c>
      <c r="L739" s="3">
        <f>L738</f>
        <v>85</v>
      </c>
      <c r="M739" s="3">
        <f>M738</f>
        <v>60</v>
      </c>
      <c r="N739" s="3">
        <f>AVERAGE($I$2:$I$1168)</f>
        <v>78.907455012853475</v>
      </c>
      <c r="O739" s="3" t="str">
        <f>CONCATENATE(A739,"-",B739)</f>
        <v>460-Abomasnow</v>
      </c>
    </row>
    <row r="740" spans="1:15">
      <c r="A740" s="63">
        <v>460.1</v>
      </c>
      <c r="B740" s="2" t="s">
        <v>526</v>
      </c>
      <c r="C740" t="s">
        <v>16</v>
      </c>
      <c r="D740" s="22">
        <f>COUNTIF($C$2:$C$1168,Tabela1[[#This Row],[Type]])</f>
        <v>93</v>
      </c>
      <c r="E740" s="62" t="str">
        <f>IF(A740&lt;=151,"Kanto",IF(A740&lt;=251,"Johto",IF(A740&lt;=386,"Hoenn",IF(A740&lt;=493,"Sinnoh",IF(A740&lt;=649,"Unova",IF(A740&lt;=721,"Kalos",IF(A740&lt;=809,"Alola",IF(A740&lt;=905,"Galar","Paldea"))))))))</f>
        <v>Sinnoh</v>
      </c>
      <c r="F740" t="str">
        <f>IF(G740&gt;=600,"Lendário",IF(G740&gt;=500,"Forte","Normal"))</f>
        <v>Forte</v>
      </c>
      <c r="G740" s="3">
        <v>594</v>
      </c>
      <c r="H740" s="3">
        <v>90</v>
      </c>
      <c r="I740" s="3">
        <v>132</v>
      </c>
      <c r="J740" s="3">
        <v>105</v>
      </c>
      <c r="K740" s="3">
        <v>132</v>
      </c>
      <c r="L740" s="3">
        <v>105</v>
      </c>
      <c r="M740" s="3">
        <v>30</v>
      </c>
      <c r="N740" s="3">
        <f>AVERAGE($I$2:$I$1168)</f>
        <v>78.907455012853475</v>
      </c>
      <c r="O740" s="3" t="str">
        <f>CONCATENATE(A740,"-",B740)</f>
        <v>460,1-Mega Abomasnow</v>
      </c>
    </row>
    <row r="741" spans="1:15">
      <c r="A741" s="63">
        <v>460.1</v>
      </c>
      <c r="B741" s="2" t="s">
        <v>526</v>
      </c>
      <c r="C741" t="s">
        <v>122</v>
      </c>
      <c r="D741" s="22">
        <f>COUNTIF($C$2:$C$1168,Tabela1[[#This Row],[Type]])</f>
        <v>37</v>
      </c>
      <c r="E741" s="62" t="str">
        <f>IF(A741&lt;=151,"Kanto",IF(A741&lt;=251,"Johto",IF(A741&lt;=386,"Hoenn",IF(A741&lt;=493,"Sinnoh",IF(A741&lt;=649,"Unova",IF(A741&lt;=721,"Kalos",IF(A741&lt;=809,"Alola",IF(A741&lt;=905,"Galar","Paldea"))))))))</f>
        <v>Sinnoh</v>
      </c>
      <c r="F741" t="str">
        <f>IF(G741&gt;=600,"Lendário",IF(G741&gt;=500,"Forte","Normal"))</f>
        <v>Forte</v>
      </c>
      <c r="G741" s="3">
        <f>G740</f>
        <v>594</v>
      </c>
      <c r="H741" s="3">
        <f>H740</f>
        <v>90</v>
      </c>
      <c r="I741" s="3">
        <f>I740</f>
        <v>132</v>
      </c>
      <c r="J741" s="3">
        <f>J740</f>
        <v>105</v>
      </c>
      <c r="K741" s="3">
        <f>K740</f>
        <v>132</v>
      </c>
      <c r="L741" s="3">
        <f>L740</f>
        <v>105</v>
      </c>
      <c r="M741" s="3">
        <f>M740</f>
        <v>30</v>
      </c>
      <c r="N741" s="3">
        <f>AVERAGE($I$2:$I$1168)</f>
        <v>78.907455012853475</v>
      </c>
      <c r="O741" s="3" t="str">
        <f>CONCATENATE(A741,"-",B741)</f>
        <v>460,1-Mega Abomasnow</v>
      </c>
    </row>
    <row r="742" spans="1:15">
      <c r="A742" s="63">
        <v>461</v>
      </c>
      <c r="B742" s="2" t="s">
        <v>527</v>
      </c>
      <c r="C742" t="s">
        <v>170</v>
      </c>
      <c r="D742" s="22">
        <f>COUNTIF($C$2:$C$1168,Tabela1[[#This Row],[Type]])</f>
        <v>49</v>
      </c>
      <c r="E742" s="62" t="str">
        <f>IF(A742&lt;=151,"Kanto",IF(A742&lt;=251,"Johto",IF(A742&lt;=386,"Hoenn",IF(A742&lt;=493,"Sinnoh",IF(A742&lt;=649,"Unova",IF(A742&lt;=721,"Kalos",IF(A742&lt;=809,"Alola",IF(A742&lt;=905,"Galar","Paldea"))))))))</f>
        <v>Sinnoh</v>
      </c>
      <c r="F742" t="str">
        <f>IF(G742&gt;=600,"Lendário",IF(G742&gt;=500,"Forte","Normal"))</f>
        <v>Forte</v>
      </c>
      <c r="G742" s="3">
        <v>510</v>
      </c>
      <c r="H742" s="3">
        <v>70</v>
      </c>
      <c r="I742" s="3">
        <v>120</v>
      </c>
      <c r="J742" s="3">
        <v>65</v>
      </c>
      <c r="K742" s="3">
        <v>45</v>
      </c>
      <c r="L742" s="3">
        <v>85</v>
      </c>
      <c r="M742" s="3">
        <v>125</v>
      </c>
      <c r="N742" s="3">
        <f>AVERAGE($I$2:$I$1168)</f>
        <v>78.907455012853475</v>
      </c>
      <c r="O742" s="3" t="str">
        <f>CONCATENATE(A742,"-",B742)</f>
        <v>461-Weavile</v>
      </c>
    </row>
    <row r="743" spans="1:15">
      <c r="A743" s="63">
        <v>461</v>
      </c>
      <c r="B743" s="2" t="str">
        <f>B742</f>
        <v>Weavile</v>
      </c>
      <c r="C743" t="s">
        <v>122</v>
      </c>
      <c r="D743" s="22">
        <f>COUNTIF($C$2:$C$1168,Tabela1[[#This Row],[Type]])</f>
        <v>37</v>
      </c>
      <c r="E743" s="62" t="str">
        <f>IF(A743&lt;=151,"Kanto",IF(A743&lt;=251,"Johto",IF(A743&lt;=386,"Hoenn",IF(A743&lt;=493,"Sinnoh",IF(A743&lt;=649,"Unova",IF(A743&lt;=721,"Kalos",IF(A743&lt;=809,"Alola",IF(A743&lt;=905,"Galar","Paldea"))))))))</f>
        <v>Sinnoh</v>
      </c>
      <c r="F743" t="str">
        <f>IF(G743&gt;=600,"Lendário",IF(G743&gt;=500,"Forte","Normal"))</f>
        <v>Forte</v>
      </c>
      <c r="G743" s="3">
        <f>G742</f>
        <v>510</v>
      </c>
      <c r="H743" s="3">
        <f>H742</f>
        <v>70</v>
      </c>
      <c r="I743" s="3">
        <f>I742</f>
        <v>120</v>
      </c>
      <c r="J743" s="3">
        <f>J742</f>
        <v>65</v>
      </c>
      <c r="K743" s="3">
        <f>K742</f>
        <v>45</v>
      </c>
      <c r="L743" s="3">
        <f>L742</f>
        <v>85</v>
      </c>
      <c r="M743" s="3">
        <f>M742</f>
        <v>125</v>
      </c>
      <c r="N743" s="3">
        <f>AVERAGE($I$2:$I$1168)</f>
        <v>78.907455012853475</v>
      </c>
      <c r="O743" s="3" t="str">
        <f>CONCATENATE(A743,"-",B743)</f>
        <v>461-Weavile</v>
      </c>
    </row>
    <row r="744" spans="1:15">
      <c r="A744" s="63">
        <v>462</v>
      </c>
      <c r="B744" s="2" t="s">
        <v>528</v>
      </c>
      <c r="C744" t="s">
        <v>52</v>
      </c>
      <c r="D744" s="22">
        <f>COUNTIF($C$2:$C$1168,Tabela1[[#This Row],[Type]])</f>
        <v>51</v>
      </c>
      <c r="E744" s="62" t="str">
        <f>IF(A744&lt;=151,"Kanto",IF(A744&lt;=251,"Johto",IF(A744&lt;=386,"Hoenn",IF(A744&lt;=493,"Sinnoh",IF(A744&lt;=649,"Unova",IF(A744&lt;=721,"Kalos",IF(A744&lt;=809,"Alola",IF(A744&lt;=905,"Galar","Paldea"))))))))</f>
        <v>Sinnoh</v>
      </c>
      <c r="F744" t="str">
        <f>IF(G744&gt;=600,"Lendário",IF(G744&gt;=500,"Forte","Normal"))</f>
        <v>Forte</v>
      </c>
      <c r="G744" s="3">
        <v>535</v>
      </c>
      <c r="H744" s="3">
        <v>70</v>
      </c>
      <c r="I744" s="3">
        <v>70</v>
      </c>
      <c r="J744" s="3">
        <v>115</v>
      </c>
      <c r="K744" s="3">
        <v>130</v>
      </c>
      <c r="L744" s="3">
        <v>90</v>
      </c>
      <c r="M744" s="3">
        <v>60</v>
      </c>
      <c r="N744" s="3">
        <f>AVERAGE($I$2:$I$1168)</f>
        <v>78.907455012853475</v>
      </c>
      <c r="O744" s="3" t="str">
        <f>CONCATENATE(A744,"-",B744)</f>
        <v>462-Magnezone</v>
      </c>
    </row>
    <row r="745" spans="1:15">
      <c r="A745" s="63">
        <v>462</v>
      </c>
      <c r="B745" s="2" t="str">
        <f>B744</f>
        <v>Magnezone</v>
      </c>
      <c r="C745" t="s">
        <v>115</v>
      </c>
      <c r="D745" s="22">
        <f>COUNTIF($C$2:$C$1168,Tabela1[[#This Row],[Type]])</f>
        <v>48</v>
      </c>
      <c r="E745" s="62" t="str">
        <f>IF(A745&lt;=151,"Kanto",IF(A745&lt;=251,"Johto",IF(A745&lt;=386,"Hoenn",IF(A745&lt;=493,"Sinnoh",IF(A745&lt;=649,"Unova",IF(A745&lt;=721,"Kalos",IF(A745&lt;=809,"Alola",IF(A745&lt;=905,"Galar","Paldea"))))))))</f>
        <v>Sinnoh</v>
      </c>
      <c r="F745" t="str">
        <f>IF(G745&gt;=600,"Lendário",IF(G745&gt;=500,"Forte","Normal"))</f>
        <v>Forte</v>
      </c>
      <c r="G745" s="3">
        <f>G744</f>
        <v>535</v>
      </c>
      <c r="H745" s="3">
        <f>H744</f>
        <v>70</v>
      </c>
      <c r="I745" s="3">
        <f>I744</f>
        <v>70</v>
      </c>
      <c r="J745" s="3">
        <f>J744</f>
        <v>115</v>
      </c>
      <c r="K745" s="3">
        <f>K744</f>
        <v>130</v>
      </c>
      <c r="L745" s="3">
        <f>L744</f>
        <v>90</v>
      </c>
      <c r="M745" s="3">
        <f>M744</f>
        <v>60</v>
      </c>
      <c r="N745" s="3">
        <f>AVERAGE($I$2:$I$1168)</f>
        <v>78.907455012853475</v>
      </c>
      <c r="O745" s="3" t="str">
        <f>CONCATENATE(A745,"-",B745)</f>
        <v>462-Magnezone</v>
      </c>
    </row>
    <row r="746" spans="1:15">
      <c r="A746" s="63">
        <v>463</v>
      </c>
      <c r="B746" s="2" t="s">
        <v>529</v>
      </c>
      <c r="C746" t="s">
        <v>42</v>
      </c>
      <c r="D746" s="22">
        <f>COUNTIF($C$2:$C$1168,Tabela1[[#This Row],[Type]])</f>
        <v>99</v>
      </c>
      <c r="E746" s="62" t="str">
        <f>IF(A746&lt;=151,"Kanto",IF(A746&lt;=251,"Johto",IF(A746&lt;=386,"Hoenn",IF(A746&lt;=493,"Sinnoh",IF(A746&lt;=649,"Unova",IF(A746&lt;=721,"Kalos",IF(A746&lt;=809,"Alola",IF(A746&lt;=905,"Galar","Paldea"))))))))</f>
        <v>Sinnoh</v>
      </c>
      <c r="F746" t="str">
        <f>IF(G746&gt;=600,"Lendário",IF(G746&gt;=500,"Forte","Normal"))</f>
        <v>Forte</v>
      </c>
      <c r="G746" s="3">
        <v>515</v>
      </c>
      <c r="H746" s="3">
        <v>110</v>
      </c>
      <c r="I746" s="3">
        <v>85</v>
      </c>
      <c r="J746" s="3">
        <v>95</v>
      </c>
      <c r="K746" s="3">
        <v>80</v>
      </c>
      <c r="L746" s="3">
        <v>95</v>
      </c>
      <c r="M746" s="3">
        <v>50</v>
      </c>
      <c r="N746" s="3">
        <f>AVERAGE($I$2:$I$1168)</f>
        <v>78.907455012853475</v>
      </c>
      <c r="O746" s="3" t="str">
        <f>CONCATENATE(A746,"-",B746)</f>
        <v>463-Lickilicky</v>
      </c>
    </row>
    <row r="747" spans="1:15">
      <c r="A747" s="63">
        <v>464</v>
      </c>
      <c r="B747" s="2" t="s">
        <v>530</v>
      </c>
      <c r="C747" t="s">
        <v>55</v>
      </c>
      <c r="D747" s="22">
        <f>COUNTIF($C$2:$C$1168,Tabela1[[#This Row],[Type]])</f>
        <v>62</v>
      </c>
      <c r="E747" s="62" t="str">
        <f>IF(A747&lt;=151,"Kanto",IF(A747&lt;=251,"Johto",IF(A747&lt;=386,"Hoenn",IF(A747&lt;=493,"Sinnoh",IF(A747&lt;=649,"Unova",IF(A747&lt;=721,"Kalos",IF(A747&lt;=809,"Alola",IF(A747&lt;=905,"Galar","Paldea"))))))))</f>
        <v>Sinnoh</v>
      </c>
      <c r="F747" t="str">
        <f>IF(G747&gt;=600,"Lendário",IF(G747&gt;=500,"Forte","Normal"))</f>
        <v>Forte</v>
      </c>
      <c r="G747" s="3">
        <v>535</v>
      </c>
      <c r="H747" s="3">
        <v>115</v>
      </c>
      <c r="I747" s="3">
        <v>140</v>
      </c>
      <c r="J747" s="3">
        <v>130</v>
      </c>
      <c r="K747" s="3">
        <v>55</v>
      </c>
      <c r="L747" s="3">
        <v>55</v>
      </c>
      <c r="M747" s="3">
        <v>40</v>
      </c>
      <c r="N747" s="3">
        <f>AVERAGE($I$2:$I$1168)</f>
        <v>78.907455012853475</v>
      </c>
      <c r="O747" s="3" t="str">
        <f>CONCATENATE(A747,"-",B747)</f>
        <v>464-Rhyperior</v>
      </c>
    </row>
    <row r="748" spans="1:15">
      <c r="A748" s="63">
        <v>464</v>
      </c>
      <c r="B748" s="2" t="str">
        <f>B747</f>
        <v>Rhyperior</v>
      </c>
      <c r="C748" t="s">
        <v>107</v>
      </c>
      <c r="D748" s="22">
        <f>COUNTIF($C$2:$C$1168,Tabela1[[#This Row],[Type]])</f>
        <v>56</v>
      </c>
      <c r="E748" s="62" t="str">
        <f>IF(A748&lt;=151,"Kanto",IF(A748&lt;=251,"Johto",IF(A748&lt;=386,"Hoenn",IF(A748&lt;=493,"Sinnoh",IF(A748&lt;=649,"Unova",IF(A748&lt;=721,"Kalos",IF(A748&lt;=809,"Alola",IF(A748&lt;=905,"Galar","Paldea"))))))))</f>
        <v>Sinnoh</v>
      </c>
      <c r="F748" t="str">
        <f>IF(G748&gt;=600,"Lendário",IF(G748&gt;=500,"Forte","Normal"))</f>
        <v>Forte</v>
      </c>
      <c r="G748" s="3">
        <f>G747</f>
        <v>535</v>
      </c>
      <c r="H748" s="3">
        <f>H747</f>
        <v>115</v>
      </c>
      <c r="I748" s="3">
        <f>I747</f>
        <v>140</v>
      </c>
      <c r="J748" s="3">
        <f>J747</f>
        <v>130</v>
      </c>
      <c r="K748" s="3">
        <f>K747</f>
        <v>55</v>
      </c>
      <c r="L748" s="3">
        <f>L747</f>
        <v>55</v>
      </c>
      <c r="M748" s="3">
        <f>M747</f>
        <v>40</v>
      </c>
      <c r="N748" s="3">
        <f>AVERAGE($I$2:$I$1168)</f>
        <v>78.907455012853475</v>
      </c>
      <c r="O748" s="3" t="str">
        <f>CONCATENATE(A748,"-",B748)</f>
        <v>464-Rhyperior</v>
      </c>
    </row>
    <row r="749" spans="1:15">
      <c r="A749" s="63">
        <v>465</v>
      </c>
      <c r="B749" s="2" t="s">
        <v>531</v>
      </c>
      <c r="C749" t="s">
        <v>16</v>
      </c>
      <c r="D749" s="22">
        <f>COUNTIF($C$2:$C$1168,Tabela1[[#This Row],[Type]])</f>
        <v>93</v>
      </c>
      <c r="E749" s="62" t="str">
        <f>IF(A749&lt;=151,"Kanto",IF(A749&lt;=251,"Johto",IF(A749&lt;=386,"Hoenn",IF(A749&lt;=493,"Sinnoh",IF(A749&lt;=649,"Unova",IF(A749&lt;=721,"Kalos",IF(A749&lt;=809,"Alola",IF(A749&lt;=905,"Galar","Paldea"))))))))</f>
        <v>Sinnoh</v>
      </c>
      <c r="F749" t="str">
        <f>IF(G749&gt;=600,"Lendário",IF(G749&gt;=500,"Forte","Normal"))</f>
        <v>Forte</v>
      </c>
      <c r="G749" s="3">
        <v>535</v>
      </c>
      <c r="H749" s="3">
        <v>100</v>
      </c>
      <c r="I749" s="3">
        <v>100</v>
      </c>
      <c r="J749" s="3">
        <v>125</v>
      </c>
      <c r="K749" s="3">
        <v>110</v>
      </c>
      <c r="L749" s="3">
        <v>50</v>
      </c>
      <c r="M749" s="3">
        <v>50</v>
      </c>
      <c r="N749" s="3">
        <f>AVERAGE($I$2:$I$1168)</f>
        <v>78.907455012853475</v>
      </c>
      <c r="O749" s="3" t="str">
        <f>CONCATENATE(A749,"-",B749)</f>
        <v>465-Tangrowth</v>
      </c>
    </row>
    <row r="750" spans="1:15">
      <c r="A750" s="63">
        <v>466</v>
      </c>
      <c r="B750" s="2" t="s">
        <v>532</v>
      </c>
      <c r="C750" t="s">
        <v>52</v>
      </c>
      <c r="D750" s="22">
        <f>COUNTIF($C$2:$C$1168,Tabela1[[#This Row],[Type]])</f>
        <v>51</v>
      </c>
      <c r="E750" s="62" t="str">
        <f>IF(A750&lt;=151,"Kanto",IF(A750&lt;=251,"Johto",IF(A750&lt;=386,"Hoenn",IF(A750&lt;=493,"Sinnoh",IF(A750&lt;=649,"Unova",IF(A750&lt;=721,"Kalos",IF(A750&lt;=809,"Alola",IF(A750&lt;=905,"Galar","Paldea"))))))))</f>
        <v>Sinnoh</v>
      </c>
      <c r="F750" t="str">
        <f>IF(G750&gt;=600,"Lendário",IF(G750&gt;=500,"Forte","Normal"))</f>
        <v>Forte</v>
      </c>
      <c r="G750" s="3">
        <v>540</v>
      </c>
      <c r="H750" s="3">
        <v>75</v>
      </c>
      <c r="I750" s="3">
        <v>123</v>
      </c>
      <c r="J750" s="3">
        <v>67</v>
      </c>
      <c r="K750" s="3">
        <v>95</v>
      </c>
      <c r="L750" s="3">
        <v>85</v>
      </c>
      <c r="M750" s="3">
        <v>95</v>
      </c>
      <c r="N750" s="3">
        <f>AVERAGE($I$2:$I$1168)</f>
        <v>78.907455012853475</v>
      </c>
      <c r="O750" s="3" t="str">
        <f>CONCATENATE(A750,"-",B750)</f>
        <v>466-Electivire</v>
      </c>
    </row>
    <row r="751" spans="1:15">
      <c r="A751" s="63">
        <v>467</v>
      </c>
      <c r="B751" s="2" t="s">
        <v>533</v>
      </c>
      <c r="C751" t="s">
        <v>22</v>
      </c>
      <c r="D751" s="22">
        <f>COUNTIF($C$2:$C$1168,Tabela1[[#This Row],[Type]])</f>
        <v>62</v>
      </c>
      <c r="E751" s="62" t="str">
        <f>IF(A751&lt;=151,"Kanto",IF(A751&lt;=251,"Johto",IF(A751&lt;=386,"Hoenn",IF(A751&lt;=493,"Sinnoh",IF(A751&lt;=649,"Unova",IF(A751&lt;=721,"Kalos",IF(A751&lt;=809,"Alola",IF(A751&lt;=905,"Galar","Paldea"))))))))</f>
        <v>Sinnoh</v>
      </c>
      <c r="F751" t="str">
        <f>IF(G751&gt;=600,"Lendário",IF(G751&gt;=500,"Forte","Normal"))</f>
        <v>Forte</v>
      </c>
      <c r="G751" s="3">
        <v>540</v>
      </c>
      <c r="H751" s="3">
        <v>75</v>
      </c>
      <c r="I751" s="3">
        <v>95</v>
      </c>
      <c r="J751" s="3">
        <v>67</v>
      </c>
      <c r="K751" s="3">
        <v>125</v>
      </c>
      <c r="L751" s="3">
        <v>95</v>
      </c>
      <c r="M751" s="3">
        <v>83</v>
      </c>
      <c r="N751" s="3">
        <f>AVERAGE($I$2:$I$1168)</f>
        <v>78.907455012853475</v>
      </c>
      <c r="O751" s="3" t="str">
        <f>CONCATENATE(A751,"-",B751)</f>
        <v>467-Magmortar</v>
      </c>
    </row>
    <row r="752" spans="1:15">
      <c r="A752" s="63">
        <v>468</v>
      </c>
      <c r="B752" s="2" t="s">
        <v>534</v>
      </c>
      <c r="C752" t="s">
        <v>64</v>
      </c>
      <c r="D752" s="22">
        <f>COUNTIF($C$2:$C$1168,Tabela1[[#This Row],[Type]])</f>
        <v>34</v>
      </c>
      <c r="E752" s="62" t="str">
        <f>IF(A752&lt;=151,"Kanto",IF(A752&lt;=251,"Johto",IF(A752&lt;=386,"Hoenn",IF(A752&lt;=493,"Sinnoh",IF(A752&lt;=649,"Unova",IF(A752&lt;=721,"Kalos",IF(A752&lt;=809,"Alola",IF(A752&lt;=905,"Galar","Paldea"))))))))</f>
        <v>Sinnoh</v>
      </c>
      <c r="F752" t="str">
        <f>IF(G752&gt;=600,"Lendário",IF(G752&gt;=500,"Forte","Normal"))</f>
        <v>Forte</v>
      </c>
      <c r="G752" s="3">
        <v>545</v>
      </c>
      <c r="H752" s="3">
        <v>85</v>
      </c>
      <c r="I752" s="3">
        <v>50</v>
      </c>
      <c r="J752" s="3">
        <v>95</v>
      </c>
      <c r="K752" s="3">
        <v>120</v>
      </c>
      <c r="L752" s="3">
        <v>115</v>
      </c>
      <c r="M752" s="3">
        <v>80</v>
      </c>
      <c r="N752" s="3">
        <f>AVERAGE($I$2:$I$1168)</f>
        <v>78.907455012853475</v>
      </c>
      <c r="O752" s="3" t="str">
        <f>CONCATENATE(A752,"-",B752)</f>
        <v>468-Togekiss</v>
      </c>
    </row>
    <row r="753" spans="1:15">
      <c r="A753" s="63">
        <v>469</v>
      </c>
      <c r="B753" s="2" t="s">
        <v>535</v>
      </c>
      <c r="C753" t="s">
        <v>35</v>
      </c>
      <c r="D753" s="22">
        <f>COUNTIF($C$2:$C$1168,Tabela1[[#This Row],[Type]])</f>
        <v>71</v>
      </c>
      <c r="E753" s="62" t="str">
        <f>IF(A753&lt;=151,"Kanto",IF(A753&lt;=251,"Johto",IF(A753&lt;=386,"Hoenn",IF(A753&lt;=493,"Sinnoh",IF(A753&lt;=649,"Unova",IF(A753&lt;=721,"Kalos",IF(A753&lt;=809,"Alola",IF(A753&lt;=905,"Galar","Paldea"))))))))</f>
        <v>Sinnoh</v>
      </c>
      <c r="F753" t="str">
        <f>IF(G753&gt;=600,"Lendário",IF(G753&gt;=500,"Forte","Normal"))</f>
        <v>Forte</v>
      </c>
      <c r="G753" s="3">
        <v>515</v>
      </c>
      <c r="H753" s="3">
        <v>86</v>
      </c>
      <c r="I753" s="3">
        <v>76</v>
      </c>
      <c r="J753" s="3">
        <v>86</v>
      </c>
      <c r="K753" s="3">
        <v>116</v>
      </c>
      <c r="L753" s="3">
        <v>56</v>
      </c>
      <c r="M753" s="3">
        <v>95</v>
      </c>
      <c r="N753" s="3">
        <f>AVERAGE($I$2:$I$1168)</f>
        <v>78.907455012853475</v>
      </c>
      <c r="O753" s="3" t="str">
        <f>CONCATENATE(A753,"-",B753)</f>
        <v>469-Yanmega</v>
      </c>
    </row>
    <row r="754" spans="1:15">
      <c r="A754" s="63">
        <v>469</v>
      </c>
      <c r="B754" s="2" t="str">
        <f>B753</f>
        <v>Yanmega</v>
      </c>
      <c r="C754" t="s">
        <v>25</v>
      </c>
      <c r="D754" s="22">
        <f>COUNTIF($C$2:$C$1168,Tabela1[[#This Row],[Type]])</f>
        <v>100</v>
      </c>
      <c r="E754" s="62" t="str">
        <f>IF(A754&lt;=151,"Kanto",IF(A754&lt;=251,"Johto",IF(A754&lt;=386,"Hoenn",IF(A754&lt;=493,"Sinnoh",IF(A754&lt;=649,"Unova",IF(A754&lt;=721,"Kalos",IF(A754&lt;=809,"Alola",IF(A754&lt;=905,"Galar","Paldea"))))))))</f>
        <v>Sinnoh</v>
      </c>
      <c r="F754" t="str">
        <f>IF(G754&gt;=600,"Lendário",IF(G754&gt;=500,"Forte","Normal"))</f>
        <v>Forte</v>
      </c>
      <c r="G754" s="3">
        <f>G753</f>
        <v>515</v>
      </c>
      <c r="H754" s="3">
        <f>H753</f>
        <v>86</v>
      </c>
      <c r="I754" s="3">
        <f>I753</f>
        <v>76</v>
      </c>
      <c r="J754" s="3">
        <f>J753</f>
        <v>86</v>
      </c>
      <c r="K754" s="3">
        <f>K753</f>
        <v>116</v>
      </c>
      <c r="L754" s="3">
        <f>L753</f>
        <v>56</v>
      </c>
      <c r="M754" s="3">
        <f>M753</f>
        <v>95</v>
      </c>
      <c r="N754" s="3">
        <f>AVERAGE($I$2:$I$1168)</f>
        <v>78.907455012853475</v>
      </c>
      <c r="O754" s="3" t="str">
        <f>CONCATENATE(A754,"-",B754)</f>
        <v>469-Yanmega</v>
      </c>
    </row>
    <row r="755" spans="1:15">
      <c r="A755" s="63">
        <v>470</v>
      </c>
      <c r="B755" s="2" t="s">
        <v>536</v>
      </c>
      <c r="C755" t="s">
        <v>16</v>
      </c>
      <c r="D755" s="22">
        <f>COUNTIF($C$2:$C$1168,Tabela1[[#This Row],[Type]])</f>
        <v>93</v>
      </c>
      <c r="E755" s="62" t="str">
        <f>IF(A755&lt;=151,"Kanto",IF(A755&lt;=251,"Johto",IF(A755&lt;=386,"Hoenn",IF(A755&lt;=493,"Sinnoh",IF(A755&lt;=649,"Unova",IF(A755&lt;=721,"Kalos",IF(A755&lt;=809,"Alola",IF(A755&lt;=905,"Galar","Paldea"))))))))</f>
        <v>Sinnoh</v>
      </c>
      <c r="F755" t="str">
        <f>IF(G755&gt;=600,"Lendário",IF(G755&gt;=500,"Forte","Normal"))</f>
        <v>Forte</v>
      </c>
      <c r="G755" s="3">
        <v>525</v>
      </c>
      <c r="H755" s="3">
        <v>65</v>
      </c>
      <c r="I755" s="3">
        <v>110</v>
      </c>
      <c r="J755" s="3">
        <v>130</v>
      </c>
      <c r="K755" s="3">
        <v>60</v>
      </c>
      <c r="L755" s="3">
        <v>65</v>
      </c>
      <c r="M755" s="3">
        <v>95</v>
      </c>
      <c r="N755" s="3">
        <f>AVERAGE($I$2:$I$1168)</f>
        <v>78.907455012853475</v>
      </c>
      <c r="O755" s="3" t="str">
        <f>CONCATENATE(A755,"-",B755)</f>
        <v>470-Leafeon</v>
      </c>
    </row>
    <row r="756" spans="1:15">
      <c r="A756" s="63">
        <v>471</v>
      </c>
      <c r="B756" s="2" t="s">
        <v>537</v>
      </c>
      <c r="C756" t="s">
        <v>122</v>
      </c>
      <c r="D756" s="22">
        <f>COUNTIF($C$2:$C$1168,Tabela1[[#This Row],[Type]])</f>
        <v>37</v>
      </c>
      <c r="E756" s="62" t="str">
        <f>IF(A756&lt;=151,"Kanto",IF(A756&lt;=251,"Johto",IF(A756&lt;=386,"Hoenn",IF(A756&lt;=493,"Sinnoh",IF(A756&lt;=649,"Unova",IF(A756&lt;=721,"Kalos",IF(A756&lt;=809,"Alola",IF(A756&lt;=905,"Galar","Paldea"))))))))</f>
        <v>Sinnoh</v>
      </c>
      <c r="F756" t="str">
        <f>IF(G756&gt;=600,"Lendário",IF(G756&gt;=500,"Forte","Normal"))</f>
        <v>Forte</v>
      </c>
      <c r="G756" s="3">
        <v>525</v>
      </c>
      <c r="H756" s="3">
        <v>65</v>
      </c>
      <c r="I756" s="3">
        <v>60</v>
      </c>
      <c r="J756" s="3">
        <v>110</v>
      </c>
      <c r="K756" s="3">
        <v>130</v>
      </c>
      <c r="L756" s="3">
        <v>95</v>
      </c>
      <c r="M756" s="3">
        <v>65</v>
      </c>
      <c r="N756" s="3">
        <f>AVERAGE($I$2:$I$1168)</f>
        <v>78.907455012853475</v>
      </c>
      <c r="O756" s="3" t="str">
        <f>CONCATENATE(A756,"-",B756)</f>
        <v>471-Glaceon</v>
      </c>
    </row>
    <row r="757" spans="1:15">
      <c r="A757" s="63">
        <v>472</v>
      </c>
      <c r="B757" s="2" t="s">
        <v>538</v>
      </c>
      <c r="C757" t="s">
        <v>55</v>
      </c>
      <c r="D757" s="22">
        <f>COUNTIF($C$2:$C$1168,Tabela1[[#This Row],[Type]])</f>
        <v>62</v>
      </c>
      <c r="E757" s="62" t="str">
        <f>IF(A757&lt;=151,"Kanto",IF(A757&lt;=251,"Johto",IF(A757&lt;=386,"Hoenn",IF(A757&lt;=493,"Sinnoh",IF(A757&lt;=649,"Unova",IF(A757&lt;=721,"Kalos",IF(A757&lt;=809,"Alola",IF(A757&lt;=905,"Galar","Paldea"))))))))</f>
        <v>Sinnoh</v>
      </c>
      <c r="F757" t="str">
        <f>IF(G757&gt;=600,"Lendário",IF(G757&gt;=500,"Forte","Normal"))</f>
        <v>Forte</v>
      </c>
      <c r="G757" s="3">
        <v>510</v>
      </c>
      <c r="H757" s="3">
        <v>75</v>
      </c>
      <c r="I757" s="3">
        <v>95</v>
      </c>
      <c r="J757" s="3">
        <v>125</v>
      </c>
      <c r="K757" s="3">
        <v>45</v>
      </c>
      <c r="L757" s="3">
        <v>75</v>
      </c>
      <c r="M757" s="3">
        <v>95</v>
      </c>
      <c r="N757" s="3">
        <f>AVERAGE($I$2:$I$1168)</f>
        <v>78.907455012853475</v>
      </c>
      <c r="O757" s="3" t="str">
        <f>CONCATENATE(A757,"-",B757)</f>
        <v>472-Gliscor</v>
      </c>
    </row>
    <row r="758" spans="1:15">
      <c r="A758" s="63">
        <v>472</v>
      </c>
      <c r="B758" s="2" t="str">
        <f>B757</f>
        <v>Gliscor</v>
      </c>
      <c r="C758" t="s">
        <v>25</v>
      </c>
      <c r="D758" s="22">
        <f>COUNTIF($C$2:$C$1168,Tabela1[[#This Row],[Type]])</f>
        <v>100</v>
      </c>
      <c r="E758" s="62" t="str">
        <f>IF(A758&lt;=151,"Kanto",IF(A758&lt;=251,"Johto",IF(A758&lt;=386,"Hoenn",IF(A758&lt;=493,"Sinnoh",IF(A758&lt;=649,"Unova",IF(A758&lt;=721,"Kalos",IF(A758&lt;=809,"Alola",IF(A758&lt;=905,"Galar","Paldea"))))))))</f>
        <v>Sinnoh</v>
      </c>
      <c r="F758" t="str">
        <f>IF(G758&gt;=600,"Lendário",IF(G758&gt;=500,"Forte","Normal"))</f>
        <v>Forte</v>
      </c>
      <c r="G758" s="3">
        <f>G757</f>
        <v>510</v>
      </c>
      <c r="H758" s="3">
        <f>H757</f>
        <v>75</v>
      </c>
      <c r="I758" s="3">
        <f>I757</f>
        <v>95</v>
      </c>
      <c r="J758" s="3">
        <f>J757</f>
        <v>125</v>
      </c>
      <c r="K758" s="3">
        <f>K757</f>
        <v>45</v>
      </c>
      <c r="L758" s="3">
        <f>L757</f>
        <v>75</v>
      </c>
      <c r="M758" s="3">
        <f>M757</f>
        <v>95</v>
      </c>
      <c r="N758" s="3">
        <f>AVERAGE($I$2:$I$1168)</f>
        <v>78.907455012853475</v>
      </c>
      <c r="O758" s="3" t="str">
        <f>CONCATENATE(A758,"-",B758)</f>
        <v>472-Gliscor</v>
      </c>
    </row>
    <row r="759" spans="1:15">
      <c r="A759" s="63">
        <v>473</v>
      </c>
      <c r="B759" s="2" t="s">
        <v>539</v>
      </c>
      <c r="C759" t="s">
        <v>122</v>
      </c>
      <c r="D759" s="22">
        <f>COUNTIF($C$2:$C$1168,Tabela1[[#This Row],[Type]])</f>
        <v>37</v>
      </c>
      <c r="E759" s="62" t="str">
        <f>IF(A759&lt;=151,"Kanto",IF(A759&lt;=251,"Johto",IF(A759&lt;=386,"Hoenn",IF(A759&lt;=493,"Sinnoh",IF(A759&lt;=649,"Unova",IF(A759&lt;=721,"Kalos",IF(A759&lt;=809,"Alola",IF(A759&lt;=905,"Galar","Paldea"))))))))</f>
        <v>Sinnoh</v>
      </c>
      <c r="F759" t="str">
        <f>IF(G759&gt;=600,"Lendário",IF(G759&gt;=500,"Forte","Normal"))</f>
        <v>Forte</v>
      </c>
      <c r="G759" s="3">
        <v>530</v>
      </c>
      <c r="H759" s="3">
        <v>110</v>
      </c>
      <c r="I759" s="3">
        <v>130</v>
      </c>
      <c r="J759" s="3">
        <v>80</v>
      </c>
      <c r="K759" s="3">
        <v>70</v>
      </c>
      <c r="L759" s="3">
        <v>60</v>
      </c>
      <c r="M759" s="3">
        <v>80</v>
      </c>
      <c r="N759" s="3">
        <f>AVERAGE($I$2:$I$1168)</f>
        <v>78.907455012853475</v>
      </c>
      <c r="O759" s="3" t="str">
        <f>CONCATENATE(A759,"-",B759)</f>
        <v>473-Mamoswine</v>
      </c>
    </row>
    <row r="760" spans="1:15">
      <c r="A760" s="63">
        <v>473</v>
      </c>
      <c r="B760" s="2" t="str">
        <f>B759</f>
        <v>Mamoswine</v>
      </c>
      <c r="C760" t="s">
        <v>55</v>
      </c>
      <c r="D760" s="22">
        <f>COUNTIF($C$2:$C$1168,Tabela1[[#This Row],[Type]])</f>
        <v>62</v>
      </c>
      <c r="E760" s="62" t="str">
        <f>IF(A760&lt;=151,"Kanto",IF(A760&lt;=251,"Johto",IF(A760&lt;=386,"Hoenn",IF(A760&lt;=493,"Sinnoh",IF(A760&lt;=649,"Unova",IF(A760&lt;=721,"Kalos",IF(A760&lt;=809,"Alola",IF(A760&lt;=905,"Galar","Paldea"))))))))</f>
        <v>Sinnoh</v>
      </c>
      <c r="F760" t="str">
        <f>IF(G760&gt;=600,"Lendário",IF(G760&gt;=500,"Forte","Normal"))</f>
        <v>Forte</v>
      </c>
      <c r="G760" s="3">
        <f>G759</f>
        <v>530</v>
      </c>
      <c r="H760" s="3">
        <f>H759</f>
        <v>110</v>
      </c>
      <c r="I760" s="3">
        <f>I759</f>
        <v>130</v>
      </c>
      <c r="J760" s="3">
        <f>J759</f>
        <v>80</v>
      </c>
      <c r="K760" s="3">
        <f>K759</f>
        <v>70</v>
      </c>
      <c r="L760" s="3">
        <f>L759</f>
        <v>60</v>
      </c>
      <c r="M760" s="3">
        <f>M759</f>
        <v>80</v>
      </c>
      <c r="N760" s="3">
        <f>AVERAGE($I$2:$I$1168)</f>
        <v>78.907455012853475</v>
      </c>
      <c r="O760" s="3" t="str">
        <f>CONCATENATE(A760,"-",B760)</f>
        <v>473-Mamoswine</v>
      </c>
    </row>
    <row r="761" spans="1:15">
      <c r="A761" s="63">
        <v>474</v>
      </c>
      <c r="B761" s="2" t="s">
        <v>540</v>
      </c>
      <c r="C761" t="s">
        <v>42</v>
      </c>
      <c r="D761" s="22">
        <f>COUNTIF($C$2:$C$1168,Tabela1[[#This Row],[Type]])</f>
        <v>99</v>
      </c>
      <c r="E761" s="62" t="str">
        <f>IF(A761&lt;=151,"Kanto",IF(A761&lt;=251,"Johto",IF(A761&lt;=386,"Hoenn",IF(A761&lt;=493,"Sinnoh",IF(A761&lt;=649,"Unova",IF(A761&lt;=721,"Kalos",IF(A761&lt;=809,"Alola",IF(A761&lt;=905,"Galar","Paldea"))))))))</f>
        <v>Sinnoh</v>
      </c>
      <c r="F761" t="str">
        <f>IF(G761&gt;=600,"Lendário",IF(G761&gt;=500,"Forte","Normal"))</f>
        <v>Forte</v>
      </c>
      <c r="G761" s="3">
        <v>535</v>
      </c>
      <c r="H761" s="3">
        <v>85</v>
      </c>
      <c r="I761" s="3">
        <v>80</v>
      </c>
      <c r="J761" s="3">
        <v>70</v>
      </c>
      <c r="K761" s="3">
        <v>135</v>
      </c>
      <c r="L761" s="3">
        <v>75</v>
      </c>
      <c r="M761" s="3">
        <v>90</v>
      </c>
      <c r="N761" s="3">
        <f>AVERAGE($I$2:$I$1168)</f>
        <v>78.907455012853475</v>
      </c>
      <c r="O761" s="3" t="str">
        <f>CONCATENATE(A761,"-",B761)</f>
        <v>474-Porygon-Z</v>
      </c>
    </row>
    <row r="762" spans="1:15">
      <c r="A762" s="63">
        <v>474</v>
      </c>
      <c r="B762" s="2" t="str">
        <f>B761</f>
        <v>Porygon-Z</v>
      </c>
      <c r="C762" t="s">
        <v>25</v>
      </c>
      <c r="D762" s="22">
        <f>COUNTIF($C$2:$C$1168,Tabela1[[#This Row],[Type]])</f>
        <v>100</v>
      </c>
      <c r="E762" s="62" t="str">
        <f>IF(A762&lt;=151,"Kanto",IF(A762&lt;=251,"Johto",IF(A762&lt;=386,"Hoenn",IF(A762&lt;=493,"Sinnoh",IF(A762&lt;=649,"Unova",IF(A762&lt;=721,"Kalos",IF(A762&lt;=809,"Alola",IF(A762&lt;=905,"Galar","Paldea"))))))))</f>
        <v>Sinnoh</v>
      </c>
      <c r="F762" t="str">
        <f>IF(G762&gt;=600,"Lendário",IF(G762&gt;=500,"Forte","Normal"))</f>
        <v>Forte</v>
      </c>
      <c r="G762" s="3">
        <f>G761</f>
        <v>535</v>
      </c>
      <c r="H762" s="3">
        <f>H761</f>
        <v>85</v>
      </c>
      <c r="I762" s="3">
        <f>I761</f>
        <v>80</v>
      </c>
      <c r="J762" s="3">
        <f>J761</f>
        <v>70</v>
      </c>
      <c r="K762" s="3">
        <f>K761</f>
        <v>135</v>
      </c>
      <c r="L762" s="3">
        <f>L761</f>
        <v>75</v>
      </c>
      <c r="M762" s="3">
        <f>M761</f>
        <v>90</v>
      </c>
      <c r="N762" s="3">
        <f>AVERAGE($I$2:$I$1168)</f>
        <v>78.907455012853475</v>
      </c>
      <c r="O762" s="3" t="str">
        <f>CONCATENATE(A762,"-",B762)</f>
        <v>474-Porygon-Z</v>
      </c>
    </row>
    <row r="763" spans="1:15">
      <c r="A763" s="63">
        <v>475</v>
      </c>
      <c r="B763" s="2" t="s">
        <v>541</v>
      </c>
      <c r="C763" t="s">
        <v>94</v>
      </c>
      <c r="D763" s="22">
        <f>COUNTIF($C$2:$C$1168,Tabela1[[#This Row],[Type]])</f>
        <v>83</v>
      </c>
      <c r="E763" s="62" t="str">
        <f>IF(A763&lt;=151,"Kanto",IF(A763&lt;=251,"Johto",IF(A763&lt;=386,"Hoenn",IF(A763&lt;=493,"Sinnoh",IF(A763&lt;=649,"Unova",IF(A763&lt;=721,"Kalos",IF(A763&lt;=809,"Alola",IF(A763&lt;=905,"Galar","Paldea"))))))))</f>
        <v>Sinnoh</v>
      </c>
      <c r="F763" t="str">
        <f>IF(G763&gt;=600,"Lendário",IF(G763&gt;=500,"Forte","Normal"))</f>
        <v>Forte</v>
      </c>
      <c r="G763" s="3">
        <v>518</v>
      </c>
      <c r="H763" s="3">
        <v>68</v>
      </c>
      <c r="I763" s="3">
        <v>125</v>
      </c>
      <c r="J763" s="3">
        <v>65</v>
      </c>
      <c r="K763" s="3">
        <v>65</v>
      </c>
      <c r="L763" s="3">
        <v>115</v>
      </c>
      <c r="M763" s="3">
        <v>80</v>
      </c>
      <c r="N763" s="3">
        <f>AVERAGE($I$2:$I$1168)</f>
        <v>78.907455012853475</v>
      </c>
      <c r="O763" s="3" t="str">
        <f>CONCATENATE(A763,"-",B763)</f>
        <v>475-Gallade</v>
      </c>
    </row>
    <row r="764" spans="1:15">
      <c r="A764" s="63">
        <v>475</v>
      </c>
      <c r="B764" s="2" t="str">
        <f>B763</f>
        <v>Gallade</v>
      </c>
      <c r="C764" t="s">
        <v>86</v>
      </c>
      <c r="D764" s="22">
        <f>COUNTIF($C$2:$C$1168,Tabela1[[#This Row],[Type]])</f>
        <v>51</v>
      </c>
      <c r="E764" s="62" t="str">
        <f>IF(A764&lt;=151,"Kanto",IF(A764&lt;=251,"Johto",IF(A764&lt;=386,"Hoenn",IF(A764&lt;=493,"Sinnoh",IF(A764&lt;=649,"Unova",IF(A764&lt;=721,"Kalos",IF(A764&lt;=809,"Alola",IF(A764&lt;=905,"Galar","Paldea"))))))))</f>
        <v>Sinnoh</v>
      </c>
      <c r="F764" t="str">
        <f>IF(G764&gt;=600,"Lendário",IF(G764&gt;=500,"Forte","Normal"))</f>
        <v>Forte</v>
      </c>
      <c r="G764" s="3">
        <f>G763</f>
        <v>518</v>
      </c>
      <c r="H764" s="3">
        <f>H763</f>
        <v>68</v>
      </c>
      <c r="I764" s="3">
        <f>I763</f>
        <v>125</v>
      </c>
      <c r="J764" s="3">
        <f>J763</f>
        <v>65</v>
      </c>
      <c r="K764" s="3">
        <f>K763</f>
        <v>65</v>
      </c>
      <c r="L764" s="3">
        <f>L763</f>
        <v>115</v>
      </c>
      <c r="M764" s="3">
        <f>M763</f>
        <v>80</v>
      </c>
      <c r="N764" s="3">
        <f>AVERAGE($I$2:$I$1168)</f>
        <v>78.907455012853475</v>
      </c>
      <c r="O764" s="3" t="str">
        <f>CONCATENATE(A764,"-",B764)</f>
        <v>475-Gallade</v>
      </c>
    </row>
    <row r="765" spans="1:15">
      <c r="A765" s="63">
        <v>476</v>
      </c>
      <c r="B765" s="2" t="s">
        <v>542</v>
      </c>
      <c r="C765" t="s">
        <v>107</v>
      </c>
      <c r="D765" s="22">
        <f>COUNTIF($C$2:$C$1168,Tabela1[[#This Row],[Type]])</f>
        <v>56</v>
      </c>
      <c r="E765" s="62" t="str">
        <f>IF(A765&lt;=151,"Kanto",IF(A765&lt;=251,"Johto",IF(A765&lt;=386,"Hoenn",IF(A765&lt;=493,"Sinnoh",IF(A765&lt;=649,"Unova",IF(A765&lt;=721,"Kalos",IF(A765&lt;=809,"Alola",IF(A765&lt;=905,"Galar","Paldea"))))))))</f>
        <v>Sinnoh</v>
      </c>
      <c r="F765" t="str">
        <f>IF(G765&gt;=600,"Lendário",IF(G765&gt;=500,"Forte","Normal"))</f>
        <v>Forte</v>
      </c>
      <c r="G765" s="3">
        <v>525</v>
      </c>
      <c r="H765" s="3">
        <v>60</v>
      </c>
      <c r="I765" s="3">
        <v>55</v>
      </c>
      <c r="J765" s="3">
        <v>145</v>
      </c>
      <c r="K765" s="3">
        <v>75</v>
      </c>
      <c r="L765" s="3">
        <v>150</v>
      </c>
      <c r="M765" s="3">
        <v>40</v>
      </c>
      <c r="N765" s="3">
        <f>AVERAGE($I$2:$I$1168)</f>
        <v>78.907455012853475</v>
      </c>
      <c r="O765" s="3" t="str">
        <f>CONCATENATE(A765,"-",B765)</f>
        <v>476-Probopass</v>
      </c>
    </row>
    <row r="766" spans="1:15">
      <c r="A766" s="63">
        <v>476</v>
      </c>
      <c r="B766" s="2" t="str">
        <f>B765</f>
        <v>Probopass</v>
      </c>
      <c r="C766" t="s">
        <v>115</v>
      </c>
      <c r="D766" s="22">
        <f>COUNTIF($C$2:$C$1168,Tabela1[[#This Row],[Type]])</f>
        <v>48</v>
      </c>
      <c r="E766" s="62" t="str">
        <f>IF(A766&lt;=151,"Kanto",IF(A766&lt;=251,"Johto",IF(A766&lt;=386,"Hoenn",IF(A766&lt;=493,"Sinnoh",IF(A766&lt;=649,"Unova",IF(A766&lt;=721,"Kalos",IF(A766&lt;=809,"Alola",IF(A766&lt;=905,"Galar","Paldea"))))))))</f>
        <v>Sinnoh</v>
      </c>
      <c r="F766" t="str">
        <f>IF(G766&gt;=600,"Lendário",IF(G766&gt;=500,"Forte","Normal"))</f>
        <v>Forte</v>
      </c>
      <c r="G766" s="3">
        <f>G765</f>
        <v>525</v>
      </c>
      <c r="H766" s="3">
        <f>H765</f>
        <v>60</v>
      </c>
      <c r="I766" s="3">
        <f>I765</f>
        <v>55</v>
      </c>
      <c r="J766" s="3">
        <f>J765</f>
        <v>145</v>
      </c>
      <c r="K766" s="3">
        <f>K765</f>
        <v>75</v>
      </c>
      <c r="L766" s="3">
        <f>L765</f>
        <v>150</v>
      </c>
      <c r="M766" s="3">
        <f>M765</f>
        <v>40</v>
      </c>
      <c r="N766" s="3">
        <f>AVERAGE($I$2:$I$1168)</f>
        <v>78.907455012853475</v>
      </c>
      <c r="O766" s="3" t="str">
        <f>CONCATENATE(A766,"-",B766)</f>
        <v>476-Probopass</v>
      </c>
    </row>
    <row r="767" spans="1:15">
      <c r="A767" s="63">
        <v>477</v>
      </c>
      <c r="B767" s="2" t="s">
        <v>543</v>
      </c>
      <c r="C767" t="s">
        <v>128</v>
      </c>
      <c r="D767" s="22">
        <f>COUNTIF($C$2:$C$1168,Tabela1[[#This Row],[Type]])</f>
        <v>45</v>
      </c>
      <c r="E767" s="62" t="str">
        <f>IF(A767&lt;=151,"Kanto",IF(A767&lt;=251,"Johto",IF(A767&lt;=386,"Hoenn",IF(A767&lt;=493,"Sinnoh",IF(A767&lt;=649,"Unova",IF(A767&lt;=721,"Kalos",IF(A767&lt;=809,"Alola",IF(A767&lt;=905,"Galar","Paldea"))))))))</f>
        <v>Sinnoh</v>
      </c>
      <c r="F767" t="str">
        <f>IF(G767&gt;=600,"Lendário",IF(G767&gt;=500,"Forte","Normal"))</f>
        <v>Forte</v>
      </c>
      <c r="G767" s="3">
        <v>525</v>
      </c>
      <c r="H767" s="3">
        <v>45</v>
      </c>
      <c r="I767" s="3">
        <v>100</v>
      </c>
      <c r="J767" s="3">
        <v>135</v>
      </c>
      <c r="K767" s="3">
        <v>65</v>
      </c>
      <c r="L767" s="3">
        <v>135</v>
      </c>
      <c r="M767" s="3">
        <v>45</v>
      </c>
      <c r="N767" s="3">
        <f>AVERAGE($I$2:$I$1168)</f>
        <v>78.907455012853475</v>
      </c>
      <c r="O767" s="3" t="str">
        <f>CONCATENATE(A767,"-",B767)</f>
        <v>477-Dusknoir</v>
      </c>
    </row>
    <row r="768" spans="1:15">
      <c r="A768" s="63">
        <v>478</v>
      </c>
      <c r="B768" s="2" t="s">
        <v>544</v>
      </c>
      <c r="C768" t="s">
        <v>122</v>
      </c>
      <c r="D768" s="22">
        <f>COUNTIF($C$2:$C$1168,Tabela1[[#This Row],[Type]])</f>
        <v>37</v>
      </c>
      <c r="E768" s="62" t="str">
        <f>IF(A768&lt;=151,"Kanto",IF(A768&lt;=251,"Johto",IF(A768&lt;=386,"Hoenn",IF(A768&lt;=493,"Sinnoh",IF(A768&lt;=649,"Unova",IF(A768&lt;=721,"Kalos",IF(A768&lt;=809,"Alola",IF(A768&lt;=905,"Galar","Paldea"))))))))</f>
        <v>Sinnoh</v>
      </c>
      <c r="F768" t="str">
        <f>IF(G768&gt;=600,"Lendário",IF(G768&gt;=500,"Forte","Normal"))</f>
        <v>Normal</v>
      </c>
      <c r="G768" s="3">
        <v>480</v>
      </c>
      <c r="H768" s="3">
        <v>70</v>
      </c>
      <c r="I768" s="3">
        <v>80</v>
      </c>
      <c r="J768" s="3">
        <v>70</v>
      </c>
      <c r="K768" s="3">
        <v>80</v>
      </c>
      <c r="L768" s="3">
        <v>70</v>
      </c>
      <c r="M768" s="3">
        <v>110</v>
      </c>
      <c r="N768" s="3">
        <f>AVERAGE($I$2:$I$1168)</f>
        <v>78.907455012853475</v>
      </c>
      <c r="O768" s="3" t="str">
        <f>CONCATENATE(A768,"-",B768)</f>
        <v>478-Froslass</v>
      </c>
    </row>
    <row r="769" spans="1:15">
      <c r="A769" s="63">
        <v>478</v>
      </c>
      <c r="B769" s="2" t="str">
        <f>B768</f>
        <v>Froslass</v>
      </c>
      <c r="C769" t="s">
        <v>128</v>
      </c>
      <c r="D769" s="22">
        <f>COUNTIF($C$2:$C$1168,Tabela1[[#This Row],[Type]])</f>
        <v>45</v>
      </c>
      <c r="E769" s="62" t="str">
        <f>IF(A769&lt;=151,"Kanto",IF(A769&lt;=251,"Johto",IF(A769&lt;=386,"Hoenn",IF(A769&lt;=493,"Sinnoh",IF(A769&lt;=649,"Unova",IF(A769&lt;=721,"Kalos",IF(A769&lt;=809,"Alola",IF(A769&lt;=905,"Galar","Paldea"))))))))</f>
        <v>Sinnoh</v>
      </c>
      <c r="F769" t="str">
        <f>IF(G769&gt;=600,"Lendário",IF(G769&gt;=500,"Forte","Normal"))</f>
        <v>Normal</v>
      </c>
      <c r="G769" s="3">
        <f>G768</f>
        <v>480</v>
      </c>
      <c r="H769" s="3">
        <f>H768</f>
        <v>70</v>
      </c>
      <c r="I769" s="3">
        <f>I768</f>
        <v>80</v>
      </c>
      <c r="J769" s="3">
        <f>J768</f>
        <v>70</v>
      </c>
      <c r="K769" s="3">
        <f>K768</f>
        <v>80</v>
      </c>
      <c r="L769" s="3">
        <f>L768</f>
        <v>70</v>
      </c>
      <c r="M769" s="3">
        <f>M768</f>
        <v>110</v>
      </c>
      <c r="N769" s="3">
        <f>AVERAGE($I$2:$I$1168)</f>
        <v>78.907455012853475</v>
      </c>
      <c r="O769" s="3" t="str">
        <f>CONCATENATE(A769,"-",B769)</f>
        <v>478-Froslass</v>
      </c>
    </row>
    <row r="770" spans="1:15">
      <c r="A770" s="63">
        <v>479</v>
      </c>
      <c r="B770" s="2" t="s">
        <v>545</v>
      </c>
      <c r="C770" t="s">
        <v>52</v>
      </c>
      <c r="D770" s="22">
        <f>COUNTIF($C$2:$C$1168,Tabela1[[#This Row],[Type]])</f>
        <v>51</v>
      </c>
      <c r="E770" s="62" t="str">
        <f>IF(A770&lt;=151,"Kanto",IF(A770&lt;=251,"Johto",IF(A770&lt;=386,"Hoenn",IF(A770&lt;=493,"Sinnoh",IF(A770&lt;=649,"Unova",IF(A770&lt;=721,"Kalos",IF(A770&lt;=809,"Alola",IF(A770&lt;=905,"Galar","Paldea"))))))))</f>
        <v>Sinnoh</v>
      </c>
      <c r="F770" t="str">
        <f>IF(G770&gt;=600,"Lendário",IF(G770&gt;=500,"Forte","Normal"))</f>
        <v>Normal</v>
      </c>
      <c r="G770" s="3">
        <v>440</v>
      </c>
      <c r="H770" s="3">
        <v>50</v>
      </c>
      <c r="I770" s="3">
        <v>50</v>
      </c>
      <c r="J770" s="3">
        <v>77</v>
      </c>
      <c r="K770" s="3">
        <v>95</v>
      </c>
      <c r="L770" s="3">
        <v>77</v>
      </c>
      <c r="M770" s="3">
        <v>91</v>
      </c>
      <c r="N770" s="3">
        <f>AVERAGE($I$2:$I$1168)</f>
        <v>78.907455012853475</v>
      </c>
      <c r="O770" s="3" t="str">
        <f>CONCATENATE(A770,"-",B770)</f>
        <v>479-Rotom</v>
      </c>
    </row>
    <row r="771" spans="1:15">
      <c r="A771" s="63">
        <v>479</v>
      </c>
      <c r="B771" s="2" t="str">
        <f>B770</f>
        <v>Rotom</v>
      </c>
      <c r="C771" t="s">
        <v>128</v>
      </c>
      <c r="D771" s="22">
        <f>COUNTIF($C$2:$C$1168,Tabela1[[#This Row],[Type]])</f>
        <v>45</v>
      </c>
      <c r="E771" s="62" t="str">
        <f>IF(A771&lt;=151,"Kanto",IF(A771&lt;=251,"Johto",IF(A771&lt;=386,"Hoenn",IF(A771&lt;=493,"Sinnoh",IF(A771&lt;=649,"Unova",IF(A771&lt;=721,"Kalos",IF(A771&lt;=809,"Alola",IF(A771&lt;=905,"Galar","Paldea"))))))))</f>
        <v>Sinnoh</v>
      </c>
      <c r="F771" t="str">
        <f>IF(G771&gt;=600,"Lendário",IF(G771&gt;=500,"Forte","Normal"))</f>
        <v>Normal</v>
      </c>
      <c r="G771" s="3">
        <f>G770</f>
        <v>440</v>
      </c>
      <c r="H771" s="3">
        <f>H770</f>
        <v>50</v>
      </c>
      <c r="I771" s="3">
        <f>I770</f>
        <v>50</v>
      </c>
      <c r="J771" s="3">
        <f>J770</f>
        <v>77</v>
      </c>
      <c r="K771" s="3">
        <f>K770</f>
        <v>95</v>
      </c>
      <c r="L771" s="3">
        <f>L770</f>
        <v>77</v>
      </c>
      <c r="M771" s="3">
        <f>M770</f>
        <v>91</v>
      </c>
      <c r="N771" s="3">
        <f>AVERAGE($I$2:$I$1168)</f>
        <v>78.907455012853475</v>
      </c>
      <c r="O771" s="3" t="str">
        <f>CONCATENATE(A771,"-",B771)</f>
        <v>479-Rotom</v>
      </c>
    </row>
    <row r="772" spans="1:15">
      <c r="A772" s="63">
        <v>479.1</v>
      </c>
      <c r="B772" s="2" t="s">
        <v>546</v>
      </c>
      <c r="C772" t="s">
        <v>52</v>
      </c>
      <c r="D772" s="22">
        <f>COUNTIF($C$2:$C$1168,Tabela1[[#This Row],[Type]])</f>
        <v>51</v>
      </c>
      <c r="E772" s="62" t="str">
        <f>IF(A772&lt;=151,"Kanto",IF(A772&lt;=251,"Johto",IF(A772&lt;=386,"Hoenn",IF(A772&lt;=493,"Sinnoh",IF(A772&lt;=649,"Unova",IF(A772&lt;=721,"Kalos",IF(A772&lt;=809,"Alola",IF(A772&lt;=905,"Galar","Paldea"))))))))</f>
        <v>Sinnoh</v>
      </c>
      <c r="F772" t="str">
        <f>IF(G772&gt;=600,"Lendário",IF(G772&gt;=500,"Forte","Normal"))</f>
        <v>Forte</v>
      </c>
      <c r="G772" s="3">
        <v>520</v>
      </c>
      <c r="H772" s="3">
        <v>50</v>
      </c>
      <c r="I772" s="3">
        <v>65</v>
      </c>
      <c r="J772" s="3">
        <v>107</v>
      </c>
      <c r="K772" s="3">
        <v>105</v>
      </c>
      <c r="L772" s="3">
        <v>107</v>
      </c>
      <c r="M772" s="3">
        <v>86</v>
      </c>
      <c r="N772" s="3">
        <f>AVERAGE($I$2:$I$1168)</f>
        <v>78.907455012853475</v>
      </c>
      <c r="O772" s="3" t="str">
        <f>CONCATENATE(A772,"-",B772)</f>
        <v>479,1-Heat Rotom</v>
      </c>
    </row>
    <row r="773" spans="1:15">
      <c r="A773" s="63">
        <v>479.2</v>
      </c>
      <c r="B773" s="2" t="s">
        <v>546</v>
      </c>
      <c r="C773" t="s">
        <v>22</v>
      </c>
      <c r="D773" s="22">
        <f>COUNTIF($C$2:$C$1168,Tabela1[[#This Row],[Type]])</f>
        <v>62</v>
      </c>
      <c r="E773" s="62" t="str">
        <f>IF(A773&lt;=151,"Kanto",IF(A773&lt;=251,"Johto",IF(A773&lt;=386,"Hoenn",IF(A773&lt;=493,"Sinnoh",IF(A773&lt;=649,"Unova",IF(A773&lt;=721,"Kalos",IF(A773&lt;=809,"Alola",IF(A773&lt;=905,"Galar","Paldea"))))))))</f>
        <v>Sinnoh</v>
      </c>
      <c r="F773" t="str">
        <f>IF(G773&gt;=600,"Lendário",IF(G773&gt;=500,"Forte","Normal"))</f>
        <v>Forte</v>
      </c>
      <c r="G773" s="3">
        <f>G772</f>
        <v>520</v>
      </c>
      <c r="H773" s="3">
        <f>H772</f>
        <v>50</v>
      </c>
      <c r="I773" s="3">
        <f>I772</f>
        <v>65</v>
      </c>
      <c r="J773" s="3">
        <f>J772</f>
        <v>107</v>
      </c>
      <c r="K773" s="3">
        <f>K772</f>
        <v>105</v>
      </c>
      <c r="L773" s="3">
        <f>L772</f>
        <v>107</v>
      </c>
      <c r="M773" s="3">
        <f>M772</f>
        <v>86</v>
      </c>
      <c r="N773" s="3">
        <f>AVERAGE($I$2:$I$1168)</f>
        <v>78.907455012853475</v>
      </c>
      <c r="O773" s="3" t="str">
        <f>CONCATENATE(A773,"-",B773)</f>
        <v>479,2-Heat Rotom</v>
      </c>
    </row>
    <row r="774" spans="1:15">
      <c r="A774" s="63">
        <v>479.3</v>
      </c>
      <c r="B774" s="2" t="s">
        <v>547</v>
      </c>
      <c r="C774" t="s">
        <v>52</v>
      </c>
      <c r="D774" s="22">
        <f>COUNTIF($C$2:$C$1168,Tabela1[[#This Row],[Type]])</f>
        <v>51</v>
      </c>
      <c r="E774" s="62" t="str">
        <f>IF(A774&lt;=151,"Kanto",IF(A774&lt;=251,"Johto",IF(A774&lt;=386,"Hoenn",IF(A774&lt;=493,"Sinnoh",IF(A774&lt;=649,"Unova",IF(A774&lt;=721,"Kalos",IF(A774&lt;=809,"Alola",IF(A774&lt;=905,"Galar","Paldea"))))))))</f>
        <v>Sinnoh</v>
      </c>
      <c r="F774" t="str">
        <f>IF(G774&gt;=600,"Lendário",IF(G774&gt;=500,"Forte","Normal"))</f>
        <v>Forte</v>
      </c>
      <c r="G774" s="3">
        <v>520</v>
      </c>
      <c r="H774" s="3">
        <v>50</v>
      </c>
      <c r="I774" s="3">
        <v>65</v>
      </c>
      <c r="J774" s="3">
        <v>107</v>
      </c>
      <c r="K774" s="3">
        <v>105</v>
      </c>
      <c r="L774" s="3">
        <v>107</v>
      </c>
      <c r="M774" s="3">
        <v>86</v>
      </c>
      <c r="N774" s="3">
        <f>AVERAGE($I$2:$I$1168)</f>
        <v>78.907455012853475</v>
      </c>
      <c r="O774" s="3" t="str">
        <f>CONCATENATE(A774,"-",B774)</f>
        <v>479,3-Wash Rotom</v>
      </c>
    </row>
    <row r="775" spans="1:15">
      <c r="A775" s="63">
        <v>479.4</v>
      </c>
      <c r="B775" s="2" t="s">
        <v>547</v>
      </c>
      <c r="C775" t="s">
        <v>30</v>
      </c>
      <c r="D775" s="22">
        <f>COUNTIF($C$2:$C$1168,Tabela1[[#This Row],[Type]])</f>
        <v>121</v>
      </c>
      <c r="E775" s="62" t="str">
        <f>IF(A775&lt;=151,"Kanto",IF(A775&lt;=251,"Johto",IF(A775&lt;=386,"Hoenn",IF(A775&lt;=493,"Sinnoh",IF(A775&lt;=649,"Unova",IF(A775&lt;=721,"Kalos",IF(A775&lt;=809,"Alola",IF(A775&lt;=905,"Galar","Paldea"))))))))</f>
        <v>Sinnoh</v>
      </c>
      <c r="F775" t="str">
        <f>IF(G775&gt;=600,"Lendário",IF(G775&gt;=500,"Forte","Normal"))</f>
        <v>Forte</v>
      </c>
      <c r="G775" s="3">
        <f>G774</f>
        <v>520</v>
      </c>
      <c r="H775" s="3">
        <f>H774</f>
        <v>50</v>
      </c>
      <c r="I775" s="3">
        <f>I774</f>
        <v>65</v>
      </c>
      <c r="J775" s="3">
        <f>J774</f>
        <v>107</v>
      </c>
      <c r="K775" s="3">
        <f>K774</f>
        <v>105</v>
      </c>
      <c r="L775" s="3">
        <f>L774</f>
        <v>107</v>
      </c>
      <c r="M775" s="3">
        <f>M774</f>
        <v>86</v>
      </c>
      <c r="N775" s="3">
        <f>AVERAGE($I$2:$I$1168)</f>
        <v>78.907455012853475</v>
      </c>
      <c r="O775" s="3" t="str">
        <f>CONCATENATE(A775,"-",B775)</f>
        <v>479,4-Wash Rotom</v>
      </c>
    </row>
    <row r="776" spans="1:15">
      <c r="A776" s="63">
        <v>479.5</v>
      </c>
      <c r="B776" s="2" t="s">
        <v>548</v>
      </c>
      <c r="C776" t="s">
        <v>52</v>
      </c>
      <c r="D776" s="22">
        <f>COUNTIF($C$2:$C$1168,Tabela1[[#This Row],[Type]])</f>
        <v>51</v>
      </c>
      <c r="E776" s="62" t="str">
        <f>IF(A776&lt;=151,"Kanto",IF(A776&lt;=251,"Johto",IF(A776&lt;=386,"Hoenn",IF(A776&lt;=493,"Sinnoh",IF(A776&lt;=649,"Unova",IF(A776&lt;=721,"Kalos",IF(A776&lt;=809,"Alola",IF(A776&lt;=905,"Galar","Paldea"))))))))</f>
        <v>Sinnoh</v>
      </c>
      <c r="F776" t="str">
        <f>IF(G776&gt;=600,"Lendário",IF(G776&gt;=500,"Forte","Normal"))</f>
        <v>Forte</v>
      </c>
      <c r="G776" s="3">
        <v>520</v>
      </c>
      <c r="H776" s="3">
        <v>50</v>
      </c>
      <c r="I776" s="3">
        <v>65</v>
      </c>
      <c r="J776" s="3">
        <v>107</v>
      </c>
      <c r="K776" s="3">
        <v>105</v>
      </c>
      <c r="L776" s="3">
        <v>107</v>
      </c>
      <c r="M776" s="3">
        <v>86</v>
      </c>
      <c r="N776" s="3">
        <f>AVERAGE($I$2:$I$1168)</f>
        <v>78.907455012853475</v>
      </c>
      <c r="O776" s="3" t="str">
        <f>CONCATENATE(A776,"-",B776)</f>
        <v>479,5-Frost Rotom</v>
      </c>
    </row>
    <row r="777" spans="1:15">
      <c r="A777" s="63">
        <v>479.6</v>
      </c>
      <c r="B777" s="2" t="s">
        <v>548</v>
      </c>
      <c r="C777" t="s">
        <v>122</v>
      </c>
      <c r="D777" s="22">
        <f>COUNTIF($C$2:$C$1168,Tabela1[[#This Row],[Type]])</f>
        <v>37</v>
      </c>
      <c r="E777" s="62" t="str">
        <f>IF(A777&lt;=151,"Kanto",IF(A777&lt;=251,"Johto",IF(A777&lt;=386,"Hoenn",IF(A777&lt;=493,"Sinnoh",IF(A777&lt;=649,"Unova",IF(A777&lt;=721,"Kalos",IF(A777&lt;=809,"Alola",IF(A777&lt;=905,"Galar","Paldea"))))))))</f>
        <v>Sinnoh</v>
      </c>
      <c r="F777" t="str">
        <f>IF(G777&gt;=600,"Lendário",IF(G777&gt;=500,"Forte","Normal"))</f>
        <v>Forte</v>
      </c>
      <c r="G777" s="3">
        <f>G776</f>
        <v>520</v>
      </c>
      <c r="H777" s="3">
        <f>H776</f>
        <v>50</v>
      </c>
      <c r="I777" s="3">
        <f>I776</f>
        <v>65</v>
      </c>
      <c r="J777" s="3">
        <f>J776</f>
        <v>107</v>
      </c>
      <c r="K777" s="3">
        <f>K776</f>
        <v>105</v>
      </c>
      <c r="L777" s="3">
        <f>L776</f>
        <v>107</v>
      </c>
      <c r="M777" s="3">
        <f>M776</f>
        <v>86</v>
      </c>
      <c r="N777" s="3">
        <f>AVERAGE($I$2:$I$1168)</f>
        <v>78.907455012853475</v>
      </c>
      <c r="O777" s="3" t="str">
        <f>CONCATENATE(A777,"-",B777)</f>
        <v>479,6-Frost Rotom</v>
      </c>
    </row>
    <row r="778" spans="1:15">
      <c r="A778" s="63">
        <v>479.7</v>
      </c>
      <c r="B778" s="2" t="s">
        <v>549</v>
      </c>
      <c r="C778" t="s">
        <v>52</v>
      </c>
      <c r="D778" s="22">
        <f>COUNTIF($C$2:$C$1168,Tabela1[[#This Row],[Type]])</f>
        <v>51</v>
      </c>
      <c r="E778" s="62" t="str">
        <f>IF(A778&lt;=151,"Kanto",IF(A778&lt;=251,"Johto",IF(A778&lt;=386,"Hoenn",IF(A778&lt;=493,"Sinnoh",IF(A778&lt;=649,"Unova",IF(A778&lt;=721,"Kalos",IF(A778&lt;=809,"Alola",IF(A778&lt;=905,"Galar","Paldea"))))))))</f>
        <v>Sinnoh</v>
      </c>
      <c r="F778" t="str">
        <f>IF(G778&gt;=600,"Lendário",IF(G778&gt;=500,"Forte","Normal"))</f>
        <v>Forte</v>
      </c>
      <c r="G778" s="3">
        <v>520</v>
      </c>
      <c r="H778" s="3">
        <v>50</v>
      </c>
      <c r="I778" s="3">
        <v>65</v>
      </c>
      <c r="J778" s="3">
        <v>107</v>
      </c>
      <c r="K778" s="3">
        <v>105</v>
      </c>
      <c r="L778" s="3">
        <v>107</v>
      </c>
      <c r="M778" s="3">
        <v>86</v>
      </c>
      <c r="N778" s="3">
        <f>AVERAGE($I$2:$I$1168)</f>
        <v>78.907455012853475</v>
      </c>
      <c r="O778" s="3" t="str">
        <f>CONCATENATE(A778,"-",B778)</f>
        <v>479,7-Fan Rotom</v>
      </c>
    </row>
    <row r="779" spans="1:15">
      <c r="A779" s="63">
        <v>479.8</v>
      </c>
      <c r="B779" s="2" t="s">
        <v>549</v>
      </c>
      <c r="C779" t="s">
        <v>25</v>
      </c>
      <c r="D779" s="22">
        <f>COUNTIF($C$2:$C$1168,Tabela1[[#This Row],[Type]])</f>
        <v>100</v>
      </c>
      <c r="E779" s="62" t="str">
        <f>IF(A779&lt;=151,"Kanto",IF(A779&lt;=251,"Johto",IF(A779&lt;=386,"Hoenn",IF(A779&lt;=493,"Sinnoh",IF(A779&lt;=649,"Unova",IF(A779&lt;=721,"Kalos",IF(A779&lt;=809,"Alola",IF(A779&lt;=905,"Galar","Paldea"))))))))</f>
        <v>Sinnoh</v>
      </c>
      <c r="F779" t="str">
        <f>IF(G779&gt;=600,"Lendário",IF(G779&gt;=500,"Forte","Normal"))</f>
        <v>Forte</v>
      </c>
      <c r="G779" s="3">
        <f>G778</f>
        <v>520</v>
      </c>
      <c r="H779" s="3">
        <f>H778</f>
        <v>50</v>
      </c>
      <c r="I779" s="3">
        <f>I778</f>
        <v>65</v>
      </c>
      <c r="J779" s="3">
        <f>J778</f>
        <v>107</v>
      </c>
      <c r="K779" s="3">
        <f>K778</f>
        <v>105</v>
      </c>
      <c r="L779" s="3">
        <f>L778</f>
        <v>107</v>
      </c>
      <c r="M779" s="3">
        <f>M778</f>
        <v>86</v>
      </c>
      <c r="N779" s="3">
        <f>AVERAGE($I$2:$I$1168)</f>
        <v>78.907455012853475</v>
      </c>
      <c r="O779" s="3" t="str">
        <f>CONCATENATE(A779,"-",B779)</f>
        <v>479,8-Fan Rotom</v>
      </c>
    </row>
    <row r="780" spans="1:15">
      <c r="A780" s="63">
        <v>479.9</v>
      </c>
      <c r="B780" s="2" t="s">
        <v>550</v>
      </c>
      <c r="C780" t="s">
        <v>52</v>
      </c>
      <c r="D780" s="22">
        <f>COUNTIF($C$2:$C$1168,Tabela1[[#This Row],[Type]])</f>
        <v>51</v>
      </c>
      <c r="E780" s="62" t="str">
        <f>IF(A780&lt;=151,"Kanto",IF(A780&lt;=251,"Johto",IF(A780&lt;=386,"Hoenn",IF(A780&lt;=493,"Sinnoh",IF(A780&lt;=649,"Unova",IF(A780&lt;=721,"Kalos",IF(A780&lt;=809,"Alola",IF(A780&lt;=905,"Galar","Paldea"))))))))</f>
        <v>Sinnoh</v>
      </c>
      <c r="F780" t="str">
        <f>IF(G780&gt;=600,"Lendário",IF(G780&gt;=500,"Forte","Normal"))</f>
        <v>Forte</v>
      </c>
      <c r="G780" s="3">
        <v>520</v>
      </c>
      <c r="H780" s="3">
        <v>50</v>
      </c>
      <c r="I780" s="3">
        <v>65</v>
      </c>
      <c r="J780" s="3">
        <v>107</v>
      </c>
      <c r="K780" s="3">
        <v>105</v>
      </c>
      <c r="L780" s="3">
        <v>107</v>
      </c>
      <c r="M780" s="3">
        <v>86</v>
      </c>
      <c r="N780" s="3">
        <f>AVERAGE($I$2:$I$1168)</f>
        <v>78.907455012853475</v>
      </c>
      <c r="O780" s="3" t="str">
        <f>CONCATENATE(A780,"-",B780)</f>
        <v>479,9-Mow Rotom</v>
      </c>
    </row>
    <row r="781" spans="1:15">
      <c r="A781" s="63">
        <v>479.91</v>
      </c>
      <c r="B781" s="2" t="s">
        <v>550</v>
      </c>
      <c r="C781" t="s">
        <v>16</v>
      </c>
      <c r="D781" s="22">
        <f>COUNTIF($C$2:$C$1168,Tabela1[[#This Row],[Type]])</f>
        <v>93</v>
      </c>
      <c r="E781" s="62" t="str">
        <f>IF(A781&lt;=151,"Kanto",IF(A781&lt;=251,"Johto",IF(A781&lt;=386,"Hoenn",IF(A781&lt;=493,"Sinnoh",IF(A781&lt;=649,"Unova",IF(A781&lt;=721,"Kalos",IF(A781&lt;=809,"Alola",IF(A781&lt;=905,"Galar","Paldea"))))))))</f>
        <v>Sinnoh</v>
      </c>
      <c r="F781" t="str">
        <f>IF(G781&gt;=600,"Lendário",IF(G781&gt;=500,"Forte","Normal"))</f>
        <v>Forte</v>
      </c>
      <c r="G781" s="3">
        <f>G780</f>
        <v>520</v>
      </c>
      <c r="H781" s="3">
        <f>H780</f>
        <v>50</v>
      </c>
      <c r="I781" s="3">
        <f>I780</f>
        <v>65</v>
      </c>
      <c r="J781" s="3">
        <f>J780</f>
        <v>107</v>
      </c>
      <c r="K781" s="3">
        <f>K780</f>
        <v>105</v>
      </c>
      <c r="L781" s="3">
        <f>L780</f>
        <v>107</v>
      </c>
      <c r="M781" s="3">
        <f>M780</f>
        <v>86</v>
      </c>
      <c r="N781" s="3">
        <f>AVERAGE($I$2:$I$1168)</f>
        <v>78.907455012853475</v>
      </c>
      <c r="O781" s="3" t="str">
        <f>CONCATENATE(A781,"-",B781)</f>
        <v>479,91-Mow Rotom</v>
      </c>
    </row>
    <row r="782" spans="1:15">
      <c r="A782" s="63">
        <v>480</v>
      </c>
      <c r="B782" s="2" t="s">
        <v>551</v>
      </c>
      <c r="C782" t="s">
        <v>94</v>
      </c>
      <c r="D782" s="22">
        <f>COUNTIF($C$2:$C$1168,Tabela1[[#This Row],[Type]])</f>
        <v>83</v>
      </c>
      <c r="E782" s="62" t="str">
        <f>IF(A782&lt;=151,"Kanto",IF(A782&lt;=251,"Johto",IF(A782&lt;=386,"Hoenn",IF(A782&lt;=493,"Sinnoh",IF(A782&lt;=649,"Unova",IF(A782&lt;=721,"Kalos",IF(A782&lt;=809,"Alola",IF(A782&lt;=905,"Galar","Paldea"))))))))</f>
        <v>Sinnoh</v>
      </c>
      <c r="F782" t="str">
        <f>IF(G782&gt;=600,"Lendário",IF(G782&gt;=500,"Forte","Normal"))</f>
        <v>Forte</v>
      </c>
      <c r="G782" s="3">
        <v>580</v>
      </c>
      <c r="H782" s="3">
        <v>75</v>
      </c>
      <c r="I782" s="3">
        <v>75</v>
      </c>
      <c r="J782" s="3">
        <v>130</v>
      </c>
      <c r="K782" s="3">
        <v>75</v>
      </c>
      <c r="L782" s="3">
        <v>130</v>
      </c>
      <c r="M782" s="3">
        <v>95</v>
      </c>
      <c r="N782" s="3">
        <f>AVERAGE($I$2:$I$1168)</f>
        <v>78.907455012853475</v>
      </c>
      <c r="O782" s="3" t="str">
        <f>CONCATENATE(A782,"-",B782)</f>
        <v>480-Uxie</v>
      </c>
    </row>
    <row r="783" spans="1:15">
      <c r="A783" s="63">
        <v>481</v>
      </c>
      <c r="B783" s="2" t="s">
        <v>552</v>
      </c>
      <c r="C783" t="s">
        <v>94</v>
      </c>
      <c r="D783" s="22">
        <f>COUNTIF($C$2:$C$1168,Tabela1[[#This Row],[Type]])</f>
        <v>83</v>
      </c>
      <c r="E783" s="62" t="str">
        <f>IF(A783&lt;=151,"Kanto",IF(A783&lt;=251,"Johto",IF(A783&lt;=386,"Hoenn",IF(A783&lt;=493,"Sinnoh",IF(A783&lt;=649,"Unova",IF(A783&lt;=721,"Kalos",IF(A783&lt;=809,"Alola",IF(A783&lt;=905,"Galar","Paldea"))))))))</f>
        <v>Sinnoh</v>
      </c>
      <c r="F783" t="str">
        <f>IF(G783&gt;=600,"Lendário",IF(G783&gt;=500,"Forte","Normal"))</f>
        <v>Forte</v>
      </c>
      <c r="G783" s="3">
        <v>580</v>
      </c>
      <c r="H783" s="3">
        <v>80</v>
      </c>
      <c r="I783" s="3">
        <v>105</v>
      </c>
      <c r="J783" s="3">
        <v>105</v>
      </c>
      <c r="K783" s="3">
        <v>105</v>
      </c>
      <c r="L783" s="3">
        <v>105</v>
      </c>
      <c r="M783" s="3">
        <v>80</v>
      </c>
      <c r="N783" s="3">
        <f>AVERAGE($I$2:$I$1168)</f>
        <v>78.907455012853475</v>
      </c>
      <c r="O783" s="3" t="str">
        <f>CONCATENATE(A783,"-",B783)</f>
        <v>481-Mesprit</v>
      </c>
    </row>
    <row r="784" spans="1:15">
      <c r="A784" s="63">
        <v>482</v>
      </c>
      <c r="B784" s="2" t="s">
        <v>553</v>
      </c>
      <c r="C784" t="s">
        <v>94</v>
      </c>
      <c r="D784" s="22">
        <f>COUNTIF($C$2:$C$1168,Tabela1[[#This Row],[Type]])</f>
        <v>83</v>
      </c>
      <c r="E784" s="62" t="str">
        <f>IF(A784&lt;=151,"Kanto",IF(A784&lt;=251,"Johto",IF(A784&lt;=386,"Hoenn",IF(A784&lt;=493,"Sinnoh",IF(A784&lt;=649,"Unova",IF(A784&lt;=721,"Kalos",IF(A784&lt;=809,"Alola",IF(A784&lt;=905,"Galar","Paldea"))))))))</f>
        <v>Sinnoh</v>
      </c>
      <c r="F784" t="str">
        <f>IF(G784&gt;=600,"Lendário",IF(G784&gt;=500,"Forte","Normal"))</f>
        <v>Forte</v>
      </c>
      <c r="G784" s="3">
        <v>580</v>
      </c>
      <c r="H784" s="3">
        <v>75</v>
      </c>
      <c r="I784" s="3">
        <v>125</v>
      </c>
      <c r="J784" s="3">
        <v>70</v>
      </c>
      <c r="K784" s="3">
        <v>125</v>
      </c>
      <c r="L784" s="3">
        <v>70</v>
      </c>
      <c r="M784" s="3">
        <v>115</v>
      </c>
      <c r="N784" s="3">
        <f>AVERAGE($I$2:$I$1168)</f>
        <v>78.907455012853475</v>
      </c>
      <c r="O784" s="3" t="str">
        <f>CONCATENATE(A784,"-",B784)</f>
        <v>482-Azelf</v>
      </c>
    </row>
    <row r="785" spans="1:15">
      <c r="A785" s="63">
        <v>483</v>
      </c>
      <c r="B785" s="2" t="s">
        <v>554</v>
      </c>
      <c r="C785" t="s">
        <v>115</v>
      </c>
      <c r="D785" s="22">
        <f>COUNTIF($C$2:$C$1168,Tabela1[[#This Row],[Type]])</f>
        <v>48</v>
      </c>
      <c r="E785" s="62" t="str">
        <f>IF(A785&lt;=151,"Kanto",IF(A785&lt;=251,"Johto",IF(A785&lt;=386,"Hoenn",IF(A785&lt;=493,"Sinnoh",IF(A785&lt;=649,"Unova",IF(A785&lt;=721,"Kalos",IF(A785&lt;=809,"Alola",IF(A785&lt;=905,"Galar","Paldea"))))))))</f>
        <v>Sinnoh</v>
      </c>
      <c r="F785" t="str">
        <f>IF(G785&gt;=600,"Lendário",IF(G785&gt;=500,"Forte","Normal"))</f>
        <v>Lendário</v>
      </c>
      <c r="G785" s="3">
        <v>680</v>
      </c>
      <c r="H785" s="3">
        <v>100</v>
      </c>
      <c r="I785" s="3">
        <v>120</v>
      </c>
      <c r="J785" s="3">
        <v>120</v>
      </c>
      <c r="K785" s="3">
        <v>150</v>
      </c>
      <c r="L785" s="3">
        <v>100</v>
      </c>
      <c r="M785" s="3">
        <v>90</v>
      </c>
      <c r="N785" s="3">
        <f>AVERAGE($I$2:$I$1168)</f>
        <v>78.907455012853475</v>
      </c>
      <c r="O785" s="3" t="str">
        <f>CONCATENATE(A785,"-",B785)</f>
        <v>483-Dialga</v>
      </c>
    </row>
    <row r="786" spans="1:15">
      <c r="A786" s="63">
        <v>483</v>
      </c>
      <c r="B786" s="2" t="str">
        <f>B785</f>
        <v>Dialga</v>
      </c>
      <c r="C786" t="s">
        <v>27</v>
      </c>
      <c r="D786" s="22">
        <f>COUNTIF($C$2:$C$1168,Tabela1[[#This Row],[Type]])</f>
        <v>44</v>
      </c>
      <c r="E786" s="62" t="str">
        <f>IF(A786&lt;=151,"Kanto",IF(A786&lt;=251,"Johto",IF(A786&lt;=386,"Hoenn",IF(A786&lt;=493,"Sinnoh",IF(A786&lt;=649,"Unova",IF(A786&lt;=721,"Kalos",IF(A786&lt;=809,"Alola",IF(A786&lt;=905,"Galar","Paldea"))))))))</f>
        <v>Sinnoh</v>
      </c>
      <c r="F786" t="str">
        <f>IF(G786&gt;=600,"Lendário",IF(G786&gt;=500,"Forte","Normal"))</f>
        <v>Lendário</v>
      </c>
      <c r="G786" s="3">
        <f>G785</f>
        <v>680</v>
      </c>
      <c r="H786" s="3">
        <f>H785</f>
        <v>100</v>
      </c>
      <c r="I786" s="3">
        <f>I785</f>
        <v>120</v>
      </c>
      <c r="J786" s="3">
        <f>J785</f>
        <v>120</v>
      </c>
      <c r="K786" s="3">
        <f>K785</f>
        <v>150</v>
      </c>
      <c r="L786" s="3">
        <f>L785</f>
        <v>100</v>
      </c>
      <c r="M786" s="3">
        <f>M785</f>
        <v>90</v>
      </c>
      <c r="N786" s="3">
        <f>AVERAGE($I$2:$I$1168)</f>
        <v>78.907455012853475</v>
      </c>
      <c r="O786" s="3" t="str">
        <f>CONCATENATE(A786,"-",B786)</f>
        <v>483-Dialga</v>
      </c>
    </row>
    <row r="787" spans="1:15">
      <c r="A787" s="63">
        <v>484</v>
      </c>
      <c r="B787" s="2" t="s">
        <v>555</v>
      </c>
      <c r="C787" t="s">
        <v>30</v>
      </c>
      <c r="D787" s="22">
        <f>COUNTIF($C$2:$C$1168,Tabela1[[#This Row],[Type]])</f>
        <v>121</v>
      </c>
      <c r="E787" s="62" t="str">
        <f>IF(A787&lt;=151,"Kanto",IF(A787&lt;=251,"Johto",IF(A787&lt;=386,"Hoenn",IF(A787&lt;=493,"Sinnoh",IF(A787&lt;=649,"Unova",IF(A787&lt;=721,"Kalos",IF(A787&lt;=809,"Alola",IF(A787&lt;=905,"Galar","Paldea"))))))))</f>
        <v>Sinnoh</v>
      </c>
      <c r="F787" t="str">
        <f>IF(G787&gt;=600,"Lendário",IF(G787&gt;=500,"Forte","Normal"))</f>
        <v>Lendário</v>
      </c>
      <c r="G787" s="3">
        <v>680</v>
      </c>
      <c r="H787" s="3">
        <v>90</v>
      </c>
      <c r="I787" s="3">
        <v>120</v>
      </c>
      <c r="J787" s="3">
        <v>100</v>
      </c>
      <c r="K787" s="3">
        <v>150</v>
      </c>
      <c r="L787" s="3">
        <v>120</v>
      </c>
      <c r="M787" s="3">
        <v>100</v>
      </c>
      <c r="N787" s="3">
        <f>AVERAGE($I$2:$I$1168)</f>
        <v>78.907455012853475</v>
      </c>
      <c r="O787" s="3" t="str">
        <f>CONCATENATE(A787,"-",B787)</f>
        <v>484-Palkia</v>
      </c>
    </row>
    <row r="788" spans="1:15">
      <c r="A788" s="63">
        <v>484</v>
      </c>
      <c r="B788" s="2" t="str">
        <f>B787</f>
        <v>Palkia</v>
      </c>
      <c r="C788" t="s">
        <v>27</v>
      </c>
      <c r="D788" s="22">
        <f>COUNTIF($C$2:$C$1168,Tabela1[[#This Row],[Type]])</f>
        <v>44</v>
      </c>
      <c r="E788" s="62" t="str">
        <f>IF(A788&lt;=151,"Kanto",IF(A788&lt;=251,"Johto",IF(A788&lt;=386,"Hoenn",IF(A788&lt;=493,"Sinnoh",IF(A788&lt;=649,"Unova",IF(A788&lt;=721,"Kalos",IF(A788&lt;=809,"Alola",IF(A788&lt;=905,"Galar","Paldea"))))))))</f>
        <v>Sinnoh</v>
      </c>
      <c r="F788" t="str">
        <f>IF(G788&gt;=600,"Lendário",IF(G788&gt;=500,"Forte","Normal"))</f>
        <v>Lendário</v>
      </c>
      <c r="G788" s="3">
        <f>G787</f>
        <v>680</v>
      </c>
      <c r="H788" s="3">
        <f>H787</f>
        <v>90</v>
      </c>
      <c r="I788" s="3">
        <f>I787</f>
        <v>120</v>
      </c>
      <c r="J788" s="3">
        <f>J787</f>
        <v>100</v>
      </c>
      <c r="K788" s="3">
        <f>K787</f>
        <v>150</v>
      </c>
      <c r="L788" s="3">
        <f>L787</f>
        <v>120</v>
      </c>
      <c r="M788" s="3">
        <f>M787</f>
        <v>100</v>
      </c>
      <c r="N788" s="3">
        <f>AVERAGE($I$2:$I$1168)</f>
        <v>78.907455012853475</v>
      </c>
      <c r="O788" s="3" t="str">
        <f>CONCATENATE(A788,"-",B788)</f>
        <v>484-Palkia</v>
      </c>
    </row>
    <row r="789" spans="1:15">
      <c r="A789" s="63">
        <v>485</v>
      </c>
      <c r="B789" s="2" t="s">
        <v>556</v>
      </c>
      <c r="C789" t="s">
        <v>22</v>
      </c>
      <c r="D789" s="22">
        <f>COUNTIF($C$2:$C$1168,Tabela1[[#This Row],[Type]])</f>
        <v>62</v>
      </c>
      <c r="E789" s="62" t="str">
        <f>IF(A789&lt;=151,"Kanto",IF(A789&lt;=251,"Johto",IF(A789&lt;=386,"Hoenn",IF(A789&lt;=493,"Sinnoh",IF(A789&lt;=649,"Unova",IF(A789&lt;=721,"Kalos",IF(A789&lt;=809,"Alola",IF(A789&lt;=905,"Galar","Paldea"))))))))</f>
        <v>Sinnoh</v>
      </c>
      <c r="F789" t="str">
        <f>IF(G789&gt;=600,"Lendário",IF(G789&gt;=500,"Forte","Normal"))</f>
        <v>Lendário</v>
      </c>
      <c r="G789" s="3">
        <v>600</v>
      </c>
      <c r="H789" s="3">
        <v>91</v>
      </c>
      <c r="I789" s="3">
        <v>90</v>
      </c>
      <c r="J789" s="3">
        <v>106</v>
      </c>
      <c r="K789" s="3">
        <v>130</v>
      </c>
      <c r="L789" s="3">
        <v>106</v>
      </c>
      <c r="M789" s="3">
        <v>77</v>
      </c>
      <c r="N789" s="3">
        <f>AVERAGE($I$2:$I$1168)</f>
        <v>78.907455012853475</v>
      </c>
      <c r="O789" s="3" t="str">
        <f>CONCATENATE(A789,"-",B789)</f>
        <v>485-Heatran</v>
      </c>
    </row>
    <row r="790" spans="1:15">
      <c r="A790" s="63">
        <v>485</v>
      </c>
      <c r="B790" s="2" t="str">
        <f>B789</f>
        <v>Heatran</v>
      </c>
      <c r="C790" t="s">
        <v>115</v>
      </c>
      <c r="D790" s="22">
        <f>COUNTIF($C$2:$C$1168,Tabela1[[#This Row],[Type]])</f>
        <v>48</v>
      </c>
      <c r="E790" s="62" t="str">
        <f>IF(A790&lt;=151,"Kanto",IF(A790&lt;=251,"Johto",IF(A790&lt;=386,"Hoenn",IF(A790&lt;=493,"Sinnoh",IF(A790&lt;=649,"Unova",IF(A790&lt;=721,"Kalos",IF(A790&lt;=809,"Alola",IF(A790&lt;=905,"Galar","Paldea"))))))))</f>
        <v>Sinnoh</v>
      </c>
      <c r="F790" t="str">
        <f>IF(G790&gt;=600,"Lendário",IF(G790&gt;=500,"Forte","Normal"))</f>
        <v>Lendário</v>
      </c>
      <c r="G790" s="3">
        <f>G789</f>
        <v>600</v>
      </c>
      <c r="H790" s="3">
        <f>H789</f>
        <v>91</v>
      </c>
      <c r="I790" s="3">
        <f>I789</f>
        <v>90</v>
      </c>
      <c r="J790" s="3">
        <f>J789</f>
        <v>106</v>
      </c>
      <c r="K790" s="3">
        <f>K789</f>
        <v>130</v>
      </c>
      <c r="L790" s="3">
        <f>L789</f>
        <v>106</v>
      </c>
      <c r="M790" s="3">
        <f>M789</f>
        <v>77</v>
      </c>
      <c r="N790" s="3">
        <f>AVERAGE($I$2:$I$1168)</f>
        <v>78.907455012853475</v>
      </c>
      <c r="O790" s="3" t="str">
        <f>CONCATENATE(A790,"-",B790)</f>
        <v>485-Heatran</v>
      </c>
    </row>
    <row r="791" spans="1:15">
      <c r="A791" s="63">
        <v>486</v>
      </c>
      <c r="B791" s="2" t="s">
        <v>557</v>
      </c>
      <c r="C791" t="s">
        <v>42</v>
      </c>
      <c r="D791" s="22">
        <f>COUNTIF($C$2:$C$1168,Tabela1[[#This Row],[Type]])</f>
        <v>99</v>
      </c>
      <c r="E791" s="62" t="str">
        <f>IF(A791&lt;=151,"Kanto",IF(A791&lt;=251,"Johto",IF(A791&lt;=386,"Hoenn",IF(A791&lt;=493,"Sinnoh",IF(A791&lt;=649,"Unova",IF(A791&lt;=721,"Kalos",IF(A791&lt;=809,"Alola",IF(A791&lt;=905,"Galar","Paldea"))))))))</f>
        <v>Sinnoh</v>
      </c>
      <c r="F791" t="str">
        <f>IF(G791&gt;=600,"Lendário",IF(G791&gt;=500,"Forte","Normal"))</f>
        <v>Lendário</v>
      </c>
      <c r="G791" s="3">
        <v>670</v>
      </c>
      <c r="H791" s="3">
        <v>110</v>
      </c>
      <c r="I791" s="3">
        <v>160</v>
      </c>
      <c r="J791" s="3">
        <v>110</v>
      </c>
      <c r="K791" s="3">
        <v>80</v>
      </c>
      <c r="L791" s="3">
        <v>110</v>
      </c>
      <c r="M791" s="3">
        <v>100</v>
      </c>
      <c r="N791" s="3">
        <f>AVERAGE($I$2:$I$1168)</f>
        <v>78.907455012853475</v>
      </c>
      <c r="O791" s="3" t="str">
        <f>CONCATENATE(A791,"-",B791)</f>
        <v>486-Regigigas</v>
      </c>
    </row>
    <row r="792" spans="1:15">
      <c r="A792" s="63">
        <v>487</v>
      </c>
      <c r="B792" s="2" t="s">
        <v>558</v>
      </c>
      <c r="C792" t="s">
        <v>128</v>
      </c>
      <c r="D792" s="22">
        <f>COUNTIF($C$2:$C$1168,Tabela1[[#This Row],[Type]])</f>
        <v>45</v>
      </c>
      <c r="E792" s="62" t="str">
        <f>IF(A792&lt;=151,"Kanto",IF(A792&lt;=251,"Johto",IF(A792&lt;=386,"Hoenn",IF(A792&lt;=493,"Sinnoh",IF(A792&lt;=649,"Unova",IF(A792&lt;=721,"Kalos",IF(A792&lt;=809,"Alola",IF(A792&lt;=905,"Galar","Paldea"))))))))</f>
        <v>Sinnoh</v>
      </c>
      <c r="F792" t="str">
        <f>IF(G792&gt;=600,"Lendário",IF(G792&gt;=500,"Forte","Normal"))</f>
        <v>Lendário</v>
      </c>
      <c r="G792" s="3">
        <v>680</v>
      </c>
      <c r="H792" s="3">
        <v>150</v>
      </c>
      <c r="I792" s="3">
        <v>100</v>
      </c>
      <c r="J792" s="3">
        <v>120</v>
      </c>
      <c r="K792" s="3">
        <v>100</v>
      </c>
      <c r="L792" s="3">
        <v>120</v>
      </c>
      <c r="M792" s="3">
        <v>90</v>
      </c>
      <c r="N792" s="3">
        <f>AVERAGE($I$2:$I$1168)</f>
        <v>78.907455012853475</v>
      </c>
      <c r="O792" s="3" t="str">
        <f>CONCATENATE(A792,"-",B792)</f>
        <v>487-Giratina- Altered Forme</v>
      </c>
    </row>
    <row r="793" spans="1:15">
      <c r="A793" s="63">
        <v>487</v>
      </c>
      <c r="B793" s="2" t="s">
        <v>558</v>
      </c>
      <c r="C793" t="s">
        <v>27</v>
      </c>
      <c r="D793" s="22">
        <f>COUNTIF($C$2:$C$1168,Tabela1[[#This Row],[Type]])</f>
        <v>44</v>
      </c>
      <c r="E793" s="62" t="str">
        <f>IF(A793&lt;=151,"Kanto",IF(A793&lt;=251,"Johto",IF(A793&lt;=386,"Hoenn",IF(A793&lt;=493,"Sinnoh",IF(A793&lt;=649,"Unova",IF(A793&lt;=721,"Kalos",IF(A793&lt;=809,"Alola",IF(A793&lt;=905,"Galar","Paldea"))))))))</f>
        <v>Sinnoh</v>
      </c>
      <c r="F793" t="str">
        <f>IF(G793&gt;=600,"Lendário",IF(G793&gt;=500,"Forte","Normal"))</f>
        <v>Lendário</v>
      </c>
      <c r="G793" s="3">
        <f>G792</f>
        <v>680</v>
      </c>
      <c r="H793" s="3">
        <f>H792</f>
        <v>150</v>
      </c>
      <c r="I793" s="3">
        <f>I792</f>
        <v>100</v>
      </c>
      <c r="J793" s="3">
        <f>J792</f>
        <v>120</v>
      </c>
      <c r="K793" s="3">
        <f>K792</f>
        <v>100</v>
      </c>
      <c r="L793" s="3">
        <f>L792</f>
        <v>120</v>
      </c>
      <c r="M793" s="3">
        <f>M792</f>
        <v>90</v>
      </c>
      <c r="N793" s="3">
        <f>AVERAGE($I$2:$I$1168)</f>
        <v>78.907455012853475</v>
      </c>
      <c r="O793" s="3" t="str">
        <f>CONCATENATE(A793,"-",B793)</f>
        <v>487-Giratina- Altered Forme</v>
      </c>
    </row>
    <row r="794" spans="1:15">
      <c r="A794" s="63">
        <v>487.1</v>
      </c>
      <c r="B794" s="2" t="s">
        <v>559</v>
      </c>
      <c r="C794" t="s">
        <v>128</v>
      </c>
      <c r="D794" s="22">
        <f>COUNTIF($C$2:$C$1168,Tabela1[[#This Row],[Type]])</f>
        <v>45</v>
      </c>
      <c r="E794" s="62" t="str">
        <f>IF(A794&lt;=151,"Kanto",IF(A794&lt;=251,"Johto",IF(A794&lt;=386,"Hoenn",IF(A794&lt;=493,"Sinnoh",IF(A794&lt;=649,"Unova",IF(A794&lt;=721,"Kalos",IF(A794&lt;=809,"Alola",IF(A794&lt;=905,"Galar","Paldea"))))))))</f>
        <v>Sinnoh</v>
      </c>
      <c r="F794" t="str">
        <f>IF(G794&gt;=600,"Lendário",IF(G794&gt;=500,"Forte","Normal"))</f>
        <v>Lendário</v>
      </c>
      <c r="G794" s="3">
        <v>680</v>
      </c>
      <c r="H794" s="3">
        <v>150</v>
      </c>
      <c r="I794" s="3">
        <v>120</v>
      </c>
      <c r="J794" s="3">
        <v>100</v>
      </c>
      <c r="K794" s="3">
        <v>120</v>
      </c>
      <c r="L794" s="3">
        <v>100</v>
      </c>
      <c r="M794" s="3">
        <v>90</v>
      </c>
      <c r="N794" s="3">
        <f>AVERAGE($I$2:$I$1168)</f>
        <v>78.907455012853475</v>
      </c>
      <c r="O794" s="3" t="str">
        <f>CONCATENATE(A794,"-",B794)</f>
        <v>487,1-Giratina- Origin Forme</v>
      </c>
    </row>
    <row r="795" spans="1:15">
      <c r="A795" s="63">
        <v>487.1</v>
      </c>
      <c r="B795" s="2" t="s">
        <v>559</v>
      </c>
      <c r="C795" t="s">
        <v>27</v>
      </c>
      <c r="D795" s="22">
        <f>COUNTIF($C$2:$C$1168,Tabela1[[#This Row],[Type]])</f>
        <v>44</v>
      </c>
      <c r="E795" s="62" t="str">
        <f>IF(A795&lt;=151,"Kanto",IF(A795&lt;=251,"Johto",IF(A795&lt;=386,"Hoenn",IF(A795&lt;=493,"Sinnoh",IF(A795&lt;=649,"Unova",IF(A795&lt;=721,"Kalos",IF(A795&lt;=809,"Alola",IF(A795&lt;=905,"Galar","Paldea"))))))))</f>
        <v>Sinnoh</v>
      </c>
      <c r="F795" t="str">
        <f>IF(G795&gt;=600,"Lendário",IF(G795&gt;=500,"Forte","Normal"))</f>
        <v>Lendário</v>
      </c>
      <c r="G795" s="3">
        <f>G794</f>
        <v>680</v>
      </c>
      <c r="H795" s="3">
        <f>H794</f>
        <v>150</v>
      </c>
      <c r="I795" s="3">
        <f>I794</f>
        <v>120</v>
      </c>
      <c r="J795" s="3">
        <f>J794</f>
        <v>100</v>
      </c>
      <c r="K795" s="3">
        <f>K794</f>
        <v>120</v>
      </c>
      <c r="L795" s="3">
        <f>L794</f>
        <v>100</v>
      </c>
      <c r="M795" s="3">
        <f>M794</f>
        <v>90</v>
      </c>
      <c r="N795" s="3">
        <f>AVERAGE($I$2:$I$1168)</f>
        <v>78.907455012853475</v>
      </c>
      <c r="O795" s="3" t="str">
        <f>CONCATENATE(A795,"-",B795)</f>
        <v>487,1-Giratina- Origin Forme</v>
      </c>
    </row>
    <row r="796" spans="1:15">
      <c r="A796" s="63">
        <v>488</v>
      </c>
      <c r="B796" s="2" t="s">
        <v>560</v>
      </c>
      <c r="C796" t="s">
        <v>94</v>
      </c>
      <c r="D796" s="22">
        <f>COUNTIF($C$2:$C$1168,Tabela1[[#This Row],[Type]])</f>
        <v>83</v>
      </c>
      <c r="E796" s="62" t="str">
        <f>IF(A796&lt;=151,"Kanto",IF(A796&lt;=251,"Johto",IF(A796&lt;=386,"Hoenn",IF(A796&lt;=493,"Sinnoh",IF(A796&lt;=649,"Unova",IF(A796&lt;=721,"Kalos",IF(A796&lt;=809,"Alola",IF(A796&lt;=905,"Galar","Paldea"))))))))</f>
        <v>Sinnoh</v>
      </c>
      <c r="F796" t="str">
        <f>IF(G796&gt;=600,"Lendário",IF(G796&gt;=500,"Forte","Normal"))</f>
        <v>Lendário</v>
      </c>
      <c r="G796" s="3">
        <v>600</v>
      </c>
      <c r="H796" s="3">
        <v>120</v>
      </c>
      <c r="I796" s="3">
        <v>70</v>
      </c>
      <c r="J796" s="3">
        <v>120</v>
      </c>
      <c r="K796" s="3">
        <v>75</v>
      </c>
      <c r="L796" s="3">
        <v>130</v>
      </c>
      <c r="M796" s="3">
        <v>85</v>
      </c>
      <c r="N796" s="3">
        <f>AVERAGE($I$2:$I$1168)</f>
        <v>78.907455012853475</v>
      </c>
      <c r="O796" s="3" t="str">
        <f>CONCATENATE(A796,"-",B796)</f>
        <v>488-Cresselia</v>
      </c>
    </row>
    <row r="797" spans="1:15">
      <c r="A797" s="63">
        <v>489</v>
      </c>
      <c r="B797" s="2" t="s">
        <v>561</v>
      </c>
      <c r="C797" t="s">
        <v>30</v>
      </c>
      <c r="D797" s="22">
        <f>COUNTIF($C$2:$C$1168,Tabela1[[#This Row],[Type]])</f>
        <v>121</v>
      </c>
      <c r="E797" s="62" t="str">
        <f>IF(A797&lt;=151,"Kanto",IF(A797&lt;=251,"Johto",IF(A797&lt;=386,"Hoenn",IF(A797&lt;=493,"Sinnoh",IF(A797&lt;=649,"Unova",IF(A797&lt;=721,"Kalos",IF(A797&lt;=809,"Alola",IF(A797&lt;=905,"Galar","Paldea"))))))))</f>
        <v>Sinnoh</v>
      </c>
      <c r="F797" t="str">
        <f>IF(G797&gt;=600,"Lendário",IF(G797&gt;=500,"Forte","Normal"))</f>
        <v>Normal</v>
      </c>
      <c r="G797" s="3">
        <v>480</v>
      </c>
      <c r="H797" s="3">
        <v>80</v>
      </c>
      <c r="I797" s="3">
        <v>80</v>
      </c>
      <c r="J797" s="3">
        <v>80</v>
      </c>
      <c r="K797" s="3">
        <v>80</v>
      </c>
      <c r="L797" s="3">
        <v>80</v>
      </c>
      <c r="M797" s="3">
        <v>80</v>
      </c>
      <c r="N797" s="3">
        <f>AVERAGE($I$2:$I$1168)</f>
        <v>78.907455012853475</v>
      </c>
      <c r="O797" s="3" t="str">
        <f>CONCATENATE(A797,"-",B797)</f>
        <v>489-Phione</v>
      </c>
    </row>
    <row r="798" spans="1:15">
      <c r="A798" s="63">
        <v>490</v>
      </c>
      <c r="B798" s="2" t="s">
        <v>562</v>
      </c>
      <c r="C798" t="s">
        <v>30</v>
      </c>
      <c r="D798" s="22">
        <f>COUNTIF($C$2:$C$1168,Tabela1[[#This Row],[Type]])</f>
        <v>121</v>
      </c>
      <c r="E798" s="62" t="str">
        <f>IF(A798&lt;=151,"Kanto",IF(A798&lt;=251,"Johto",IF(A798&lt;=386,"Hoenn",IF(A798&lt;=493,"Sinnoh",IF(A798&lt;=649,"Unova",IF(A798&lt;=721,"Kalos",IF(A798&lt;=809,"Alola",IF(A798&lt;=905,"Galar","Paldea"))))))))</f>
        <v>Sinnoh</v>
      </c>
      <c r="F798" t="str">
        <f>IF(G798&gt;=600,"Lendário",IF(G798&gt;=500,"Forte","Normal"))</f>
        <v>Lendário</v>
      </c>
      <c r="G798" s="3">
        <v>600</v>
      </c>
      <c r="H798" s="3">
        <v>100</v>
      </c>
      <c r="I798" s="3">
        <v>100</v>
      </c>
      <c r="J798" s="3">
        <v>100</v>
      </c>
      <c r="K798" s="3">
        <v>100</v>
      </c>
      <c r="L798" s="3">
        <v>100</v>
      </c>
      <c r="M798" s="3">
        <v>100</v>
      </c>
      <c r="N798" s="3">
        <f>AVERAGE($I$2:$I$1168)</f>
        <v>78.907455012853475</v>
      </c>
      <c r="O798" s="3" t="str">
        <f>CONCATENATE(A798,"-",B798)</f>
        <v>490-Manaphy</v>
      </c>
    </row>
    <row r="799" spans="1:15">
      <c r="A799" s="63">
        <v>491</v>
      </c>
      <c r="B799" s="2" t="s">
        <v>563</v>
      </c>
      <c r="C799" t="s">
        <v>170</v>
      </c>
      <c r="D799" s="22">
        <f>COUNTIF($C$2:$C$1168,Tabela1[[#This Row],[Type]])</f>
        <v>49</v>
      </c>
      <c r="E799" s="62" t="str">
        <f>IF(A799&lt;=151,"Kanto",IF(A799&lt;=251,"Johto",IF(A799&lt;=386,"Hoenn",IF(A799&lt;=493,"Sinnoh",IF(A799&lt;=649,"Unova",IF(A799&lt;=721,"Kalos",IF(A799&lt;=809,"Alola",IF(A799&lt;=905,"Galar","Paldea"))))))))</f>
        <v>Sinnoh</v>
      </c>
      <c r="F799" t="str">
        <f>IF(G799&gt;=600,"Lendário",IF(G799&gt;=500,"Forte","Normal"))</f>
        <v>Lendário</v>
      </c>
      <c r="G799" s="3">
        <v>600</v>
      </c>
      <c r="H799" s="3">
        <v>70</v>
      </c>
      <c r="I799" s="3">
        <v>90</v>
      </c>
      <c r="J799" s="3">
        <v>90</v>
      </c>
      <c r="K799" s="3">
        <v>135</v>
      </c>
      <c r="L799" s="3">
        <v>90</v>
      </c>
      <c r="M799" s="3">
        <v>125</v>
      </c>
      <c r="N799" s="3">
        <f>AVERAGE($I$2:$I$1168)</f>
        <v>78.907455012853475</v>
      </c>
      <c r="O799" s="3" t="str">
        <f>CONCATENATE(A799,"-",B799)</f>
        <v>491-Darkrai</v>
      </c>
    </row>
    <row r="800" spans="1:15">
      <c r="A800" s="63">
        <v>492</v>
      </c>
      <c r="B800" s="2" t="s">
        <v>564</v>
      </c>
      <c r="C800" t="s">
        <v>16</v>
      </c>
      <c r="D800" s="22">
        <f>COUNTIF($C$2:$C$1168,Tabela1[[#This Row],[Type]])</f>
        <v>93</v>
      </c>
      <c r="E800" s="62" t="str">
        <f>IF(A800&lt;=151,"Kanto",IF(A800&lt;=251,"Johto",IF(A800&lt;=386,"Hoenn",IF(A800&lt;=493,"Sinnoh",IF(A800&lt;=649,"Unova",IF(A800&lt;=721,"Kalos",IF(A800&lt;=809,"Alola",IF(A800&lt;=905,"Galar","Paldea"))))))))</f>
        <v>Sinnoh</v>
      </c>
      <c r="F800" t="str">
        <f>IF(G800&gt;=600,"Lendário",IF(G800&gt;=500,"Forte","Normal"))</f>
        <v>Lendário</v>
      </c>
      <c r="G800" s="3">
        <v>600</v>
      </c>
      <c r="H800" s="3">
        <v>100</v>
      </c>
      <c r="I800" s="3">
        <v>100</v>
      </c>
      <c r="J800" s="3">
        <v>100</v>
      </c>
      <c r="K800" s="3">
        <v>100</v>
      </c>
      <c r="L800" s="3">
        <v>100</v>
      </c>
      <c r="M800" s="3">
        <v>100</v>
      </c>
      <c r="N800" s="3">
        <f>AVERAGE($I$2:$I$1168)</f>
        <v>78.907455012853475</v>
      </c>
      <c r="O800" s="3" t="str">
        <f>CONCATENATE(A800,"-",B800)</f>
        <v>492-Shaymin- Land Forme</v>
      </c>
    </row>
    <row r="801" spans="1:15">
      <c r="A801" s="63">
        <v>492.1</v>
      </c>
      <c r="B801" s="2" t="s">
        <v>565</v>
      </c>
      <c r="C801" t="s">
        <v>16</v>
      </c>
      <c r="D801" s="22">
        <f>COUNTIF($C$2:$C$1168,Tabela1[[#This Row],[Type]])</f>
        <v>93</v>
      </c>
      <c r="E801" s="62" t="str">
        <f>IF(A801&lt;=151,"Kanto",IF(A801&lt;=251,"Johto",IF(A801&lt;=386,"Hoenn",IF(A801&lt;=493,"Sinnoh",IF(A801&lt;=649,"Unova",IF(A801&lt;=721,"Kalos",IF(A801&lt;=809,"Alola",IF(A801&lt;=905,"Galar","Paldea"))))))))</f>
        <v>Sinnoh</v>
      </c>
      <c r="F801" t="str">
        <f>IF(G801&gt;=600,"Lendário",IF(G801&gt;=500,"Forte","Normal"))</f>
        <v>Lendário</v>
      </c>
      <c r="G801" s="3">
        <v>600</v>
      </c>
      <c r="H801" s="3">
        <v>100</v>
      </c>
      <c r="I801" s="3">
        <v>103</v>
      </c>
      <c r="J801" s="3">
        <v>75</v>
      </c>
      <c r="K801" s="3">
        <v>120</v>
      </c>
      <c r="L801" s="3">
        <v>75</v>
      </c>
      <c r="M801" s="3">
        <v>127</v>
      </c>
      <c r="N801" s="3">
        <f>AVERAGE($I$2:$I$1168)</f>
        <v>78.907455012853475</v>
      </c>
      <c r="O801" s="3" t="str">
        <f>CONCATENATE(A801,"-",B801)</f>
        <v>492,1-Shaymin- Sky Forme</v>
      </c>
    </row>
    <row r="802" spans="1:15">
      <c r="A802" s="63">
        <v>492.2</v>
      </c>
      <c r="B802" s="2" t="s">
        <v>565</v>
      </c>
      <c r="C802" t="s">
        <v>25</v>
      </c>
      <c r="D802" s="22">
        <f>COUNTIF($C$2:$C$1168,Tabela1[[#This Row],[Type]])</f>
        <v>100</v>
      </c>
      <c r="E802" s="62" t="str">
        <f>IF(A802&lt;=151,"Kanto",IF(A802&lt;=251,"Johto",IF(A802&lt;=386,"Hoenn",IF(A802&lt;=493,"Sinnoh",IF(A802&lt;=649,"Unova",IF(A802&lt;=721,"Kalos",IF(A802&lt;=809,"Alola",IF(A802&lt;=905,"Galar","Paldea"))))))))</f>
        <v>Sinnoh</v>
      </c>
      <c r="F802" t="str">
        <f>IF(G802&gt;=600,"Lendário",IF(G802&gt;=500,"Forte","Normal"))</f>
        <v>Lendário</v>
      </c>
      <c r="G802" s="3">
        <f>G801</f>
        <v>600</v>
      </c>
      <c r="H802" s="3">
        <f>H801</f>
        <v>100</v>
      </c>
      <c r="I802" s="3">
        <f>I801</f>
        <v>103</v>
      </c>
      <c r="J802" s="3">
        <f>J801</f>
        <v>75</v>
      </c>
      <c r="K802" s="3">
        <f>K801</f>
        <v>120</v>
      </c>
      <c r="L802" s="3">
        <f>L801</f>
        <v>75</v>
      </c>
      <c r="M802" s="3">
        <f>M801</f>
        <v>127</v>
      </c>
      <c r="N802" s="3">
        <f>AVERAGE($I$2:$I$1168)</f>
        <v>78.907455012853475</v>
      </c>
      <c r="O802" s="3" t="str">
        <f>CONCATENATE(A802,"-",B802)</f>
        <v>492,2-Shaymin- Sky Forme</v>
      </c>
    </row>
    <row r="803" spans="1:15">
      <c r="A803" s="63">
        <v>493</v>
      </c>
      <c r="B803" s="2" t="s">
        <v>566</v>
      </c>
      <c r="C803" t="s">
        <v>42</v>
      </c>
      <c r="D803" s="22">
        <f>COUNTIF($C$2:$C$1168,Tabela1[[#This Row],[Type]])</f>
        <v>99</v>
      </c>
      <c r="E803" s="62" t="str">
        <f>IF(A803&lt;=151,"Kanto",IF(A803&lt;=251,"Johto",IF(A803&lt;=386,"Hoenn",IF(A803&lt;=493,"Sinnoh",IF(A803&lt;=649,"Unova",IF(A803&lt;=721,"Kalos",IF(A803&lt;=809,"Alola",IF(A803&lt;=905,"Galar","Paldea"))))))))</f>
        <v>Sinnoh</v>
      </c>
      <c r="F803" t="str">
        <f>IF(G803&gt;=600,"Lendário",IF(G803&gt;=500,"Forte","Normal"))</f>
        <v>Lendário</v>
      </c>
      <c r="G803" s="3">
        <v>720</v>
      </c>
      <c r="H803" s="3">
        <v>120</v>
      </c>
      <c r="I803" s="3">
        <v>120</v>
      </c>
      <c r="J803" s="3">
        <v>120</v>
      </c>
      <c r="K803" s="3">
        <v>120</v>
      </c>
      <c r="L803" s="3">
        <v>120</v>
      </c>
      <c r="M803" s="3">
        <v>120</v>
      </c>
      <c r="N803" s="3">
        <f>AVERAGE($I$2:$I$1168)</f>
        <v>78.907455012853475</v>
      </c>
      <c r="O803" s="3" t="str">
        <f>CONCATENATE(A803,"-",B803)</f>
        <v>493-Arceus</v>
      </c>
    </row>
    <row r="804" spans="1:15">
      <c r="A804" s="63">
        <v>493</v>
      </c>
      <c r="B804" s="2" t="str">
        <f>B803</f>
        <v>Arceus</v>
      </c>
      <c r="C804" t="s">
        <v>25</v>
      </c>
      <c r="D804" s="22">
        <f>COUNTIF($C$2:$C$1168,Tabela1[[#This Row],[Type]])</f>
        <v>100</v>
      </c>
      <c r="E804" s="62" t="str">
        <f>IF(A804&lt;=151,"Kanto",IF(A804&lt;=251,"Johto",IF(A804&lt;=386,"Hoenn",IF(A804&lt;=493,"Sinnoh",IF(A804&lt;=649,"Unova",IF(A804&lt;=721,"Kalos",IF(A804&lt;=809,"Alola",IF(A804&lt;=905,"Galar","Paldea"))))))))</f>
        <v>Sinnoh</v>
      </c>
      <c r="F804" t="str">
        <f>IF(G804&gt;=600,"Lendário",IF(G804&gt;=500,"Forte","Normal"))</f>
        <v>Lendário</v>
      </c>
      <c r="G804" s="3">
        <f>G803</f>
        <v>720</v>
      </c>
      <c r="H804" s="3">
        <f>H803</f>
        <v>120</v>
      </c>
      <c r="I804" s="3">
        <f>I803</f>
        <v>120</v>
      </c>
      <c r="J804" s="3">
        <f>J803</f>
        <v>120</v>
      </c>
      <c r="K804" s="3">
        <f>K803</f>
        <v>120</v>
      </c>
      <c r="L804" s="3">
        <f>L803</f>
        <v>120</v>
      </c>
      <c r="M804" s="3">
        <f>M803</f>
        <v>120</v>
      </c>
      <c r="N804" s="3">
        <f>AVERAGE($I$2:$I$1168)</f>
        <v>78.907455012853475</v>
      </c>
      <c r="O804" s="3" t="str">
        <f>CONCATENATE(A804,"-",B804)</f>
        <v>493-Arceus</v>
      </c>
    </row>
    <row r="805" spans="1:15">
      <c r="A805" s="63">
        <v>494</v>
      </c>
      <c r="B805" s="2" t="s">
        <v>567</v>
      </c>
      <c r="C805" t="s">
        <v>94</v>
      </c>
      <c r="D805" s="22">
        <f>COUNTIF($C$2:$C$1168,Tabela1[[#This Row],[Type]])</f>
        <v>83</v>
      </c>
      <c r="E805" s="62" t="str">
        <f>IF(A805&lt;=151,"Kanto",IF(A805&lt;=251,"Johto",IF(A805&lt;=386,"Hoenn",IF(A805&lt;=493,"Sinnoh",IF(A805&lt;=649,"Unova",IF(A805&lt;=721,"Kalos",IF(A805&lt;=809,"Alola",IF(A805&lt;=905,"Galar","Paldea"))))))))</f>
        <v>Unova</v>
      </c>
      <c r="F805" t="str">
        <f>IF(G805&gt;=600,"Lendário",IF(G805&gt;=500,"Forte","Normal"))</f>
        <v>Lendário</v>
      </c>
      <c r="G805" s="3">
        <v>600</v>
      </c>
      <c r="H805" s="3">
        <v>100</v>
      </c>
      <c r="I805" s="3">
        <v>100</v>
      </c>
      <c r="J805" s="3">
        <v>100</v>
      </c>
      <c r="K805" s="3">
        <v>100</v>
      </c>
      <c r="L805" s="3">
        <v>100</v>
      </c>
      <c r="M805" s="3">
        <v>100</v>
      </c>
      <c r="N805" s="3">
        <f>AVERAGE($I$2:$I$1168)</f>
        <v>78.907455012853475</v>
      </c>
      <c r="O805" s="3" t="str">
        <f>CONCATENATE(A805,"-",B805)</f>
        <v>494-Victini</v>
      </c>
    </row>
    <row r="806" spans="1:15">
      <c r="A806" s="63">
        <v>494</v>
      </c>
      <c r="B806" s="2" t="str">
        <f>B805</f>
        <v>Victini</v>
      </c>
      <c r="C806" t="s">
        <v>22</v>
      </c>
      <c r="D806" s="22">
        <f>COUNTIF($C$2:$C$1168,Tabela1[[#This Row],[Type]])</f>
        <v>62</v>
      </c>
      <c r="E806" s="62" t="str">
        <f>IF(A806&lt;=151,"Kanto",IF(A806&lt;=251,"Johto",IF(A806&lt;=386,"Hoenn",IF(A806&lt;=493,"Sinnoh",IF(A806&lt;=649,"Unova",IF(A806&lt;=721,"Kalos",IF(A806&lt;=809,"Alola",IF(A806&lt;=905,"Galar","Paldea"))))))))</f>
        <v>Unova</v>
      </c>
      <c r="F806" t="str">
        <f>IF(G806&gt;=600,"Lendário",IF(G806&gt;=500,"Forte","Normal"))</f>
        <v>Lendário</v>
      </c>
      <c r="G806" s="3">
        <f>G805</f>
        <v>600</v>
      </c>
      <c r="H806" s="3">
        <f>H805</f>
        <v>100</v>
      </c>
      <c r="I806" s="3">
        <f>I805</f>
        <v>100</v>
      </c>
      <c r="J806" s="3">
        <f>J805</f>
        <v>100</v>
      </c>
      <c r="K806" s="3">
        <f>K805</f>
        <v>100</v>
      </c>
      <c r="L806" s="3">
        <f>L805</f>
        <v>100</v>
      </c>
      <c r="M806" s="3">
        <f>M805</f>
        <v>100</v>
      </c>
      <c r="N806" s="3">
        <f>AVERAGE($I$2:$I$1168)</f>
        <v>78.907455012853475</v>
      </c>
      <c r="O806" s="3" t="str">
        <f>CONCATENATE(A806,"-",B806)</f>
        <v>494-Victini</v>
      </c>
    </row>
    <row r="807" spans="1:15">
      <c r="A807" s="63">
        <v>495</v>
      </c>
      <c r="B807" s="2" t="s">
        <v>568</v>
      </c>
      <c r="C807" t="s">
        <v>16</v>
      </c>
      <c r="D807" s="22">
        <f>COUNTIF($C$2:$C$1168,Tabela1[[#This Row],[Type]])</f>
        <v>93</v>
      </c>
      <c r="E807" s="62" t="str">
        <f>IF(A807&lt;=151,"Kanto",IF(A807&lt;=251,"Johto",IF(A807&lt;=386,"Hoenn",IF(A807&lt;=493,"Sinnoh",IF(A807&lt;=649,"Unova",IF(A807&lt;=721,"Kalos",IF(A807&lt;=809,"Alola",IF(A807&lt;=905,"Galar","Paldea"))))))))</f>
        <v>Unova</v>
      </c>
      <c r="F807" t="str">
        <f>IF(G807&gt;=600,"Lendário",IF(G807&gt;=500,"Forte","Normal"))</f>
        <v>Normal</v>
      </c>
      <c r="G807" s="3">
        <v>308</v>
      </c>
      <c r="H807" s="3">
        <v>45</v>
      </c>
      <c r="I807" s="3">
        <v>45</v>
      </c>
      <c r="J807" s="3">
        <v>55</v>
      </c>
      <c r="K807" s="3">
        <v>45</v>
      </c>
      <c r="L807" s="3">
        <v>55</v>
      </c>
      <c r="M807" s="3">
        <v>63</v>
      </c>
      <c r="N807" s="3">
        <f>AVERAGE($I$2:$I$1168)</f>
        <v>78.907455012853475</v>
      </c>
      <c r="O807" s="3" t="str">
        <f>CONCATENATE(A807,"-",B807)</f>
        <v>495-Snivy</v>
      </c>
    </row>
    <row r="808" spans="1:15">
      <c r="A808" s="63">
        <v>496</v>
      </c>
      <c r="B808" s="2" t="s">
        <v>569</v>
      </c>
      <c r="C808" t="s">
        <v>16</v>
      </c>
      <c r="D808" s="22">
        <f>COUNTIF($C$2:$C$1168,Tabela1[[#This Row],[Type]])</f>
        <v>93</v>
      </c>
      <c r="E808" s="62" t="str">
        <f>IF(A808&lt;=151,"Kanto",IF(A808&lt;=251,"Johto",IF(A808&lt;=386,"Hoenn",IF(A808&lt;=493,"Sinnoh",IF(A808&lt;=649,"Unova",IF(A808&lt;=721,"Kalos",IF(A808&lt;=809,"Alola",IF(A808&lt;=905,"Galar","Paldea"))))))))</f>
        <v>Unova</v>
      </c>
      <c r="F808" t="str">
        <f>IF(G808&gt;=600,"Lendário",IF(G808&gt;=500,"Forte","Normal"))</f>
        <v>Normal</v>
      </c>
      <c r="G808" s="3">
        <v>413</v>
      </c>
      <c r="H808" s="3">
        <v>60</v>
      </c>
      <c r="I808" s="3">
        <v>60</v>
      </c>
      <c r="J808" s="3">
        <v>75</v>
      </c>
      <c r="K808" s="3">
        <v>60</v>
      </c>
      <c r="L808" s="3">
        <v>75</v>
      </c>
      <c r="M808" s="3">
        <v>83</v>
      </c>
      <c r="N808" s="3">
        <f>AVERAGE($I$2:$I$1168)</f>
        <v>78.907455012853475</v>
      </c>
      <c r="O808" s="3" t="str">
        <f>CONCATENATE(A808,"-",B808)</f>
        <v>496-Servine</v>
      </c>
    </row>
    <row r="809" spans="1:15">
      <c r="A809" s="63">
        <v>497</v>
      </c>
      <c r="B809" s="2" t="s">
        <v>570</v>
      </c>
      <c r="C809" t="s">
        <v>16</v>
      </c>
      <c r="D809" s="22">
        <f>COUNTIF($C$2:$C$1168,Tabela1[[#This Row],[Type]])</f>
        <v>93</v>
      </c>
      <c r="E809" s="62" t="str">
        <f>IF(A809&lt;=151,"Kanto",IF(A809&lt;=251,"Johto",IF(A809&lt;=386,"Hoenn",IF(A809&lt;=493,"Sinnoh",IF(A809&lt;=649,"Unova",IF(A809&lt;=721,"Kalos",IF(A809&lt;=809,"Alola",IF(A809&lt;=905,"Galar","Paldea"))))))))</f>
        <v>Unova</v>
      </c>
      <c r="F809" t="str">
        <f>IF(G809&gt;=600,"Lendário",IF(G809&gt;=500,"Forte","Normal"))</f>
        <v>Forte</v>
      </c>
      <c r="G809" s="3">
        <v>528</v>
      </c>
      <c r="H809" s="3">
        <v>75</v>
      </c>
      <c r="I809" s="3">
        <v>75</v>
      </c>
      <c r="J809" s="3">
        <v>95</v>
      </c>
      <c r="K809" s="3">
        <v>75</v>
      </c>
      <c r="L809" s="3">
        <v>95</v>
      </c>
      <c r="M809" s="3">
        <v>113</v>
      </c>
      <c r="N809" s="3">
        <f>AVERAGE($I$2:$I$1168)</f>
        <v>78.907455012853475</v>
      </c>
      <c r="O809" s="3" t="str">
        <f>CONCATENATE(A809,"-",B809)</f>
        <v>497-Serperior</v>
      </c>
    </row>
    <row r="810" spans="1:15">
      <c r="A810" s="63">
        <v>498</v>
      </c>
      <c r="B810" s="2" t="s">
        <v>571</v>
      </c>
      <c r="C810" t="s">
        <v>22</v>
      </c>
      <c r="D810" s="22">
        <f>COUNTIF($C$2:$C$1168,Tabela1[[#This Row],[Type]])</f>
        <v>62</v>
      </c>
      <c r="E810" s="62" t="str">
        <f>IF(A810&lt;=151,"Kanto",IF(A810&lt;=251,"Johto",IF(A810&lt;=386,"Hoenn",IF(A810&lt;=493,"Sinnoh",IF(A810&lt;=649,"Unova",IF(A810&lt;=721,"Kalos",IF(A810&lt;=809,"Alola",IF(A810&lt;=905,"Galar","Paldea"))))))))</f>
        <v>Unova</v>
      </c>
      <c r="F810" t="str">
        <f>IF(G810&gt;=600,"Lendário",IF(G810&gt;=500,"Forte","Normal"))</f>
        <v>Normal</v>
      </c>
      <c r="G810" s="3">
        <v>308</v>
      </c>
      <c r="H810" s="3">
        <v>65</v>
      </c>
      <c r="I810" s="3">
        <v>63</v>
      </c>
      <c r="J810" s="3">
        <v>45</v>
      </c>
      <c r="K810" s="3">
        <v>45</v>
      </c>
      <c r="L810" s="3">
        <v>45</v>
      </c>
      <c r="M810" s="3">
        <v>45</v>
      </c>
      <c r="N810" s="3">
        <f>AVERAGE($I$2:$I$1168)</f>
        <v>78.907455012853475</v>
      </c>
      <c r="O810" s="3" t="str">
        <f>CONCATENATE(A810,"-",B810)</f>
        <v>498-Tepig</v>
      </c>
    </row>
    <row r="811" spans="1:15">
      <c r="A811" s="63">
        <v>499</v>
      </c>
      <c r="B811" s="2" t="s">
        <v>572</v>
      </c>
      <c r="C811" t="s">
        <v>22</v>
      </c>
      <c r="D811" s="22">
        <f>COUNTIF($C$2:$C$1168,Tabela1[[#This Row],[Type]])</f>
        <v>62</v>
      </c>
      <c r="E811" s="62" t="str">
        <f>IF(A811&lt;=151,"Kanto",IF(A811&lt;=251,"Johto",IF(A811&lt;=386,"Hoenn",IF(A811&lt;=493,"Sinnoh",IF(A811&lt;=649,"Unova",IF(A811&lt;=721,"Kalos",IF(A811&lt;=809,"Alola",IF(A811&lt;=905,"Galar","Paldea"))))))))</f>
        <v>Unova</v>
      </c>
      <c r="F811" t="str">
        <f>IF(G811&gt;=600,"Lendário",IF(G811&gt;=500,"Forte","Normal"))</f>
        <v>Normal</v>
      </c>
      <c r="G811" s="3">
        <v>418</v>
      </c>
      <c r="H811" s="3">
        <v>90</v>
      </c>
      <c r="I811" s="3">
        <v>93</v>
      </c>
      <c r="J811" s="3">
        <v>55</v>
      </c>
      <c r="K811" s="3">
        <v>70</v>
      </c>
      <c r="L811" s="3">
        <v>55</v>
      </c>
      <c r="M811" s="3">
        <v>55</v>
      </c>
      <c r="N811" s="3">
        <f>AVERAGE($I$2:$I$1168)</f>
        <v>78.907455012853475</v>
      </c>
      <c r="O811" s="3" t="str">
        <f>CONCATENATE(A811,"-",B811)</f>
        <v>499-Pignite</v>
      </c>
    </row>
    <row r="812" spans="1:15">
      <c r="A812" s="63">
        <v>499</v>
      </c>
      <c r="B812" s="2" t="str">
        <f>B811</f>
        <v>Pignite</v>
      </c>
      <c r="C812" t="s">
        <v>86</v>
      </c>
      <c r="D812" s="22">
        <f>COUNTIF($C$2:$C$1168,Tabela1[[#This Row],[Type]])</f>
        <v>51</v>
      </c>
      <c r="E812" s="62" t="str">
        <f>IF(A812&lt;=151,"Kanto",IF(A812&lt;=251,"Johto",IF(A812&lt;=386,"Hoenn",IF(A812&lt;=493,"Sinnoh",IF(A812&lt;=649,"Unova",IF(A812&lt;=721,"Kalos",IF(A812&lt;=809,"Alola",IF(A812&lt;=905,"Galar","Paldea"))))))))</f>
        <v>Unova</v>
      </c>
      <c r="F812" t="str">
        <f>IF(G812&gt;=600,"Lendário",IF(G812&gt;=500,"Forte","Normal"))</f>
        <v>Normal</v>
      </c>
      <c r="G812" s="3">
        <f>G811</f>
        <v>418</v>
      </c>
      <c r="H812" s="3">
        <f>H811</f>
        <v>90</v>
      </c>
      <c r="I812" s="3">
        <f>I811</f>
        <v>93</v>
      </c>
      <c r="J812" s="3">
        <f>J811</f>
        <v>55</v>
      </c>
      <c r="K812" s="3">
        <f>K811</f>
        <v>70</v>
      </c>
      <c r="L812" s="3">
        <f>L811</f>
        <v>55</v>
      </c>
      <c r="M812" s="3">
        <f>M811</f>
        <v>55</v>
      </c>
      <c r="N812" s="3">
        <f>AVERAGE($I$2:$I$1168)</f>
        <v>78.907455012853475</v>
      </c>
      <c r="O812" s="3" t="str">
        <f>CONCATENATE(A812,"-",B812)</f>
        <v>499-Pignite</v>
      </c>
    </row>
    <row r="813" spans="1:15">
      <c r="A813" s="63">
        <v>500</v>
      </c>
      <c r="B813" s="2" t="s">
        <v>573</v>
      </c>
      <c r="C813" t="s">
        <v>22</v>
      </c>
      <c r="D813" s="22">
        <f>COUNTIF($C$2:$C$1168,Tabela1[[#This Row],[Type]])</f>
        <v>62</v>
      </c>
      <c r="E813" s="62" t="str">
        <f>IF(A813&lt;=151,"Kanto",IF(A813&lt;=251,"Johto",IF(A813&lt;=386,"Hoenn",IF(A813&lt;=493,"Sinnoh",IF(A813&lt;=649,"Unova",IF(A813&lt;=721,"Kalos",IF(A813&lt;=809,"Alola",IF(A813&lt;=905,"Galar","Paldea"))))))))</f>
        <v>Unova</v>
      </c>
      <c r="F813" t="str">
        <f>IF(G813&gt;=600,"Lendário",IF(G813&gt;=500,"Forte","Normal"))</f>
        <v>Forte</v>
      </c>
      <c r="G813" s="3">
        <v>528</v>
      </c>
      <c r="H813" s="3">
        <v>110</v>
      </c>
      <c r="I813" s="3">
        <v>123</v>
      </c>
      <c r="J813" s="3">
        <v>65</v>
      </c>
      <c r="K813" s="3">
        <v>100</v>
      </c>
      <c r="L813" s="3">
        <v>65</v>
      </c>
      <c r="M813" s="3">
        <v>65</v>
      </c>
      <c r="N813" s="3">
        <f>AVERAGE($I$2:$I$1168)</f>
        <v>78.907455012853475</v>
      </c>
      <c r="O813" s="3" t="str">
        <f>CONCATENATE(A813,"-",B813)</f>
        <v>500-Emboar</v>
      </c>
    </row>
    <row r="814" spans="1:15">
      <c r="A814" s="63">
        <v>500</v>
      </c>
      <c r="B814" s="2" t="str">
        <f>B813</f>
        <v>Emboar</v>
      </c>
      <c r="C814" t="s">
        <v>86</v>
      </c>
      <c r="D814" s="22">
        <f>COUNTIF($C$2:$C$1168,Tabela1[[#This Row],[Type]])</f>
        <v>51</v>
      </c>
      <c r="E814" s="62" t="str">
        <f>IF(A814&lt;=151,"Kanto",IF(A814&lt;=251,"Johto",IF(A814&lt;=386,"Hoenn",IF(A814&lt;=493,"Sinnoh",IF(A814&lt;=649,"Unova",IF(A814&lt;=721,"Kalos",IF(A814&lt;=809,"Alola",IF(A814&lt;=905,"Galar","Paldea"))))))))</f>
        <v>Unova</v>
      </c>
      <c r="F814" t="str">
        <f>IF(G814&gt;=600,"Lendário",IF(G814&gt;=500,"Forte","Normal"))</f>
        <v>Forte</v>
      </c>
      <c r="G814" s="3">
        <f>G813</f>
        <v>528</v>
      </c>
      <c r="H814" s="3">
        <f>H813</f>
        <v>110</v>
      </c>
      <c r="I814" s="3">
        <f>I813</f>
        <v>123</v>
      </c>
      <c r="J814" s="3">
        <f>J813</f>
        <v>65</v>
      </c>
      <c r="K814" s="3">
        <f>K813</f>
        <v>100</v>
      </c>
      <c r="L814" s="3">
        <f>L813</f>
        <v>65</v>
      </c>
      <c r="M814" s="3">
        <f>M813</f>
        <v>65</v>
      </c>
      <c r="N814" s="3">
        <f>AVERAGE($I$2:$I$1168)</f>
        <v>78.907455012853475</v>
      </c>
      <c r="O814" s="3" t="str">
        <f>CONCATENATE(A814,"-",B814)</f>
        <v>500-Emboar</v>
      </c>
    </row>
    <row r="815" spans="1:15">
      <c r="A815" s="63">
        <v>501</v>
      </c>
      <c r="B815" s="2" t="s">
        <v>574</v>
      </c>
      <c r="C815" t="s">
        <v>30</v>
      </c>
      <c r="D815" s="22">
        <f>COUNTIF($C$2:$C$1168,Tabela1[[#This Row],[Type]])</f>
        <v>121</v>
      </c>
      <c r="E815" s="62" t="str">
        <f>IF(A815&lt;=151,"Kanto",IF(A815&lt;=251,"Johto",IF(A815&lt;=386,"Hoenn",IF(A815&lt;=493,"Sinnoh",IF(A815&lt;=649,"Unova",IF(A815&lt;=721,"Kalos",IF(A815&lt;=809,"Alola",IF(A815&lt;=905,"Galar","Paldea"))))))))</f>
        <v>Unova</v>
      </c>
      <c r="F815" t="str">
        <f>IF(G815&gt;=600,"Lendário",IF(G815&gt;=500,"Forte","Normal"))</f>
        <v>Normal</v>
      </c>
      <c r="G815" s="3">
        <v>308</v>
      </c>
      <c r="H815" s="3">
        <v>55</v>
      </c>
      <c r="I815" s="3">
        <v>55</v>
      </c>
      <c r="J815" s="3">
        <v>45</v>
      </c>
      <c r="K815" s="3">
        <v>63</v>
      </c>
      <c r="L815" s="3">
        <v>45</v>
      </c>
      <c r="M815" s="3">
        <v>45</v>
      </c>
      <c r="N815" s="3">
        <f>AVERAGE($I$2:$I$1168)</f>
        <v>78.907455012853475</v>
      </c>
      <c r="O815" s="3" t="str">
        <f>CONCATENATE(A815,"-",B815)</f>
        <v>501-Oshawott</v>
      </c>
    </row>
    <row r="816" spans="1:15">
      <c r="A816" s="63">
        <v>502</v>
      </c>
      <c r="B816" s="2" t="s">
        <v>575</v>
      </c>
      <c r="C816" t="s">
        <v>30</v>
      </c>
      <c r="D816" s="22">
        <f>COUNTIF($C$2:$C$1168,Tabela1[[#This Row],[Type]])</f>
        <v>121</v>
      </c>
      <c r="E816" s="62" t="str">
        <f>IF(A816&lt;=151,"Kanto",IF(A816&lt;=251,"Johto",IF(A816&lt;=386,"Hoenn",IF(A816&lt;=493,"Sinnoh",IF(A816&lt;=649,"Unova",IF(A816&lt;=721,"Kalos",IF(A816&lt;=809,"Alola",IF(A816&lt;=905,"Galar","Paldea"))))))))</f>
        <v>Unova</v>
      </c>
      <c r="F816" t="str">
        <f>IF(G816&gt;=600,"Lendário",IF(G816&gt;=500,"Forte","Normal"))</f>
        <v>Normal</v>
      </c>
      <c r="G816" s="3">
        <v>413</v>
      </c>
      <c r="H816" s="3">
        <v>75</v>
      </c>
      <c r="I816" s="3">
        <v>75</v>
      </c>
      <c r="J816" s="3">
        <v>60</v>
      </c>
      <c r="K816" s="3">
        <v>83</v>
      </c>
      <c r="L816" s="3">
        <v>60</v>
      </c>
      <c r="M816" s="3">
        <v>60</v>
      </c>
      <c r="N816" s="3">
        <f>AVERAGE($I$2:$I$1168)</f>
        <v>78.907455012853475</v>
      </c>
      <c r="O816" s="3" t="str">
        <f>CONCATENATE(A816,"-",B816)</f>
        <v>502-Dewott</v>
      </c>
    </row>
    <row r="817" spans="1:15">
      <c r="A817" s="63">
        <v>503</v>
      </c>
      <c r="B817" s="2" t="s">
        <v>576</v>
      </c>
      <c r="C817" t="s">
        <v>30</v>
      </c>
      <c r="D817" s="22">
        <f>COUNTIF($C$2:$C$1168,Tabela1[[#This Row],[Type]])</f>
        <v>121</v>
      </c>
      <c r="E817" s="62" t="str">
        <f>IF(A817&lt;=151,"Kanto",IF(A817&lt;=251,"Johto",IF(A817&lt;=386,"Hoenn",IF(A817&lt;=493,"Sinnoh",IF(A817&lt;=649,"Unova",IF(A817&lt;=721,"Kalos",IF(A817&lt;=809,"Alola",IF(A817&lt;=905,"Galar","Paldea"))))))))</f>
        <v>Unova</v>
      </c>
      <c r="F817" t="str">
        <f>IF(G817&gt;=600,"Lendário",IF(G817&gt;=500,"Forte","Normal"))</f>
        <v>Forte</v>
      </c>
      <c r="G817" s="3">
        <v>528</v>
      </c>
      <c r="H817" s="3">
        <v>95</v>
      </c>
      <c r="I817" s="3">
        <v>100</v>
      </c>
      <c r="J817" s="3">
        <v>85</v>
      </c>
      <c r="K817" s="3">
        <v>108</v>
      </c>
      <c r="L817" s="3">
        <v>70</v>
      </c>
      <c r="M817" s="3">
        <v>70</v>
      </c>
      <c r="N817" s="3">
        <f>AVERAGE($I$2:$I$1168)</f>
        <v>78.907455012853475</v>
      </c>
      <c r="O817" s="3" t="str">
        <f>CONCATENATE(A817,"-",B817)</f>
        <v>503-Samurott</v>
      </c>
    </row>
    <row r="818" spans="1:15">
      <c r="A818" s="63">
        <v>504</v>
      </c>
      <c r="B818" s="2" t="s">
        <v>577</v>
      </c>
      <c r="C818" t="s">
        <v>42</v>
      </c>
      <c r="D818" s="22">
        <f>COUNTIF($C$2:$C$1168,Tabela1[[#This Row],[Type]])</f>
        <v>99</v>
      </c>
      <c r="E818" s="62" t="str">
        <f>IF(A818&lt;=151,"Kanto",IF(A818&lt;=251,"Johto",IF(A818&lt;=386,"Hoenn",IF(A818&lt;=493,"Sinnoh",IF(A818&lt;=649,"Unova",IF(A818&lt;=721,"Kalos",IF(A818&lt;=809,"Alola",IF(A818&lt;=905,"Galar","Paldea"))))))))</f>
        <v>Unova</v>
      </c>
      <c r="F818" t="str">
        <f>IF(G818&gt;=600,"Lendário",IF(G818&gt;=500,"Forte","Normal"))</f>
        <v>Normal</v>
      </c>
      <c r="G818" s="3">
        <v>255</v>
      </c>
      <c r="H818" s="3">
        <v>45</v>
      </c>
      <c r="I818" s="3">
        <v>55</v>
      </c>
      <c r="J818" s="3">
        <v>39</v>
      </c>
      <c r="K818" s="3">
        <v>35</v>
      </c>
      <c r="L818" s="3">
        <v>39</v>
      </c>
      <c r="M818" s="3">
        <v>42</v>
      </c>
      <c r="N818" s="3">
        <f>AVERAGE($I$2:$I$1168)</f>
        <v>78.907455012853475</v>
      </c>
      <c r="O818" s="3" t="str">
        <f>CONCATENATE(A818,"-",B818)</f>
        <v>504-Patrat</v>
      </c>
    </row>
    <row r="819" spans="1:15">
      <c r="A819" s="63">
        <v>505</v>
      </c>
      <c r="B819" s="2" t="s">
        <v>578</v>
      </c>
      <c r="C819" t="s">
        <v>42</v>
      </c>
      <c r="D819" s="22">
        <f>COUNTIF($C$2:$C$1168,Tabela1[[#This Row],[Type]])</f>
        <v>99</v>
      </c>
      <c r="E819" s="62" t="str">
        <f>IF(A819&lt;=151,"Kanto",IF(A819&lt;=251,"Johto",IF(A819&lt;=386,"Hoenn",IF(A819&lt;=493,"Sinnoh",IF(A819&lt;=649,"Unova",IF(A819&lt;=721,"Kalos",IF(A819&lt;=809,"Alola",IF(A819&lt;=905,"Galar","Paldea"))))))))</f>
        <v>Unova</v>
      </c>
      <c r="F819" t="str">
        <f>IF(G819&gt;=600,"Lendário",IF(G819&gt;=500,"Forte","Normal"))</f>
        <v>Normal</v>
      </c>
      <c r="G819" s="3">
        <v>420</v>
      </c>
      <c r="H819" s="3">
        <v>60</v>
      </c>
      <c r="I819" s="3">
        <v>85</v>
      </c>
      <c r="J819" s="3">
        <v>69</v>
      </c>
      <c r="K819" s="3">
        <v>60</v>
      </c>
      <c r="L819" s="3">
        <v>69</v>
      </c>
      <c r="M819" s="3">
        <v>77</v>
      </c>
      <c r="N819" s="3">
        <f>AVERAGE($I$2:$I$1168)</f>
        <v>78.907455012853475</v>
      </c>
      <c r="O819" s="3" t="str">
        <f>CONCATENATE(A819,"-",B819)</f>
        <v>505-Watchog</v>
      </c>
    </row>
    <row r="820" spans="1:15">
      <c r="A820" s="63">
        <v>506</v>
      </c>
      <c r="B820" s="2" t="s">
        <v>579</v>
      </c>
      <c r="C820" t="s">
        <v>42</v>
      </c>
      <c r="D820" s="22">
        <f>COUNTIF($C$2:$C$1168,Tabela1[[#This Row],[Type]])</f>
        <v>99</v>
      </c>
      <c r="E820" s="62" t="str">
        <f>IF(A820&lt;=151,"Kanto",IF(A820&lt;=251,"Johto",IF(A820&lt;=386,"Hoenn",IF(A820&lt;=493,"Sinnoh",IF(A820&lt;=649,"Unova",IF(A820&lt;=721,"Kalos",IF(A820&lt;=809,"Alola",IF(A820&lt;=905,"Galar","Paldea"))))))))</f>
        <v>Unova</v>
      </c>
      <c r="F820" t="str">
        <f>IF(G820&gt;=600,"Lendário",IF(G820&gt;=500,"Forte","Normal"))</f>
        <v>Normal</v>
      </c>
      <c r="G820" s="3">
        <v>275</v>
      </c>
      <c r="H820" s="3">
        <v>45</v>
      </c>
      <c r="I820" s="3">
        <v>60</v>
      </c>
      <c r="J820" s="3">
        <v>45</v>
      </c>
      <c r="K820" s="3">
        <v>25</v>
      </c>
      <c r="L820" s="3">
        <v>45</v>
      </c>
      <c r="M820" s="3">
        <v>55</v>
      </c>
      <c r="N820" s="3">
        <f>AVERAGE($I$2:$I$1168)</f>
        <v>78.907455012853475</v>
      </c>
      <c r="O820" s="3" t="str">
        <f>CONCATENATE(A820,"-",B820)</f>
        <v>506-Lillipup</v>
      </c>
    </row>
    <row r="821" spans="1:15">
      <c r="A821" s="63">
        <v>507</v>
      </c>
      <c r="B821" s="2" t="s">
        <v>580</v>
      </c>
      <c r="C821" t="s">
        <v>42</v>
      </c>
      <c r="D821" s="22">
        <f>COUNTIF($C$2:$C$1168,Tabela1[[#This Row],[Type]])</f>
        <v>99</v>
      </c>
      <c r="E821" s="62" t="str">
        <f>IF(A821&lt;=151,"Kanto",IF(A821&lt;=251,"Johto",IF(A821&lt;=386,"Hoenn",IF(A821&lt;=493,"Sinnoh",IF(A821&lt;=649,"Unova",IF(A821&lt;=721,"Kalos",IF(A821&lt;=809,"Alola",IF(A821&lt;=905,"Galar","Paldea"))))))))</f>
        <v>Unova</v>
      </c>
      <c r="F821" t="str">
        <f>IF(G821&gt;=600,"Lendário",IF(G821&gt;=500,"Forte","Normal"))</f>
        <v>Normal</v>
      </c>
      <c r="G821" s="3">
        <v>370</v>
      </c>
      <c r="H821" s="3">
        <v>65</v>
      </c>
      <c r="I821" s="3">
        <v>80</v>
      </c>
      <c r="J821" s="3">
        <v>65</v>
      </c>
      <c r="K821" s="3">
        <v>35</v>
      </c>
      <c r="L821" s="3">
        <v>65</v>
      </c>
      <c r="M821" s="3">
        <v>60</v>
      </c>
      <c r="N821" s="3">
        <f>AVERAGE($I$2:$I$1168)</f>
        <v>78.907455012853475</v>
      </c>
      <c r="O821" s="3" t="str">
        <f>CONCATENATE(A821,"-",B821)</f>
        <v>507-Herdier</v>
      </c>
    </row>
    <row r="822" spans="1:15">
      <c r="A822" s="63">
        <v>507</v>
      </c>
      <c r="B822" s="2" t="str">
        <f>B821</f>
        <v>Herdier</v>
      </c>
      <c r="C822" t="s">
        <v>25</v>
      </c>
      <c r="D822" s="22">
        <f>COUNTIF($C$2:$C$1168,Tabela1[[#This Row],[Type]])</f>
        <v>100</v>
      </c>
      <c r="E822" s="62" t="str">
        <f>IF(A822&lt;=151,"Kanto",IF(A822&lt;=251,"Johto",IF(A822&lt;=386,"Hoenn",IF(A822&lt;=493,"Sinnoh",IF(A822&lt;=649,"Unova",IF(A822&lt;=721,"Kalos",IF(A822&lt;=809,"Alola",IF(A822&lt;=905,"Galar","Paldea"))))))))</f>
        <v>Unova</v>
      </c>
      <c r="F822" t="str">
        <f>IF(G822&gt;=600,"Lendário",IF(G822&gt;=500,"Forte","Normal"))</f>
        <v>Normal</v>
      </c>
      <c r="G822" s="3">
        <f>G821</f>
        <v>370</v>
      </c>
      <c r="H822" s="3">
        <f>H821</f>
        <v>65</v>
      </c>
      <c r="I822" s="3">
        <f>I821</f>
        <v>80</v>
      </c>
      <c r="J822" s="3">
        <f>J821</f>
        <v>65</v>
      </c>
      <c r="K822" s="3">
        <f>K821</f>
        <v>35</v>
      </c>
      <c r="L822" s="3">
        <f>L821</f>
        <v>65</v>
      </c>
      <c r="M822" s="3">
        <f>M821</f>
        <v>60</v>
      </c>
      <c r="N822" s="3">
        <f>AVERAGE($I$2:$I$1168)</f>
        <v>78.907455012853475</v>
      </c>
      <c r="O822" s="3" t="str">
        <f>CONCATENATE(A822,"-",B822)</f>
        <v>507-Herdier</v>
      </c>
    </row>
    <row r="823" spans="1:15">
      <c r="A823" s="63">
        <v>507</v>
      </c>
      <c r="B823" s="2" t="str">
        <f>B822</f>
        <v>Herdier</v>
      </c>
      <c r="C823" t="s">
        <v>64</v>
      </c>
      <c r="D823" s="22">
        <f>COUNTIF($C$2:$C$1168,Tabela1[[#This Row],[Type]])</f>
        <v>34</v>
      </c>
      <c r="E823" s="62" t="str">
        <f>IF(A823&lt;=151,"Kanto",IF(A823&lt;=251,"Johto",IF(A823&lt;=386,"Hoenn",IF(A823&lt;=493,"Sinnoh",IF(A823&lt;=649,"Unova",IF(A823&lt;=721,"Kalos",IF(A823&lt;=809,"Alola",IF(A823&lt;=905,"Galar","Paldea"))))))))</f>
        <v>Unova</v>
      </c>
      <c r="F823" t="str">
        <f>IF(G823&gt;=600,"Lendário",IF(G823&gt;=500,"Forte","Normal"))</f>
        <v>Normal</v>
      </c>
      <c r="G823" s="3">
        <f>G822</f>
        <v>370</v>
      </c>
      <c r="H823" s="3">
        <f>H822</f>
        <v>65</v>
      </c>
      <c r="I823" s="3">
        <f>I822</f>
        <v>80</v>
      </c>
      <c r="J823" s="3">
        <f>J822</f>
        <v>65</v>
      </c>
      <c r="K823" s="3">
        <f>K822</f>
        <v>35</v>
      </c>
      <c r="L823" s="3">
        <f>L822</f>
        <v>65</v>
      </c>
      <c r="M823" s="3">
        <f>M822</f>
        <v>60</v>
      </c>
      <c r="N823" s="3">
        <f>AVERAGE($I$2:$I$1168)</f>
        <v>78.907455012853475</v>
      </c>
      <c r="O823" s="3" t="str">
        <f>CONCATENATE(A823,"-",B823)</f>
        <v>507-Herdier</v>
      </c>
    </row>
    <row r="824" spans="1:15">
      <c r="A824" s="63">
        <v>507</v>
      </c>
      <c r="B824" s="2" t="str">
        <f>B823</f>
        <v>Herdier</v>
      </c>
      <c r="C824" t="s">
        <v>25</v>
      </c>
      <c r="D824" s="22">
        <f>COUNTIF($C$2:$C$1168,Tabela1[[#This Row],[Type]])</f>
        <v>100</v>
      </c>
      <c r="E824" s="62" t="str">
        <f>IF(A824&lt;=151,"Kanto",IF(A824&lt;=251,"Johto",IF(A824&lt;=386,"Hoenn",IF(A824&lt;=493,"Sinnoh",IF(A824&lt;=649,"Unova",IF(A824&lt;=721,"Kalos",IF(A824&lt;=809,"Alola",IF(A824&lt;=905,"Galar","Paldea"))))))))</f>
        <v>Unova</v>
      </c>
      <c r="F824" t="str">
        <f>IF(G824&gt;=600,"Lendário",IF(G824&gt;=500,"Forte","Normal"))</f>
        <v>Normal</v>
      </c>
      <c r="G824" s="3">
        <f>G823</f>
        <v>370</v>
      </c>
      <c r="H824" s="3">
        <f>H823</f>
        <v>65</v>
      </c>
      <c r="I824" s="3">
        <f>I823</f>
        <v>80</v>
      </c>
      <c r="J824" s="3">
        <f>J823</f>
        <v>65</v>
      </c>
      <c r="K824" s="3">
        <f>K823</f>
        <v>35</v>
      </c>
      <c r="L824" s="3">
        <f>L823</f>
        <v>65</v>
      </c>
      <c r="M824" s="3">
        <f>M823</f>
        <v>60</v>
      </c>
      <c r="N824" s="3">
        <f>AVERAGE($I$2:$I$1168)</f>
        <v>78.907455012853475</v>
      </c>
      <c r="O824" s="3" t="str">
        <f>CONCATENATE(A824,"-",B824)</f>
        <v>507-Herdier</v>
      </c>
    </row>
    <row r="825" spans="1:15">
      <c r="A825" s="63">
        <v>508</v>
      </c>
      <c r="B825" s="2" t="s">
        <v>581</v>
      </c>
      <c r="C825" t="s">
        <v>42</v>
      </c>
      <c r="D825" s="22">
        <f>COUNTIF($C$2:$C$1168,Tabela1[[#This Row],[Type]])</f>
        <v>99</v>
      </c>
      <c r="E825" s="62" t="str">
        <f>IF(A825&lt;=151,"Kanto",IF(A825&lt;=251,"Johto",IF(A825&lt;=386,"Hoenn",IF(A825&lt;=493,"Sinnoh",IF(A825&lt;=649,"Unova",IF(A825&lt;=721,"Kalos",IF(A825&lt;=809,"Alola",IF(A825&lt;=905,"Galar","Paldea"))))))))</f>
        <v>Unova</v>
      </c>
      <c r="F825" t="str">
        <f>IF(G825&gt;=600,"Lendário",IF(G825&gt;=500,"Forte","Normal"))</f>
        <v>Normal</v>
      </c>
      <c r="G825" s="3">
        <v>490</v>
      </c>
      <c r="H825" s="3">
        <v>85</v>
      </c>
      <c r="I825" s="3">
        <v>100</v>
      </c>
      <c r="J825" s="3">
        <v>90</v>
      </c>
      <c r="K825" s="3">
        <v>45</v>
      </c>
      <c r="L825" s="3">
        <v>90</v>
      </c>
      <c r="M825" s="3">
        <v>80</v>
      </c>
      <c r="N825" s="3">
        <f>AVERAGE($I$2:$I$1168)</f>
        <v>78.907455012853475</v>
      </c>
      <c r="O825" s="3" t="str">
        <f>CONCATENATE(A825,"-",B825)</f>
        <v>508-Stoutland</v>
      </c>
    </row>
    <row r="826" spans="1:15">
      <c r="A826" s="63">
        <v>508</v>
      </c>
      <c r="B826" s="2" t="s">
        <v>582</v>
      </c>
      <c r="C826" t="s">
        <v>94</v>
      </c>
      <c r="D826" s="22">
        <f>COUNTIF($C$2:$C$1168,Tabela1[[#This Row],[Type]])</f>
        <v>83</v>
      </c>
      <c r="E826" s="62" t="str">
        <f>IF(A826&lt;=151,"Kanto",IF(A826&lt;=251,"Johto",IF(A826&lt;=386,"Hoenn",IF(A826&lt;=493,"Sinnoh",IF(A826&lt;=649,"Unova",IF(A826&lt;=721,"Kalos",IF(A826&lt;=809,"Alola",IF(A826&lt;=905,"Galar","Paldea"))))))))</f>
        <v>Unova</v>
      </c>
      <c r="F826" t="str">
        <f>IF(G826&gt;=600,"Lendário",IF(G826&gt;=500,"Forte","Normal"))</f>
        <v>Normal</v>
      </c>
      <c r="G826" s="3">
        <f>G825</f>
        <v>490</v>
      </c>
      <c r="H826" s="3">
        <f>H825</f>
        <v>85</v>
      </c>
      <c r="I826" s="3">
        <f>I825</f>
        <v>100</v>
      </c>
      <c r="J826" s="3">
        <f>J825</f>
        <v>90</v>
      </c>
      <c r="K826" s="3">
        <f>K825</f>
        <v>45</v>
      </c>
      <c r="L826" s="3">
        <f>L825</f>
        <v>90</v>
      </c>
      <c r="M826" s="3">
        <f>M825</f>
        <v>80</v>
      </c>
      <c r="N826" s="3">
        <f>AVERAGE($I$2:$I$1168)</f>
        <v>78.907455012853475</v>
      </c>
      <c r="O826" s="3" t="str">
        <f>CONCATENATE(A826,"-",B826)</f>
        <v>508-Meloetta- Aria Forme</v>
      </c>
    </row>
    <row r="827" spans="1:15">
      <c r="A827" s="63">
        <v>509</v>
      </c>
      <c r="B827" s="2" t="s">
        <v>583</v>
      </c>
      <c r="C827" t="s">
        <v>170</v>
      </c>
      <c r="D827" s="22">
        <f>COUNTIF($C$2:$C$1168,Tabela1[[#This Row],[Type]])</f>
        <v>49</v>
      </c>
      <c r="E827" s="62" t="str">
        <f>IF(A827&lt;=151,"Kanto",IF(A827&lt;=251,"Johto",IF(A827&lt;=386,"Hoenn",IF(A827&lt;=493,"Sinnoh",IF(A827&lt;=649,"Unova",IF(A827&lt;=721,"Kalos",IF(A827&lt;=809,"Alola",IF(A827&lt;=905,"Galar","Paldea"))))))))</f>
        <v>Unova</v>
      </c>
      <c r="F827" t="str">
        <f>IF(G827&gt;=600,"Lendário",IF(G827&gt;=500,"Forte","Normal"))</f>
        <v>Normal</v>
      </c>
      <c r="G827" s="3">
        <v>281</v>
      </c>
      <c r="H827" s="3">
        <v>41</v>
      </c>
      <c r="I827" s="3">
        <v>50</v>
      </c>
      <c r="J827" s="3">
        <v>37</v>
      </c>
      <c r="K827" s="3">
        <v>50</v>
      </c>
      <c r="L827" s="3">
        <v>37</v>
      </c>
      <c r="M827" s="3">
        <v>66</v>
      </c>
      <c r="N827" s="3">
        <f>AVERAGE($I$2:$I$1168)</f>
        <v>78.907455012853475</v>
      </c>
      <c r="O827" s="3" t="str">
        <f>CONCATENATE(A827,"-",B827)</f>
        <v>509-Purrloin</v>
      </c>
    </row>
    <row r="828" spans="1:15">
      <c r="A828" s="63">
        <v>510</v>
      </c>
      <c r="B828" s="2" t="s">
        <v>584</v>
      </c>
      <c r="C828" t="s">
        <v>170</v>
      </c>
      <c r="D828" s="22">
        <f>COUNTIF($C$2:$C$1168,Tabela1[[#This Row],[Type]])</f>
        <v>49</v>
      </c>
      <c r="E828" s="62" t="str">
        <f>IF(A828&lt;=151,"Kanto",IF(A828&lt;=251,"Johto",IF(A828&lt;=386,"Hoenn",IF(A828&lt;=493,"Sinnoh",IF(A828&lt;=649,"Unova",IF(A828&lt;=721,"Kalos",IF(A828&lt;=809,"Alola",IF(A828&lt;=905,"Galar","Paldea"))))))))</f>
        <v>Unova</v>
      </c>
      <c r="F828" t="str">
        <f>IF(G828&gt;=600,"Lendário",IF(G828&gt;=500,"Forte","Normal"))</f>
        <v>Normal</v>
      </c>
      <c r="G828" s="3">
        <v>446</v>
      </c>
      <c r="H828" s="3">
        <v>64</v>
      </c>
      <c r="I828" s="3">
        <v>88</v>
      </c>
      <c r="J828" s="3">
        <v>50</v>
      </c>
      <c r="K828" s="3">
        <v>88</v>
      </c>
      <c r="L828" s="3">
        <v>50</v>
      </c>
      <c r="M828" s="3">
        <v>106</v>
      </c>
      <c r="N828" s="3">
        <f>AVERAGE($I$2:$I$1168)</f>
        <v>78.907455012853475</v>
      </c>
      <c r="O828" s="3" t="str">
        <f>CONCATENATE(A828,"-",B828)</f>
        <v>510-Liepard</v>
      </c>
    </row>
    <row r="829" spans="1:15">
      <c r="A829" s="63">
        <v>511</v>
      </c>
      <c r="B829" s="2" t="s">
        <v>585</v>
      </c>
      <c r="C829" t="s">
        <v>16</v>
      </c>
      <c r="D829" s="22">
        <f>COUNTIF($C$2:$C$1168,Tabela1[[#This Row],[Type]])</f>
        <v>93</v>
      </c>
      <c r="E829" s="62" t="str">
        <f>IF(A829&lt;=151,"Kanto",IF(A829&lt;=251,"Johto",IF(A829&lt;=386,"Hoenn",IF(A829&lt;=493,"Sinnoh",IF(A829&lt;=649,"Unova",IF(A829&lt;=721,"Kalos",IF(A829&lt;=809,"Alola",IF(A829&lt;=905,"Galar","Paldea"))))))))</f>
        <v>Unova</v>
      </c>
      <c r="F829" t="str">
        <f>IF(G829&gt;=600,"Lendário",IF(G829&gt;=500,"Forte","Normal"))</f>
        <v>Normal</v>
      </c>
      <c r="G829" s="3">
        <v>316</v>
      </c>
      <c r="H829" s="3">
        <v>50</v>
      </c>
      <c r="I829" s="3">
        <v>53</v>
      </c>
      <c r="J829" s="3">
        <v>48</v>
      </c>
      <c r="K829" s="3">
        <v>53</v>
      </c>
      <c r="L829" s="3">
        <v>48</v>
      </c>
      <c r="M829" s="3">
        <v>64</v>
      </c>
      <c r="N829" s="3">
        <f>AVERAGE($I$2:$I$1168)</f>
        <v>78.907455012853475</v>
      </c>
      <c r="O829" s="3" t="str">
        <f>CONCATENATE(A829,"-",B829)</f>
        <v>511-Pansage</v>
      </c>
    </row>
    <row r="830" spans="1:15">
      <c r="A830" s="63">
        <v>512</v>
      </c>
      <c r="B830" s="2" t="s">
        <v>586</v>
      </c>
      <c r="C830" t="s">
        <v>16</v>
      </c>
      <c r="D830" s="22">
        <f>COUNTIF($C$2:$C$1168,Tabela1[[#This Row],[Type]])</f>
        <v>93</v>
      </c>
      <c r="E830" s="62" t="str">
        <f>IF(A830&lt;=151,"Kanto",IF(A830&lt;=251,"Johto",IF(A830&lt;=386,"Hoenn",IF(A830&lt;=493,"Sinnoh",IF(A830&lt;=649,"Unova",IF(A830&lt;=721,"Kalos",IF(A830&lt;=809,"Alola",IF(A830&lt;=905,"Galar","Paldea"))))))))</f>
        <v>Unova</v>
      </c>
      <c r="F830" t="str">
        <f>IF(G830&gt;=600,"Lendário",IF(G830&gt;=500,"Forte","Normal"))</f>
        <v>Normal</v>
      </c>
      <c r="G830" s="3">
        <v>498</v>
      </c>
      <c r="H830" s="3">
        <v>75</v>
      </c>
      <c r="I830" s="3">
        <v>98</v>
      </c>
      <c r="J830" s="3">
        <v>63</v>
      </c>
      <c r="K830" s="3">
        <v>98</v>
      </c>
      <c r="L830" s="3">
        <v>63</v>
      </c>
      <c r="M830" s="3">
        <v>101</v>
      </c>
      <c r="N830" s="3">
        <f>AVERAGE($I$2:$I$1168)</f>
        <v>78.907455012853475</v>
      </c>
      <c r="O830" s="3" t="str">
        <f>CONCATENATE(A830,"-",B830)</f>
        <v>512-Simisage</v>
      </c>
    </row>
    <row r="831" spans="1:15">
      <c r="A831" s="63">
        <v>513</v>
      </c>
      <c r="B831" s="2" t="s">
        <v>587</v>
      </c>
      <c r="C831" t="s">
        <v>22</v>
      </c>
      <c r="D831" s="22">
        <f>COUNTIF($C$2:$C$1168,Tabela1[[#This Row],[Type]])</f>
        <v>62</v>
      </c>
      <c r="E831" s="62" t="str">
        <f>IF(A831&lt;=151,"Kanto",IF(A831&lt;=251,"Johto",IF(A831&lt;=386,"Hoenn",IF(A831&lt;=493,"Sinnoh",IF(A831&lt;=649,"Unova",IF(A831&lt;=721,"Kalos",IF(A831&lt;=809,"Alola",IF(A831&lt;=905,"Galar","Paldea"))))))))</f>
        <v>Unova</v>
      </c>
      <c r="F831" t="str">
        <f>IF(G831&gt;=600,"Lendário",IF(G831&gt;=500,"Forte","Normal"))</f>
        <v>Normal</v>
      </c>
      <c r="G831" s="3">
        <v>316</v>
      </c>
      <c r="H831" s="3">
        <v>50</v>
      </c>
      <c r="I831" s="3">
        <v>53</v>
      </c>
      <c r="J831" s="3">
        <v>48</v>
      </c>
      <c r="K831" s="3">
        <v>53</v>
      </c>
      <c r="L831" s="3">
        <v>48</v>
      </c>
      <c r="M831" s="3">
        <v>64</v>
      </c>
      <c r="N831" s="3">
        <f>AVERAGE($I$2:$I$1168)</f>
        <v>78.907455012853475</v>
      </c>
      <c r="O831" s="3" t="str">
        <f>CONCATENATE(A831,"-",B831)</f>
        <v>513-Pansear</v>
      </c>
    </row>
    <row r="832" spans="1:15">
      <c r="A832" s="63">
        <v>514</v>
      </c>
      <c r="B832" s="2" t="s">
        <v>588</v>
      </c>
      <c r="C832" t="s">
        <v>22</v>
      </c>
      <c r="D832" s="22">
        <f>COUNTIF($C$2:$C$1168,Tabela1[[#This Row],[Type]])</f>
        <v>62</v>
      </c>
      <c r="E832" s="62" t="str">
        <f>IF(A832&lt;=151,"Kanto",IF(A832&lt;=251,"Johto",IF(A832&lt;=386,"Hoenn",IF(A832&lt;=493,"Sinnoh",IF(A832&lt;=649,"Unova",IF(A832&lt;=721,"Kalos",IF(A832&lt;=809,"Alola",IF(A832&lt;=905,"Galar","Paldea"))))))))</f>
        <v>Unova</v>
      </c>
      <c r="F832" t="str">
        <f>IF(G832&gt;=600,"Lendário",IF(G832&gt;=500,"Forte","Normal"))</f>
        <v>Normal</v>
      </c>
      <c r="G832" s="3">
        <v>498</v>
      </c>
      <c r="H832" s="3">
        <v>75</v>
      </c>
      <c r="I832" s="3">
        <v>98</v>
      </c>
      <c r="J832" s="3">
        <v>63</v>
      </c>
      <c r="K832" s="3">
        <v>98</v>
      </c>
      <c r="L832" s="3">
        <v>63</v>
      </c>
      <c r="M832" s="3">
        <v>101</v>
      </c>
      <c r="N832" s="3">
        <f>AVERAGE($I$2:$I$1168)</f>
        <v>78.907455012853475</v>
      </c>
      <c r="O832" s="3" t="str">
        <f>CONCATENATE(A832,"-",B832)</f>
        <v>514-Simisear</v>
      </c>
    </row>
    <row r="833" spans="1:15">
      <c r="A833" s="63">
        <v>515</v>
      </c>
      <c r="B833" s="2" t="s">
        <v>589</v>
      </c>
      <c r="C833" t="s">
        <v>30</v>
      </c>
      <c r="D833" s="22">
        <f>COUNTIF($C$2:$C$1168,Tabela1[[#This Row],[Type]])</f>
        <v>121</v>
      </c>
      <c r="E833" s="62" t="str">
        <f>IF(A833&lt;=151,"Kanto",IF(A833&lt;=251,"Johto",IF(A833&lt;=386,"Hoenn",IF(A833&lt;=493,"Sinnoh",IF(A833&lt;=649,"Unova",IF(A833&lt;=721,"Kalos",IF(A833&lt;=809,"Alola",IF(A833&lt;=905,"Galar","Paldea"))))))))</f>
        <v>Unova</v>
      </c>
      <c r="F833" t="str">
        <f>IF(G833&gt;=600,"Lendário",IF(G833&gt;=500,"Forte","Normal"))</f>
        <v>Normal</v>
      </c>
      <c r="G833" s="3">
        <v>316</v>
      </c>
      <c r="H833" s="3">
        <v>50</v>
      </c>
      <c r="I833" s="3">
        <v>53</v>
      </c>
      <c r="J833" s="3">
        <v>48</v>
      </c>
      <c r="K833" s="3">
        <v>53</v>
      </c>
      <c r="L833" s="3">
        <v>48</v>
      </c>
      <c r="M833" s="3">
        <v>64</v>
      </c>
      <c r="N833" s="3">
        <f>AVERAGE($I$2:$I$1168)</f>
        <v>78.907455012853475</v>
      </c>
      <c r="O833" s="3" t="str">
        <f>CONCATENATE(A833,"-",B833)</f>
        <v>515-Panpour</v>
      </c>
    </row>
    <row r="834" spans="1:15">
      <c r="A834" s="63">
        <v>516</v>
      </c>
      <c r="B834" s="2" t="s">
        <v>590</v>
      </c>
      <c r="C834" t="s">
        <v>30</v>
      </c>
      <c r="D834" s="22">
        <f>COUNTIF($C$2:$C$1168,Tabela1[[#This Row],[Type]])</f>
        <v>121</v>
      </c>
      <c r="E834" s="62" t="str">
        <f>IF(A834&lt;=151,"Kanto",IF(A834&lt;=251,"Johto",IF(A834&lt;=386,"Hoenn",IF(A834&lt;=493,"Sinnoh",IF(A834&lt;=649,"Unova",IF(A834&lt;=721,"Kalos",IF(A834&lt;=809,"Alola",IF(A834&lt;=905,"Galar","Paldea"))))))))</f>
        <v>Unova</v>
      </c>
      <c r="F834" t="str">
        <f>IF(G834&gt;=600,"Lendário",IF(G834&gt;=500,"Forte","Normal"))</f>
        <v>Normal</v>
      </c>
      <c r="G834" s="3">
        <v>498</v>
      </c>
      <c r="H834" s="3">
        <v>75</v>
      </c>
      <c r="I834" s="3">
        <v>98</v>
      </c>
      <c r="J834" s="3">
        <v>63</v>
      </c>
      <c r="K834" s="3">
        <v>98</v>
      </c>
      <c r="L834" s="3">
        <v>63</v>
      </c>
      <c r="M834" s="3">
        <v>101</v>
      </c>
      <c r="N834" s="3">
        <f>AVERAGE($I$2:$I$1168)</f>
        <v>78.907455012853475</v>
      </c>
      <c r="O834" s="3" t="str">
        <f>CONCATENATE(A834,"-",B834)</f>
        <v>516-Simipour</v>
      </c>
    </row>
    <row r="835" spans="1:15">
      <c r="A835" s="63">
        <v>517</v>
      </c>
      <c r="B835" s="2" t="s">
        <v>591</v>
      </c>
      <c r="C835" t="s">
        <v>94</v>
      </c>
      <c r="D835" s="22">
        <f>COUNTIF($C$2:$C$1168,Tabela1[[#This Row],[Type]])</f>
        <v>83</v>
      </c>
      <c r="E835" s="62" t="str">
        <f>IF(A835&lt;=151,"Kanto",IF(A835&lt;=251,"Johto",IF(A835&lt;=386,"Hoenn",IF(A835&lt;=493,"Sinnoh",IF(A835&lt;=649,"Unova",IF(A835&lt;=721,"Kalos",IF(A835&lt;=809,"Alola",IF(A835&lt;=905,"Galar","Paldea"))))))))</f>
        <v>Unova</v>
      </c>
      <c r="F835" t="str">
        <f>IF(G835&gt;=600,"Lendário",IF(G835&gt;=500,"Forte","Normal"))</f>
        <v>Normal</v>
      </c>
      <c r="G835" s="3">
        <v>292</v>
      </c>
      <c r="H835" s="3">
        <v>76</v>
      </c>
      <c r="I835" s="3">
        <v>25</v>
      </c>
      <c r="J835" s="3">
        <v>45</v>
      </c>
      <c r="K835" s="3">
        <v>67</v>
      </c>
      <c r="L835" s="3">
        <v>55</v>
      </c>
      <c r="M835" s="3">
        <v>24</v>
      </c>
      <c r="N835" s="3">
        <f>AVERAGE($I$2:$I$1168)</f>
        <v>78.907455012853475</v>
      </c>
      <c r="O835" s="3" t="str">
        <f>CONCATENATE(A835,"-",B835)</f>
        <v>517-Munna</v>
      </c>
    </row>
    <row r="836" spans="1:15">
      <c r="A836" s="63">
        <v>518</v>
      </c>
      <c r="B836" s="2" t="s">
        <v>592</v>
      </c>
      <c r="C836" t="s">
        <v>94</v>
      </c>
      <c r="D836" s="22">
        <f>COUNTIF($C$2:$C$1168,Tabela1[[#This Row],[Type]])</f>
        <v>83</v>
      </c>
      <c r="E836" s="62" t="str">
        <f>IF(A836&lt;=151,"Kanto",IF(A836&lt;=251,"Johto",IF(A836&lt;=386,"Hoenn",IF(A836&lt;=493,"Sinnoh",IF(A836&lt;=649,"Unova",IF(A836&lt;=721,"Kalos",IF(A836&lt;=809,"Alola",IF(A836&lt;=905,"Galar","Paldea"))))))))</f>
        <v>Unova</v>
      </c>
      <c r="F836" t="str">
        <f>IF(G836&gt;=600,"Lendário",IF(G836&gt;=500,"Forte","Normal"))</f>
        <v>Normal</v>
      </c>
      <c r="G836" s="3">
        <v>487</v>
      </c>
      <c r="H836" s="3">
        <v>116</v>
      </c>
      <c r="I836" s="3">
        <v>55</v>
      </c>
      <c r="J836" s="3">
        <v>85</v>
      </c>
      <c r="K836" s="3">
        <v>107</v>
      </c>
      <c r="L836" s="3">
        <v>95</v>
      </c>
      <c r="M836" s="3">
        <v>29</v>
      </c>
      <c r="N836" s="3">
        <f>AVERAGE($I$2:$I$1168)</f>
        <v>78.907455012853475</v>
      </c>
      <c r="O836" s="3" t="str">
        <f>CONCATENATE(A836,"-",B836)</f>
        <v>518-Musharna</v>
      </c>
    </row>
    <row r="837" spans="1:15">
      <c r="A837" s="63">
        <v>518</v>
      </c>
      <c r="B837" s="2" t="str">
        <f>B836</f>
        <v>Musharna</v>
      </c>
      <c r="C837" t="s">
        <v>42</v>
      </c>
      <c r="D837" s="22">
        <f>COUNTIF($C$2:$C$1168,Tabela1[[#This Row],[Type]])</f>
        <v>99</v>
      </c>
      <c r="E837" s="62" t="str">
        <f>IF(A837&lt;=151,"Kanto",IF(A837&lt;=251,"Johto",IF(A837&lt;=386,"Hoenn",IF(A837&lt;=493,"Sinnoh",IF(A837&lt;=649,"Unova",IF(A837&lt;=721,"Kalos",IF(A837&lt;=809,"Alola",IF(A837&lt;=905,"Galar","Paldea"))))))))</f>
        <v>Unova</v>
      </c>
      <c r="F837" t="str">
        <f>IF(G837&gt;=600,"Lendário",IF(G837&gt;=500,"Forte","Normal"))</f>
        <v>Normal</v>
      </c>
      <c r="G837" s="3">
        <f>G836</f>
        <v>487</v>
      </c>
      <c r="H837" s="3">
        <f>H836</f>
        <v>116</v>
      </c>
      <c r="I837" s="3">
        <f>I836</f>
        <v>55</v>
      </c>
      <c r="J837" s="3">
        <f>J836</f>
        <v>85</v>
      </c>
      <c r="K837" s="3">
        <f>K836</f>
        <v>107</v>
      </c>
      <c r="L837" s="3">
        <f>L836</f>
        <v>95</v>
      </c>
      <c r="M837" s="3">
        <f>M836</f>
        <v>29</v>
      </c>
      <c r="N837" s="3">
        <f>AVERAGE($I$2:$I$1168)</f>
        <v>78.907455012853475</v>
      </c>
      <c r="O837" s="3" t="str">
        <f>CONCATENATE(A837,"-",B837)</f>
        <v>518-Musharna</v>
      </c>
    </row>
    <row r="838" spans="1:15">
      <c r="A838" s="63">
        <v>518</v>
      </c>
      <c r="B838" s="2" t="str">
        <f>B837</f>
        <v>Musharna</v>
      </c>
      <c r="C838" t="s">
        <v>25</v>
      </c>
      <c r="D838" s="22">
        <f>COUNTIF($C$2:$C$1168,Tabela1[[#This Row],[Type]])</f>
        <v>100</v>
      </c>
      <c r="E838" s="62" t="str">
        <f>IF(A838&lt;=151,"Kanto",IF(A838&lt;=251,"Johto",IF(A838&lt;=386,"Hoenn",IF(A838&lt;=493,"Sinnoh",IF(A838&lt;=649,"Unova",IF(A838&lt;=721,"Kalos",IF(A838&lt;=809,"Alola",IF(A838&lt;=905,"Galar","Paldea"))))))))</f>
        <v>Unova</v>
      </c>
      <c r="F838" t="str">
        <f>IF(G838&gt;=600,"Lendário",IF(G838&gt;=500,"Forte","Normal"))</f>
        <v>Normal</v>
      </c>
      <c r="G838" s="3">
        <f>G837</f>
        <v>487</v>
      </c>
      <c r="H838" s="3">
        <f>H837</f>
        <v>116</v>
      </c>
      <c r="I838" s="3">
        <f>I837</f>
        <v>55</v>
      </c>
      <c r="J838" s="3">
        <f>J837</f>
        <v>85</v>
      </c>
      <c r="K838" s="3">
        <f>K837</f>
        <v>107</v>
      </c>
      <c r="L838" s="3">
        <f>L837</f>
        <v>95</v>
      </c>
      <c r="M838" s="3">
        <f>M837</f>
        <v>29</v>
      </c>
      <c r="N838" s="3">
        <f>AVERAGE($I$2:$I$1168)</f>
        <v>78.907455012853475</v>
      </c>
      <c r="O838" s="3" t="str">
        <f>CONCATENATE(A838,"-",B838)</f>
        <v>518-Musharna</v>
      </c>
    </row>
    <row r="839" spans="1:15">
      <c r="A839" s="63">
        <v>519</v>
      </c>
      <c r="B839" s="2" t="s">
        <v>593</v>
      </c>
      <c r="C839" t="s">
        <v>42</v>
      </c>
      <c r="D839" s="22">
        <f>COUNTIF($C$2:$C$1168,Tabela1[[#This Row],[Type]])</f>
        <v>99</v>
      </c>
      <c r="E839" s="62" t="str">
        <f>IF(A839&lt;=151,"Kanto",IF(A839&lt;=251,"Johto",IF(A839&lt;=386,"Hoenn",IF(A839&lt;=493,"Sinnoh",IF(A839&lt;=649,"Unova",IF(A839&lt;=721,"Kalos",IF(A839&lt;=809,"Alola",IF(A839&lt;=905,"Galar","Paldea"))))))))</f>
        <v>Unova</v>
      </c>
      <c r="F839" t="str">
        <f>IF(G839&gt;=600,"Lendário",IF(G839&gt;=500,"Forte","Normal"))</f>
        <v>Normal</v>
      </c>
      <c r="G839" s="3">
        <v>264</v>
      </c>
      <c r="H839" s="3">
        <v>50</v>
      </c>
      <c r="I839" s="3">
        <v>55</v>
      </c>
      <c r="J839" s="3">
        <v>50</v>
      </c>
      <c r="K839" s="3">
        <v>36</v>
      </c>
      <c r="L839" s="3">
        <v>30</v>
      </c>
      <c r="M839" s="3">
        <v>43</v>
      </c>
      <c r="N839" s="3">
        <f>AVERAGE($I$2:$I$1168)</f>
        <v>78.907455012853475</v>
      </c>
      <c r="O839" s="3" t="str">
        <f>CONCATENATE(A839,"-",B839)</f>
        <v>519-Pidove</v>
      </c>
    </row>
    <row r="840" spans="1:15">
      <c r="A840" s="63">
        <v>520</v>
      </c>
      <c r="B840" s="2" t="s">
        <v>594</v>
      </c>
      <c r="C840" t="s">
        <v>42</v>
      </c>
      <c r="D840" s="22">
        <f>COUNTIF($C$2:$C$1168,Tabela1[[#This Row],[Type]])</f>
        <v>99</v>
      </c>
      <c r="E840" s="62" t="str">
        <f>IF(A840&lt;=151,"Kanto",IF(A840&lt;=251,"Johto",IF(A840&lt;=386,"Hoenn",IF(A840&lt;=493,"Sinnoh",IF(A840&lt;=649,"Unova",IF(A840&lt;=721,"Kalos",IF(A840&lt;=809,"Alola",IF(A840&lt;=905,"Galar","Paldea"))))))))</f>
        <v>Unova</v>
      </c>
      <c r="F840" t="str">
        <f>IF(G840&gt;=600,"Lendário",IF(G840&gt;=500,"Forte","Normal"))</f>
        <v>Normal</v>
      </c>
      <c r="G840" s="3">
        <v>358</v>
      </c>
      <c r="H840" s="3">
        <v>62</v>
      </c>
      <c r="I840" s="3">
        <v>77</v>
      </c>
      <c r="J840" s="3">
        <v>62</v>
      </c>
      <c r="K840" s="3">
        <v>50</v>
      </c>
      <c r="L840" s="3">
        <v>42</v>
      </c>
      <c r="M840" s="3">
        <v>65</v>
      </c>
      <c r="N840" s="3">
        <f>AVERAGE($I$2:$I$1168)</f>
        <v>78.907455012853475</v>
      </c>
      <c r="O840" s="3" t="str">
        <f>CONCATENATE(A840,"-",B840)</f>
        <v>520-Tranquill</v>
      </c>
    </row>
    <row r="841" spans="1:15">
      <c r="A841" s="63">
        <v>521</v>
      </c>
      <c r="B841" s="2" t="s">
        <v>595</v>
      </c>
      <c r="C841" t="s">
        <v>42</v>
      </c>
      <c r="D841" s="22">
        <f>COUNTIF($C$2:$C$1168,Tabela1[[#This Row],[Type]])</f>
        <v>99</v>
      </c>
      <c r="E841" s="62" t="str">
        <f>IF(A841&lt;=151,"Kanto",IF(A841&lt;=251,"Johto",IF(A841&lt;=386,"Hoenn",IF(A841&lt;=493,"Sinnoh",IF(A841&lt;=649,"Unova",IF(A841&lt;=721,"Kalos",IF(A841&lt;=809,"Alola",IF(A841&lt;=905,"Galar","Paldea"))))))))</f>
        <v>Unova</v>
      </c>
      <c r="F841" t="str">
        <f>IF(G841&gt;=600,"Lendário",IF(G841&gt;=500,"Forte","Normal"))</f>
        <v>Normal</v>
      </c>
      <c r="G841" s="3">
        <v>478</v>
      </c>
      <c r="H841" s="3">
        <v>80</v>
      </c>
      <c r="I841" s="3">
        <v>105</v>
      </c>
      <c r="J841" s="3">
        <v>80</v>
      </c>
      <c r="K841" s="3">
        <v>65</v>
      </c>
      <c r="L841" s="3">
        <v>55</v>
      </c>
      <c r="M841" s="3">
        <v>93</v>
      </c>
      <c r="N841" s="3">
        <f>AVERAGE($I$2:$I$1168)</f>
        <v>78.907455012853475</v>
      </c>
      <c r="O841" s="3" t="str">
        <f>CONCATENATE(A841,"-",B841)</f>
        <v>521-Unfezant</v>
      </c>
    </row>
    <row r="842" spans="1:15">
      <c r="A842" s="63">
        <v>522</v>
      </c>
      <c r="B842" s="2" t="s">
        <v>596</v>
      </c>
      <c r="C842" t="s">
        <v>52</v>
      </c>
      <c r="D842" s="22">
        <f>COUNTIF($C$2:$C$1168,Tabela1[[#This Row],[Type]])</f>
        <v>51</v>
      </c>
      <c r="E842" s="62" t="str">
        <f>IF(A842&lt;=151,"Kanto",IF(A842&lt;=251,"Johto",IF(A842&lt;=386,"Hoenn",IF(A842&lt;=493,"Sinnoh",IF(A842&lt;=649,"Unova",IF(A842&lt;=721,"Kalos",IF(A842&lt;=809,"Alola",IF(A842&lt;=905,"Galar","Paldea"))))))))</f>
        <v>Unova</v>
      </c>
      <c r="F842" t="str">
        <f>IF(G842&gt;=600,"Lendário",IF(G842&gt;=500,"Forte","Normal"))</f>
        <v>Normal</v>
      </c>
      <c r="G842" s="3">
        <v>295</v>
      </c>
      <c r="H842" s="3">
        <v>45</v>
      </c>
      <c r="I842" s="3">
        <v>60</v>
      </c>
      <c r="J842" s="3">
        <v>32</v>
      </c>
      <c r="K842" s="3">
        <v>50</v>
      </c>
      <c r="L842" s="3">
        <v>32</v>
      </c>
      <c r="M842" s="3">
        <v>76</v>
      </c>
      <c r="N842" s="3">
        <f>AVERAGE($I$2:$I$1168)</f>
        <v>78.907455012853475</v>
      </c>
      <c r="O842" s="3" t="str">
        <f>CONCATENATE(A842,"-",B842)</f>
        <v>522-Blitzle</v>
      </c>
    </row>
    <row r="843" spans="1:15">
      <c r="A843" s="63">
        <v>523</v>
      </c>
      <c r="B843" s="2" t="s">
        <v>597</v>
      </c>
      <c r="C843" t="s">
        <v>52</v>
      </c>
      <c r="D843" s="22">
        <f>COUNTIF($C$2:$C$1168,Tabela1[[#This Row],[Type]])</f>
        <v>51</v>
      </c>
      <c r="E843" s="62" t="str">
        <f>IF(A843&lt;=151,"Kanto",IF(A843&lt;=251,"Johto",IF(A843&lt;=386,"Hoenn",IF(A843&lt;=493,"Sinnoh",IF(A843&lt;=649,"Unova",IF(A843&lt;=721,"Kalos",IF(A843&lt;=809,"Alola",IF(A843&lt;=905,"Galar","Paldea"))))))))</f>
        <v>Unova</v>
      </c>
      <c r="F843" t="str">
        <f>IF(G843&gt;=600,"Lendário",IF(G843&gt;=500,"Forte","Normal"))</f>
        <v>Normal</v>
      </c>
      <c r="G843" s="3">
        <v>497</v>
      </c>
      <c r="H843" s="3">
        <v>75</v>
      </c>
      <c r="I843" s="3">
        <v>100</v>
      </c>
      <c r="J843" s="3">
        <v>63</v>
      </c>
      <c r="K843" s="3">
        <v>80</v>
      </c>
      <c r="L843" s="3">
        <v>63</v>
      </c>
      <c r="M843" s="3">
        <v>116</v>
      </c>
      <c r="N843" s="3">
        <f>AVERAGE($I$2:$I$1168)</f>
        <v>78.907455012853475</v>
      </c>
      <c r="O843" s="3" t="str">
        <f>CONCATENATE(A843,"-",B843)</f>
        <v>523-Zebstrika</v>
      </c>
    </row>
    <row r="844" spans="1:15">
      <c r="A844" s="63">
        <v>524</v>
      </c>
      <c r="B844" s="2" t="s">
        <v>598</v>
      </c>
      <c r="C844" t="s">
        <v>107</v>
      </c>
      <c r="D844" s="22">
        <f>COUNTIF($C$2:$C$1168,Tabela1[[#This Row],[Type]])</f>
        <v>56</v>
      </c>
      <c r="E844" s="62" t="str">
        <f>IF(A844&lt;=151,"Kanto",IF(A844&lt;=251,"Johto",IF(A844&lt;=386,"Hoenn",IF(A844&lt;=493,"Sinnoh",IF(A844&lt;=649,"Unova",IF(A844&lt;=721,"Kalos",IF(A844&lt;=809,"Alola",IF(A844&lt;=905,"Galar","Paldea"))))))))</f>
        <v>Unova</v>
      </c>
      <c r="F844" t="str">
        <f>IF(G844&gt;=600,"Lendário",IF(G844&gt;=500,"Forte","Normal"))</f>
        <v>Normal</v>
      </c>
      <c r="G844" s="3">
        <v>280</v>
      </c>
      <c r="H844" s="3">
        <v>55</v>
      </c>
      <c r="I844" s="3">
        <v>75</v>
      </c>
      <c r="J844" s="3">
        <v>85</v>
      </c>
      <c r="K844" s="3">
        <v>25</v>
      </c>
      <c r="L844" s="3">
        <v>25</v>
      </c>
      <c r="M844" s="3">
        <v>15</v>
      </c>
      <c r="N844" s="3">
        <f>AVERAGE($I$2:$I$1168)</f>
        <v>78.907455012853475</v>
      </c>
      <c r="O844" s="3" t="str">
        <f>CONCATENATE(A844,"-",B844)</f>
        <v>524-Roggenrola</v>
      </c>
    </row>
    <row r="845" spans="1:15">
      <c r="A845" s="63">
        <v>525</v>
      </c>
      <c r="B845" s="2" t="s">
        <v>599</v>
      </c>
      <c r="C845" t="s">
        <v>107</v>
      </c>
      <c r="D845" s="22">
        <f>COUNTIF($C$2:$C$1168,Tabela1[[#This Row],[Type]])</f>
        <v>56</v>
      </c>
      <c r="E845" s="62" t="str">
        <f>IF(A845&lt;=151,"Kanto",IF(A845&lt;=251,"Johto",IF(A845&lt;=386,"Hoenn",IF(A845&lt;=493,"Sinnoh",IF(A845&lt;=649,"Unova",IF(A845&lt;=721,"Kalos",IF(A845&lt;=809,"Alola",IF(A845&lt;=905,"Galar","Paldea"))))))))</f>
        <v>Unova</v>
      </c>
      <c r="F845" t="str">
        <f>IF(G845&gt;=600,"Lendário",IF(G845&gt;=500,"Forte","Normal"))</f>
        <v>Normal</v>
      </c>
      <c r="G845" s="3">
        <v>390</v>
      </c>
      <c r="H845" s="3">
        <v>70</v>
      </c>
      <c r="I845" s="3">
        <v>105</v>
      </c>
      <c r="J845" s="3">
        <v>105</v>
      </c>
      <c r="K845" s="3">
        <v>50</v>
      </c>
      <c r="L845" s="3">
        <v>40</v>
      </c>
      <c r="M845" s="3">
        <v>20</v>
      </c>
      <c r="N845" s="3">
        <f>AVERAGE($I$2:$I$1168)</f>
        <v>78.907455012853475</v>
      </c>
      <c r="O845" s="3" t="str">
        <f>CONCATENATE(A845,"-",B845)</f>
        <v>525-Boldore</v>
      </c>
    </row>
    <row r="846" spans="1:15">
      <c r="A846" s="63">
        <v>526</v>
      </c>
      <c r="B846" s="2" t="s">
        <v>600</v>
      </c>
      <c r="C846" t="s">
        <v>107</v>
      </c>
      <c r="D846" s="22">
        <f>COUNTIF($C$2:$C$1168,Tabela1[[#This Row],[Type]])</f>
        <v>56</v>
      </c>
      <c r="E846" s="62" t="str">
        <f>IF(A846&lt;=151,"Kanto",IF(A846&lt;=251,"Johto",IF(A846&lt;=386,"Hoenn",IF(A846&lt;=493,"Sinnoh",IF(A846&lt;=649,"Unova",IF(A846&lt;=721,"Kalos",IF(A846&lt;=809,"Alola",IF(A846&lt;=905,"Galar","Paldea"))))))))</f>
        <v>Unova</v>
      </c>
      <c r="F846" t="str">
        <f>IF(G846&gt;=600,"Lendário",IF(G846&gt;=500,"Forte","Normal"))</f>
        <v>Forte</v>
      </c>
      <c r="G846" s="3">
        <v>505</v>
      </c>
      <c r="H846" s="3">
        <v>85</v>
      </c>
      <c r="I846" s="3">
        <v>135</v>
      </c>
      <c r="J846" s="3">
        <v>130</v>
      </c>
      <c r="K846" s="3">
        <v>60</v>
      </c>
      <c r="L846" s="3">
        <v>70</v>
      </c>
      <c r="M846" s="3">
        <v>25</v>
      </c>
      <c r="N846" s="3">
        <f>AVERAGE($I$2:$I$1168)</f>
        <v>78.907455012853475</v>
      </c>
      <c r="O846" s="3" t="str">
        <f>CONCATENATE(A846,"-",B846)</f>
        <v>526-Gigalith</v>
      </c>
    </row>
    <row r="847" spans="1:15">
      <c r="A847" s="63">
        <v>527</v>
      </c>
      <c r="B847" s="2" t="s">
        <v>601</v>
      </c>
      <c r="C847" t="s">
        <v>94</v>
      </c>
      <c r="D847" s="22">
        <f>COUNTIF($C$2:$C$1168,Tabela1[[#This Row],[Type]])</f>
        <v>83</v>
      </c>
      <c r="E847" s="62" t="str">
        <f>IF(A847&lt;=151,"Kanto",IF(A847&lt;=251,"Johto",IF(A847&lt;=386,"Hoenn",IF(A847&lt;=493,"Sinnoh",IF(A847&lt;=649,"Unova",IF(A847&lt;=721,"Kalos",IF(A847&lt;=809,"Alola",IF(A847&lt;=905,"Galar","Paldea"))))))))</f>
        <v>Unova</v>
      </c>
      <c r="F847" t="str">
        <f>IF(G847&gt;=600,"Lendário",IF(G847&gt;=500,"Forte","Normal"))</f>
        <v>Normal</v>
      </c>
      <c r="G847" s="3">
        <v>313</v>
      </c>
      <c r="H847" s="3">
        <v>55</v>
      </c>
      <c r="I847" s="3">
        <v>45</v>
      </c>
      <c r="J847" s="3">
        <v>43</v>
      </c>
      <c r="K847" s="3">
        <v>55</v>
      </c>
      <c r="L847" s="3">
        <v>43</v>
      </c>
      <c r="M847" s="3">
        <v>72</v>
      </c>
      <c r="N847" s="3">
        <f>AVERAGE($I$2:$I$1168)</f>
        <v>78.907455012853475</v>
      </c>
      <c r="O847" s="3" t="str">
        <f>CONCATENATE(A847,"-",B847)</f>
        <v>527-Woobat</v>
      </c>
    </row>
    <row r="848" spans="1:15">
      <c r="A848" s="63">
        <v>527</v>
      </c>
      <c r="B848" s="2" t="str">
        <f>B847</f>
        <v>Woobat</v>
      </c>
      <c r="C848" t="s">
        <v>25</v>
      </c>
      <c r="D848" s="22">
        <f>COUNTIF($C$2:$C$1168,Tabela1[[#This Row],[Type]])</f>
        <v>100</v>
      </c>
      <c r="E848" s="62" t="str">
        <f>IF(A848&lt;=151,"Kanto",IF(A848&lt;=251,"Johto",IF(A848&lt;=386,"Hoenn",IF(A848&lt;=493,"Sinnoh",IF(A848&lt;=649,"Unova",IF(A848&lt;=721,"Kalos",IF(A848&lt;=809,"Alola",IF(A848&lt;=905,"Galar","Paldea"))))))))</f>
        <v>Unova</v>
      </c>
      <c r="F848" t="str">
        <f>IF(G848&gt;=600,"Lendário",IF(G848&gt;=500,"Forte","Normal"))</f>
        <v>Normal</v>
      </c>
      <c r="G848" s="3">
        <f>G847</f>
        <v>313</v>
      </c>
      <c r="H848" s="3">
        <f>H847</f>
        <v>55</v>
      </c>
      <c r="I848" s="3">
        <f>I847</f>
        <v>45</v>
      </c>
      <c r="J848" s="3">
        <f>J847</f>
        <v>43</v>
      </c>
      <c r="K848" s="3">
        <f>K847</f>
        <v>55</v>
      </c>
      <c r="L848" s="3">
        <f>L847</f>
        <v>43</v>
      </c>
      <c r="M848" s="3">
        <f>M847</f>
        <v>72</v>
      </c>
      <c r="N848" s="3">
        <f>AVERAGE($I$2:$I$1168)</f>
        <v>78.907455012853475</v>
      </c>
      <c r="O848" s="3" t="str">
        <f>CONCATENATE(A848,"-",B848)</f>
        <v>527-Woobat</v>
      </c>
    </row>
    <row r="849" spans="1:15">
      <c r="A849" s="63">
        <v>528</v>
      </c>
      <c r="B849" s="2" t="s">
        <v>602</v>
      </c>
      <c r="C849" t="s">
        <v>94</v>
      </c>
      <c r="D849" s="22">
        <f>COUNTIF($C$2:$C$1168,Tabela1[[#This Row],[Type]])</f>
        <v>83</v>
      </c>
      <c r="E849" s="62" t="str">
        <f>IF(A849&lt;=151,"Kanto",IF(A849&lt;=251,"Johto",IF(A849&lt;=386,"Hoenn",IF(A849&lt;=493,"Sinnoh",IF(A849&lt;=649,"Unova",IF(A849&lt;=721,"Kalos",IF(A849&lt;=809,"Alola",IF(A849&lt;=905,"Galar","Paldea"))))))))</f>
        <v>Unova</v>
      </c>
      <c r="F849" t="str">
        <f>IF(G849&gt;=600,"Lendário",IF(G849&gt;=500,"Forte","Normal"))</f>
        <v>Normal</v>
      </c>
      <c r="G849" s="3">
        <v>425</v>
      </c>
      <c r="H849" s="3">
        <v>67</v>
      </c>
      <c r="I849" s="3">
        <v>57</v>
      </c>
      <c r="J849" s="3">
        <v>55</v>
      </c>
      <c r="K849" s="3">
        <v>77</v>
      </c>
      <c r="L849" s="3">
        <v>55</v>
      </c>
      <c r="M849" s="3">
        <v>114</v>
      </c>
      <c r="N849" s="3">
        <f>AVERAGE($I$2:$I$1168)</f>
        <v>78.907455012853475</v>
      </c>
      <c r="O849" s="3" t="str">
        <f>CONCATENATE(A849,"-",B849)</f>
        <v>528-Swoobat</v>
      </c>
    </row>
    <row r="850" spans="1:15">
      <c r="A850" s="63">
        <v>528</v>
      </c>
      <c r="B850" s="2" t="str">
        <f>B849</f>
        <v>Swoobat</v>
      </c>
      <c r="C850" t="s">
        <v>25</v>
      </c>
      <c r="D850" s="22">
        <f>COUNTIF($C$2:$C$1168,Tabela1[[#This Row],[Type]])</f>
        <v>100</v>
      </c>
      <c r="E850" s="62" t="str">
        <f>IF(A850&lt;=151,"Kanto",IF(A850&lt;=251,"Johto",IF(A850&lt;=386,"Hoenn",IF(A850&lt;=493,"Sinnoh",IF(A850&lt;=649,"Unova",IF(A850&lt;=721,"Kalos",IF(A850&lt;=809,"Alola",IF(A850&lt;=905,"Galar","Paldea"))))))))</f>
        <v>Unova</v>
      </c>
      <c r="F850" t="str">
        <f>IF(G850&gt;=600,"Lendário",IF(G850&gt;=500,"Forte","Normal"))</f>
        <v>Normal</v>
      </c>
      <c r="G850" s="3">
        <f>G849</f>
        <v>425</v>
      </c>
      <c r="H850" s="3">
        <f>H849</f>
        <v>67</v>
      </c>
      <c r="I850" s="3">
        <f>I849</f>
        <v>57</v>
      </c>
      <c r="J850" s="3">
        <f>J849</f>
        <v>55</v>
      </c>
      <c r="K850" s="3">
        <f>K849</f>
        <v>77</v>
      </c>
      <c r="L850" s="3">
        <f>L849</f>
        <v>55</v>
      </c>
      <c r="M850" s="3">
        <f>M849</f>
        <v>114</v>
      </c>
      <c r="N850" s="3">
        <f>AVERAGE($I$2:$I$1168)</f>
        <v>78.907455012853475</v>
      </c>
      <c r="O850" s="3" t="str">
        <f>CONCATENATE(A850,"-",B850)</f>
        <v>528-Swoobat</v>
      </c>
    </row>
    <row r="851" spans="1:15">
      <c r="A851" s="63">
        <v>529</v>
      </c>
      <c r="B851" s="2" t="s">
        <v>603</v>
      </c>
      <c r="C851" t="s">
        <v>55</v>
      </c>
      <c r="D851" s="22">
        <f>COUNTIF($C$2:$C$1168,Tabela1[[#This Row],[Type]])</f>
        <v>62</v>
      </c>
      <c r="E851" s="62" t="str">
        <f>IF(A851&lt;=151,"Kanto",IF(A851&lt;=251,"Johto",IF(A851&lt;=386,"Hoenn",IF(A851&lt;=493,"Sinnoh",IF(A851&lt;=649,"Unova",IF(A851&lt;=721,"Kalos",IF(A851&lt;=809,"Alola",IF(A851&lt;=905,"Galar","Paldea"))))))))</f>
        <v>Unova</v>
      </c>
      <c r="F851" t="str">
        <f>IF(G851&gt;=600,"Lendário",IF(G851&gt;=500,"Forte","Normal"))</f>
        <v>Normal</v>
      </c>
      <c r="G851" s="3">
        <v>328</v>
      </c>
      <c r="H851" s="3">
        <v>60</v>
      </c>
      <c r="I851" s="3">
        <v>85</v>
      </c>
      <c r="J851" s="3">
        <v>40</v>
      </c>
      <c r="K851" s="3">
        <v>30</v>
      </c>
      <c r="L851" s="3">
        <v>45</v>
      </c>
      <c r="M851" s="3">
        <v>68</v>
      </c>
      <c r="N851" s="3">
        <f>AVERAGE($I$2:$I$1168)</f>
        <v>78.907455012853475</v>
      </c>
      <c r="O851" s="3" t="str">
        <f>CONCATENATE(A851,"-",B851)</f>
        <v>529-Drilbur</v>
      </c>
    </row>
    <row r="852" spans="1:15">
      <c r="A852" s="63">
        <v>530</v>
      </c>
      <c r="B852" s="2" t="s">
        <v>604</v>
      </c>
      <c r="C852" t="s">
        <v>55</v>
      </c>
      <c r="D852" s="22">
        <f>COUNTIF($C$2:$C$1168,Tabela1[[#This Row],[Type]])</f>
        <v>62</v>
      </c>
      <c r="E852" s="62" t="str">
        <f>IF(A852&lt;=151,"Kanto",IF(A852&lt;=251,"Johto",IF(A852&lt;=386,"Hoenn",IF(A852&lt;=493,"Sinnoh",IF(A852&lt;=649,"Unova",IF(A852&lt;=721,"Kalos",IF(A852&lt;=809,"Alola",IF(A852&lt;=905,"Galar","Paldea"))))))))</f>
        <v>Unova</v>
      </c>
      <c r="F852" t="str">
        <f>IF(G852&gt;=600,"Lendário",IF(G852&gt;=500,"Forte","Normal"))</f>
        <v>Forte</v>
      </c>
      <c r="G852" s="3">
        <v>508</v>
      </c>
      <c r="H852" s="3">
        <v>110</v>
      </c>
      <c r="I852" s="3">
        <v>135</v>
      </c>
      <c r="J852" s="3">
        <v>60</v>
      </c>
      <c r="K852" s="3">
        <v>50</v>
      </c>
      <c r="L852" s="3">
        <v>65</v>
      </c>
      <c r="M852" s="3">
        <v>88</v>
      </c>
      <c r="N852" s="3">
        <f>AVERAGE($I$2:$I$1168)</f>
        <v>78.907455012853475</v>
      </c>
      <c r="O852" s="3" t="str">
        <f>CONCATENATE(A852,"-",B852)</f>
        <v>530-Excadrill</v>
      </c>
    </row>
    <row r="853" spans="1:15">
      <c r="A853" s="63">
        <v>530</v>
      </c>
      <c r="B853" s="2" t="str">
        <f>B852</f>
        <v>Excadrill</v>
      </c>
      <c r="C853" t="s">
        <v>115</v>
      </c>
      <c r="D853" s="22">
        <f>COUNTIF($C$2:$C$1168,Tabela1[[#This Row],[Type]])</f>
        <v>48</v>
      </c>
      <c r="E853" s="62" t="str">
        <f>IF(A853&lt;=151,"Kanto",IF(A853&lt;=251,"Johto",IF(A853&lt;=386,"Hoenn",IF(A853&lt;=493,"Sinnoh",IF(A853&lt;=649,"Unova",IF(A853&lt;=721,"Kalos",IF(A853&lt;=809,"Alola",IF(A853&lt;=905,"Galar","Paldea"))))))))</f>
        <v>Unova</v>
      </c>
      <c r="F853" t="str">
        <f>IF(G853&gt;=600,"Lendário",IF(G853&gt;=500,"Forte","Normal"))</f>
        <v>Forte</v>
      </c>
      <c r="G853" s="3">
        <f>G852</f>
        <v>508</v>
      </c>
      <c r="H853" s="3">
        <f>H852</f>
        <v>110</v>
      </c>
      <c r="I853" s="3">
        <f>I852</f>
        <v>135</v>
      </c>
      <c r="J853" s="3">
        <f>J852</f>
        <v>60</v>
      </c>
      <c r="K853" s="3">
        <f>K852</f>
        <v>50</v>
      </c>
      <c r="L853" s="3">
        <f>L852</f>
        <v>65</v>
      </c>
      <c r="M853" s="3">
        <f>M852</f>
        <v>88</v>
      </c>
      <c r="N853" s="3">
        <f>AVERAGE($I$2:$I$1168)</f>
        <v>78.907455012853475</v>
      </c>
      <c r="O853" s="3" t="str">
        <f>CONCATENATE(A853,"-",B853)</f>
        <v>530-Excadrill</v>
      </c>
    </row>
    <row r="854" spans="1:15">
      <c r="A854" s="63">
        <v>531</v>
      </c>
      <c r="B854" s="2" t="s">
        <v>605</v>
      </c>
      <c r="C854" t="s">
        <v>42</v>
      </c>
      <c r="D854" s="22">
        <f>COUNTIF($C$2:$C$1168,Tabela1[[#This Row],[Type]])</f>
        <v>99</v>
      </c>
      <c r="E854" s="62" t="str">
        <f>IF(A854&lt;=151,"Kanto",IF(A854&lt;=251,"Johto",IF(A854&lt;=386,"Hoenn",IF(A854&lt;=493,"Sinnoh",IF(A854&lt;=649,"Unova",IF(A854&lt;=721,"Kalos",IF(A854&lt;=809,"Alola",IF(A854&lt;=905,"Galar","Paldea"))))))))</f>
        <v>Unova</v>
      </c>
      <c r="F854" t="str">
        <f>IF(G854&gt;=600,"Lendário",IF(G854&gt;=500,"Forte","Normal"))</f>
        <v>Normal</v>
      </c>
      <c r="G854" s="3">
        <v>445</v>
      </c>
      <c r="H854" s="3">
        <v>103</v>
      </c>
      <c r="I854" s="3">
        <v>60</v>
      </c>
      <c r="J854" s="3">
        <v>86</v>
      </c>
      <c r="K854" s="3">
        <v>60</v>
      </c>
      <c r="L854" s="3">
        <v>86</v>
      </c>
      <c r="M854" s="3">
        <v>50</v>
      </c>
      <c r="N854" s="3">
        <f>AVERAGE($I$2:$I$1168)</f>
        <v>78.907455012853475</v>
      </c>
      <c r="O854" s="3" t="str">
        <f>CONCATENATE(A854,"-",B854)</f>
        <v>531-Audino</v>
      </c>
    </row>
    <row r="855" spans="1:15">
      <c r="A855" s="63">
        <v>531</v>
      </c>
      <c r="B855" s="2" t="str">
        <f>B854</f>
        <v>Audino</v>
      </c>
      <c r="C855" t="s">
        <v>64</v>
      </c>
      <c r="D855" s="22">
        <f>COUNTIF($C$2:$C$1168,Tabela1[[#This Row],[Type]])</f>
        <v>34</v>
      </c>
      <c r="E855" s="62" t="str">
        <f>IF(A855&lt;=151,"Kanto",IF(A855&lt;=251,"Johto",IF(A855&lt;=386,"Hoenn",IF(A855&lt;=493,"Sinnoh",IF(A855&lt;=649,"Unova",IF(A855&lt;=721,"Kalos",IF(A855&lt;=809,"Alola",IF(A855&lt;=905,"Galar","Paldea"))))))))</f>
        <v>Unova</v>
      </c>
      <c r="F855" t="str">
        <f>IF(G855&gt;=600,"Lendário",IF(G855&gt;=500,"Forte","Normal"))</f>
        <v>Normal</v>
      </c>
      <c r="G855" s="3">
        <f>G854</f>
        <v>445</v>
      </c>
      <c r="H855" s="3">
        <f>H854</f>
        <v>103</v>
      </c>
      <c r="I855" s="3">
        <f>I854</f>
        <v>60</v>
      </c>
      <c r="J855" s="3">
        <f>J854</f>
        <v>86</v>
      </c>
      <c r="K855" s="3">
        <f>K854</f>
        <v>60</v>
      </c>
      <c r="L855" s="3">
        <f>L854</f>
        <v>86</v>
      </c>
      <c r="M855" s="3">
        <f>M854</f>
        <v>50</v>
      </c>
      <c r="N855" s="3">
        <f>AVERAGE($I$2:$I$1168)</f>
        <v>78.907455012853475</v>
      </c>
      <c r="O855" s="3" t="str">
        <f>CONCATENATE(A855,"-",B855)</f>
        <v>531-Audino</v>
      </c>
    </row>
    <row r="856" spans="1:15">
      <c r="A856" s="63">
        <v>531</v>
      </c>
      <c r="B856" s="2" t="str">
        <f>B855</f>
        <v>Audino</v>
      </c>
      <c r="C856" t="s">
        <v>25</v>
      </c>
      <c r="D856" s="22">
        <f>COUNTIF($C$2:$C$1168,Tabela1[[#This Row],[Type]])</f>
        <v>100</v>
      </c>
      <c r="E856" s="62" t="str">
        <f>IF(A856&lt;=151,"Kanto",IF(A856&lt;=251,"Johto",IF(A856&lt;=386,"Hoenn",IF(A856&lt;=493,"Sinnoh",IF(A856&lt;=649,"Unova",IF(A856&lt;=721,"Kalos",IF(A856&lt;=809,"Alola",IF(A856&lt;=905,"Galar","Paldea"))))))))</f>
        <v>Unova</v>
      </c>
      <c r="F856" t="str">
        <f>IF(G856&gt;=600,"Lendário",IF(G856&gt;=500,"Forte","Normal"))</f>
        <v>Normal</v>
      </c>
      <c r="G856" s="3">
        <f>G855</f>
        <v>445</v>
      </c>
      <c r="H856" s="3">
        <f>H855</f>
        <v>103</v>
      </c>
      <c r="I856" s="3">
        <f>I855</f>
        <v>60</v>
      </c>
      <c r="J856" s="3">
        <f>J855</f>
        <v>86</v>
      </c>
      <c r="K856" s="3">
        <f>K855</f>
        <v>60</v>
      </c>
      <c r="L856" s="3">
        <f>L855</f>
        <v>86</v>
      </c>
      <c r="M856" s="3">
        <f>M855</f>
        <v>50</v>
      </c>
      <c r="N856" s="3">
        <f>AVERAGE($I$2:$I$1168)</f>
        <v>78.907455012853475</v>
      </c>
      <c r="O856" s="3" t="str">
        <f>CONCATENATE(A856,"-",B856)</f>
        <v>531-Audino</v>
      </c>
    </row>
    <row r="857" spans="1:15">
      <c r="A857" s="63">
        <v>532</v>
      </c>
      <c r="B857" s="2" t="s">
        <v>606</v>
      </c>
      <c r="C857" t="s">
        <v>86</v>
      </c>
      <c r="D857" s="22">
        <f>COUNTIF($C$2:$C$1168,Tabela1[[#This Row],[Type]])</f>
        <v>51</v>
      </c>
      <c r="E857" s="62" t="str">
        <f>IF(A857&lt;=151,"Kanto",IF(A857&lt;=251,"Johto",IF(A857&lt;=386,"Hoenn",IF(A857&lt;=493,"Sinnoh",IF(A857&lt;=649,"Unova",IF(A857&lt;=721,"Kalos",IF(A857&lt;=809,"Alola",IF(A857&lt;=905,"Galar","Paldea"))))))))</f>
        <v>Unova</v>
      </c>
      <c r="F857" t="str">
        <f>IF(G857&gt;=600,"Lendário",IF(G857&gt;=500,"Forte","Normal"))</f>
        <v>Normal</v>
      </c>
      <c r="G857" s="3">
        <v>305</v>
      </c>
      <c r="H857" s="3">
        <v>75</v>
      </c>
      <c r="I857" s="3">
        <v>80</v>
      </c>
      <c r="J857" s="3">
        <v>55</v>
      </c>
      <c r="K857" s="3">
        <v>25</v>
      </c>
      <c r="L857" s="3">
        <v>35</v>
      </c>
      <c r="M857" s="3">
        <v>35</v>
      </c>
      <c r="N857" s="3">
        <f>AVERAGE($I$2:$I$1168)</f>
        <v>78.907455012853475</v>
      </c>
      <c r="O857" s="3" t="str">
        <f>CONCATENATE(A857,"-",B857)</f>
        <v>532-Timburr</v>
      </c>
    </row>
    <row r="858" spans="1:15">
      <c r="A858" s="63">
        <v>533</v>
      </c>
      <c r="B858" s="2" t="s">
        <v>607</v>
      </c>
      <c r="C858" t="s">
        <v>86</v>
      </c>
      <c r="D858" s="22">
        <f>COUNTIF($C$2:$C$1168,Tabela1[[#This Row],[Type]])</f>
        <v>51</v>
      </c>
      <c r="E858" s="62" t="str">
        <f>IF(A858&lt;=151,"Kanto",IF(A858&lt;=251,"Johto",IF(A858&lt;=386,"Hoenn",IF(A858&lt;=493,"Sinnoh",IF(A858&lt;=649,"Unova",IF(A858&lt;=721,"Kalos",IF(A858&lt;=809,"Alola",IF(A858&lt;=905,"Galar","Paldea"))))))))</f>
        <v>Unova</v>
      </c>
      <c r="F858" t="str">
        <f>IF(G858&gt;=600,"Lendário",IF(G858&gt;=500,"Forte","Normal"))</f>
        <v>Normal</v>
      </c>
      <c r="G858" s="3">
        <v>405</v>
      </c>
      <c r="H858" s="3">
        <v>85</v>
      </c>
      <c r="I858" s="3">
        <v>105</v>
      </c>
      <c r="J858" s="3">
        <v>85</v>
      </c>
      <c r="K858" s="3">
        <v>40</v>
      </c>
      <c r="L858" s="3">
        <v>50</v>
      </c>
      <c r="M858" s="3">
        <v>40</v>
      </c>
      <c r="N858" s="3">
        <f>AVERAGE($I$2:$I$1168)</f>
        <v>78.907455012853475</v>
      </c>
      <c r="O858" s="3" t="str">
        <f>CONCATENATE(A858,"-",B858)</f>
        <v>533-Gurdurr</v>
      </c>
    </row>
    <row r="859" spans="1:15">
      <c r="A859" s="63">
        <v>534</v>
      </c>
      <c r="B859" s="2" t="s">
        <v>608</v>
      </c>
      <c r="C859" t="s">
        <v>86</v>
      </c>
      <c r="D859" s="22">
        <f>COUNTIF($C$2:$C$1168,Tabela1[[#This Row],[Type]])</f>
        <v>51</v>
      </c>
      <c r="E859" s="62" t="str">
        <f>IF(A859&lt;=151,"Kanto",IF(A859&lt;=251,"Johto",IF(A859&lt;=386,"Hoenn",IF(A859&lt;=493,"Sinnoh",IF(A859&lt;=649,"Unova",IF(A859&lt;=721,"Kalos",IF(A859&lt;=809,"Alola",IF(A859&lt;=905,"Galar","Paldea"))))))))</f>
        <v>Unova</v>
      </c>
      <c r="F859" t="str">
        <f>IF(G859&gt;=600,"Lendário",IF(G859&gt;=500,"Forte","Normal"))</f>
        <v>Forte</v>
      </c>
      <c r="G859" s="3">
        <v>505</v>
      </c>
      <c r="H859" s="3">
        <v>105</v>
      </c>
      <c r="I859" s="3">
        <v>140</v>
      </c>
      <c r="J859" s="3">
        <v>95</v>
      </c>
      <c r="K859" s="3">
        <v>55</v>
      </c>
      <c r="L859" s="3">
        <v>65</v>
      </c>
      <c r="M859" s="3">
        <v>45</v>
      </c>
      <c r="N859" s="3">
        <f>AVERAGE($I$2:$I$1168)</f>
        <v>78.907455012853475</v>
      </c>
      <c r="O859" s="3" t="str">
        <f>CONCATENATE(A859,"-",B859)</f>
        <v>534-Conkeldurr</v>
      </c>
    </row>
    <row r="860" spans="1:15">
      <c r="A860" s="63">
        <v>535</v>
      </c>
      <c r="B860" s="2" t="s">
        <v>609</v>
      </c>
      <c r="C860" t="s">
        <v>30</v>
      </c>
      <c r="D860" s="22">
        <f>COUNTIF($C$2:$C$1168,Tabela1[[#This Row],[Type]])</f>
        <v>121</v>
      </c>
      <c r="E860" s="62" t="str">
        <f>IF(A860&lt;=151,"Kanto",IF(A860&lt;=251,"Johto",IF(A860&lt;=386,"Hoenn",IF(A860&lt;=493,"Sinnoh",IF(A860&lt;=649,"Unova",IF(A860&lt;=721,"Kalos",IF(A860&lt;=809,"Alola",IF(A860&lt;=905,"Galar","Paldea"))))))))</f>
        <v>Unova</v>
      </c>
      <c r="F860" t="str">
        <f>IF(G860&gt;=600,"Lendário",IF(G860&gt;=500,"Forte","Normal"))</f>
        <v>Normal</v>
      </c>
      <c r="G860" s="3">
        <v>294</v>
      </c>
      <c r="H860" s="3">
        <v>50</v>
      </c>
      <c r="I860" s="3">
        <v>50</v>
      </c>
      <c r="J860" s="3">
        <v>40</v>
      </c>
      <c r="K860" s="3">
        <v>50</v>
      </c>
      <c r="L860" s="3">
        <v>40</v>
      </c>
      <c r="M860" s="3">
        <v>64</v>
      </c>
      <c r="N860" s="3">
        <f>AVERAGE($I$2:$I$1168)</f>
        <v>78.907455012853475</v>
      </c>
      <c r="O860" s="3" t="str">
        <f>CONCATENATE(A860,"-",B860)</f>
        <v>535-Tympole</v>
      </c>
    </row>
    <row r="861" spans="1:15">
      <c r="A861" s="63">
        <v>536</v>
      </c>
      <c r="B861" s="2" t="s">
        <v>610</v>
      </c>
      <c r="C861" t="s">
        <v>30</v>
      </c>
      <c r="D861" s="22">
        <f>COUNTIF($C$2:$C$1168,Tabela1[[#This Row],[Type]])</f>
        <v>121</v>
      </c>
      <c r="E861" s="62" t="str">
        <f>IF(A861&lt;=151,"Kanto",IF(A861&lt;=251,"Johto",IF(A861&lt;=386,"Hoenn",IF(A861&lt;=493,"Sinnoh",IF(A861&lt;=649,"Unova",IF(A861&lt;=721,"Kalos",IF(A861&lt;=809,"Alola",IF(A861&lt;=905,"Galar","Paldea"))))))))</f>
        <v>Unova</v>
      </c>
      <c r="F861" t="str">
        <f>IF(G861&gt;=600,"Lendário",IF(G861&gt;=500,"Forte","Normal"))</f>
        <v>Normal</v>
      </c>
      <c r="G861" s="3">
        <v>384</v>
      </c>
      <c r="H861" s="3">
        <v>75</v>
      </c>
      <c r="I861" s="3">
        <v>65</v>
      </c>
      <c r="J861" s="3">
        <v>55</v>
      </c>
      <c r="K861" s="3">
        <v>65</v>
      </c>
      <c r="L861" s="3">
        <v>55</v>
      </c>
      <c r="M861" s="3">
        <v>69</v>
      </c>
      <c r="N861" s="3">
        <f>AVERAGE($I$2:$I$1168)</f>
        <v>78.907455012853475</v>
      </c>
      <c r="O861" s="3" t="str">
        <f>CONCATENATE(A861,"-",B861)</f>
        <v>536-Palpitoad</v>
      </c>
    </row>
    <row r="862" spans="1:15">
      <c r="A862" s="63">
        <v>536</v>
      </c>
      <c r="B862" s="2" t="str">
        <f>B861</f>
        <v>Palpitoad</v>
      </c>
      <c r="C862" t="s">
        <v>55</v>
      </c>
      <c r="D862" s="22">
        <f>COUNTIF($C$2:$C$1168,Tabela1[[#This Row],[Type]])</f>
        <v>62</v>
      </c>
      <c r="E862" s="62" t="str">
        <f>IF(A862&lt;=151,"Kanto",IF(A862&lt;=251,"Johto",IF(A862&lt;=386,"Hoenn",IF(A862&lt;=493,"Sinnoh",IF(A862&lt;=649,"Unova",IF(A862&lt;=721,"Kalos",IF(A862&lt;=809,"Alola",IF(A862&lt;=905,"Galar","Paldea"))))))))</f>
        <v>Unova</v>
      </c>
      <c r="F862" t="str">
        <f>IF(G862&gt;=600,"Lendário",IF(G862&gt;=500,"Forte","Normal"))</f>
        <v>Normal</v>
      </c>
      <c r="G862" s="3">
        <f>G861</f>
        <v>384</v>
      </c>
      <c r="H862" s="3">
        <f>H861</f>
        <v>75</v>
      </c>
      <c r="I862" s="3">
        <f>I861</f>
        <v>65</v>
      </c>
      <c r="J862" s="3">
        <f>J861</f>
        <v>55</v>
      </c>
      <c r="K862" s="3">
        <f>K861</f>
        <v>65</v>
      </c>
      <c r="L862" s="3">
        <f>L861</f>
        <v>55</v>
      </c>
      <c r="M862" s="3">
        <f>M861</f>
        <v>69</v>
      </c>
      <c r="N862" s="3">
        <f>AVERAGE($I$2:$I$1168)</f>
        <v>78.907455012853475</v>
      </c>
      <c r="O862" s="3" t="str">
        <f>CONCATENATE(A862,"-",B862)</f>
        <v>536-Palpitoad</v>
      </c>
    </row>
    <row r="863" spans="1:15">
      <c r="A863" s="63">
        <v>537</v>
      </c>
      <c r="B863" s="2" t="s">
        <v>611</v>
      </c>
      <c r="C863" t="s">
        <v>30</v>
      </c>
      <c r="D863" s="22">
        <f>COUNTIF($C$2:$C$1168,Tabela1[[#This Row],[Type]])</f>
        <v>121</v>
      </c>
      <c r="E863" s="62" t="str">
        <f>IF(A863&lt;=151,"Kanto",IF(A863&lt;=251,"Johto",IF(A863&lt;=386,"Hoenn",IF(A863&lt;=493,"Sinnoh",IF(A863&lt;=649,"Unova",IF(A863&lt;=721,"Kalos",IF(A863&lt;=809,"Alola",IF(A863&lt;=905,"Galar","Paldea"))))))))</f>
        <v>Unova</v>
      </c>
      <c r="F863" t="str">
        <f>IF(G863&gt;=600,"Lendário",IF(G863&gt;=500,"Forte","Normal"))</f>
        <v>Normal</v>
      </c>
      <c r="G863" s="3">
        <v>499</v>
      </c>
      <c r="H863" s="3">
        <v>105</v>
      </c>
      <c r="I863" s="3">
        <v>85</v>
      </c>
      <c r="J863" s="3">
        <v>75</v>
      </c>
      <c r="K863" s="3">
        <v>85</v>
      </c>
      <c r="L863" s="3">
        <v>75</v>
      </c>
      <c r="M863" s="3">
        <v>74</v>
      </c>
      <c r="N863" s="3">
        <f>AVERAGE($I$2:$I$1168)</f>
        <v>78.907455012853475</v>
      </c>
      <c r="O863" s="3" t="str">
        <f>CONCATENATE(A863,"-",B863)</f>
        <v>537-Seismitoad</v>
      </c>
    </row>
    <row r="864" spans="1:15">
      <c r="A864" s="63">
        <v>537</v>
      </c>
      <c r="B864" s="2" t="str">
        <f>B863</f>
        <v>Seismitoad</v>
      </c>
      <c r="C864" t="s">
        <v>55</v>
      </c>
      <c r="D864" s="22">
        <f>COUNTIF($C$2:$C$1168,Tabela1[[#This Row],[Type]])</f>
        <v>62</v>
      </c>
      <c r="E864" s="62" t="str">
        <f>IF(A864&lt;=151,"Kanto",IF(A864&lt;=251,"Johto",IF(A864&lt;=386,"Hoenn",IF(A864&lt;=493,"Sinnoh",IF(A864&lt;=649,"Unova",IF(A864&lt;=721,"Kalos",IF(A864&lt;=809,"Alola",IF(A864&lt;=905,"Galar","Paldea"))))))))</f>
        <v>Unova</v>
      </c>
      <c r="F864" t="str">
        <f>IF(G864&gt;=600,"Lendário",IF(G864&gt;=500,"Forte","Normal"))</f>
        <v>Normal</v>
      </c>
      <c r="G864" s="3">
        <f>G863</f>
        <v>499</v>
      </c>
      <c r="H864" s="3">
        <f>H863</f>
        <v>105</v>
      </c>
      <c r="I864" s="3">
        <f>I863</f>
        <v>85</v>
      </c>
      <c r="J864" s="3">
        <f>J863</f>
        <v>75</v>
      </c>
      <c r="K864" s="3">
        <f>K863</f>
        <v>85</v>
      </c>
      <c r="L864" s="3">
        <f>L863</f>
        <v>75</v>
      </c>
      <c r="M864" s="3">
        <f>M863</f>
        <v>74</v>
      </c>
      <c r="N864" s="3">
        <f>AVERAGE($I$2:$I$1168)</f>
        <v>78.907455012853475</v>
      </c>
      <c r="O864" s="3" t="str">
        <f>CONCATENATE(A864,"-",B864)</f>
        <v>537-Seismitoad</v>
      </c>
    </row>
    <row r="865" spans="1:15">
      <c r="A865" s="63">
        <v>538</v>
      </c>
      <c r="B865" s="2" t="s">
        <v>612</v>
      </c>
      <c r="C865" t="s">
        <v>86</v>
      </c>
      <c r="D865" s="22">
        <f>COUNTIF($C$2:$C$1168,Tabela1[[#This Row],[Type]])</f>
        <v>51</v>
      </c>
      <c r="E865" s="62" t="str">
        <f>IF(A865&lt;=151,"Kanto",IF(A865&lt;=251,"Johto",IF(A865&lt;=386,"Hoenn",IF(A865&lt;=493,"Sinnoh",IF(A865&lt;=649,"Unova",IF(A865&lt;=721,"Kalos",IF(A865&lt;=809,"Alola",IF(A865&lt;=905,"Galar","Paldea"))))))))</f>
        <v>Unova</v>
      </c>
      <c r="F865" t="str">
        <f>IF(G865&gt;=600,"Lendário",IF(G865&gt;=500,"Forte","Normal"))</f>
        <v>Normal</v>
      </c>
      <c r="G865" s="3">
        <v>465</v>
      </c>
      <c r="H865" s="3">
        <v>120</v>
      </c>
      <c r="I865" s="3">
        <v>100</v>
      </c>
      <c r="J865" s="3">
        <v>85</v>
      </c>
      <c r="K865" s="3">
        <v>30</v>
      </c>
      <c r="L865" s="3">
        <v>85</v>
      </c>
      <c r="M865" s="3">
        <v>45</v>
      </c>
      <c r="N865" s="3">
        <f>AVERAGE($I$2:$I$1168)</f>
        <v>78.907455012853475</v>
      </c>
      <c r="O865" s="3" t="str">
        <f>CONCATENATE(A865,"-",B865)</f>
        <v>538-Throh</v>
      </c>
    </row>
    <row r="866" spans="1:15">
      <c r="A866" s="63">
        <v>539</v>
      </c>
      <c r="B866" s="2" t="s">
        <v>613</v>
      </c>
      <c r="C866" t="s">
        <v>86</v>
      </c>
      <c r="D866" s="22">
        <f>COUNTIF($C$2:$C$1168,Tabela1[[#This Row],[Type]])</f>
        <v>51</v>
      </c>
      <c r="E866" s="62" t="str">
        <f>IF(A866&lt;=151,"Kanto",IF(A866&lt;=251,"Johto",IF(A866&lt;=386,"Hoenn",IF(A866&lt;=493,"Sinnoh",IF(A866&lt;=649,"Unova",IF(A866&lt;=721,"Kalos",IF(A866&lt;=809,"Alola",IF(A866&lt;=905,"Galar","Paldea"))))))))</f>
        <v>Unova</v>
      </c>
      <c r="F866" t="str">
        <f>IF(G866&gt;=600,"Lendário",IF(G866&gt;=500,"Forte","Normal"))</f>
        <v>Normal</v>
      </c>
      <c r="G866" s="3">
        <v>465</v>
      </c>
      <c r="H866" s="3">
        <v>75</v>
      </c>
      <c r="I866" s="3">
        <v>125</v>
      </c>
      <c r="J866" s="3">
        <v>75</v>
      </c>
      <c r="K866" s="3">
        <v>30</v>
      </c>
      <c r="L866" s="3">
        <v>75</v>
      </c>
      <c r="M866" s="3">
        <v>85</v>
      </c>
      <c r="N866" s="3">
        <f>AVERAGE($I$2:$I$1168)</f>
        <v>78.907455012853475</v>
      </c>
      <c r="O866" s="3" t="str">
        <f>CONCATENATE(A866,"-",B866)</f>
        <v>539-Sawk</v>
      </c>
    </row>
    <row r="867" spans="1:15">
      <c r="A867" s="63">
        <v>540</v>
      </c>
      <c r="B867" s="2" t="s">
        <v>614</v>
      </c>
      <c r="C867" t="s">
        <v>35</v>
      </c>
      <c r="D867" s="22">
        <f>COUNTIF($C$2:$C$1168,Tabela1[[#This Row],[Type]])</f>
        <v>71</v>
      </c>
      <c r="E867" s="62" t="str">
        <f>IF(A867&lt;=151,"Kanto",IF(A867&lt;=251,"Johto",IF(A867&lt;=386,"Hoenn",IF(A867&lt;=493,"Sinnoh",IF(A867&lt;=649,"Unova",IF(A867&lt;=721,"Kalos",IF(A867&lt;=809,"Alola",IF(A867&lt;=905,"Galar","Paldea"))))))))</f>
        <v>Unova</v>
      </c>
      <c r="F867" t="str">
        <f>IF(G867&gt;=600,"Lendário",IF(G867&gt;=500,"Forte","Normal"))</f>
        <v>Normal</v>
      </c>
      <c r="G867" s="3">
        <v>310</v>
      </c>
      <c r="H867" s="3">
        <v>45</v>
      </c>
      <c r="I867" s="3">
        <v>53</v>
      </c>
      <c r="J867" s="3">
        <v>70</v>
      </c>
      <c r="K867" s="3">
        <v>40</v>
      </c>
      <c r="L867" s="3">
        <v>60</v>
      </c>
      <c r="M867" s="3">
        <v>42</v>
      </c>
      <c r="N867" s="3">
        <f>AVERAGE($I$2:$I$1168)</f>
        <v>78.907455012853475</v>
      </c>
      <c r="O867" s="3" t="str">
        <f>CONCATENATE(A867,"-",B867)</f>
        <v>540-Sewaddle</v>
      </c>
    </row>
    <row r="868" spans="1:15">
      <c r="A868" s="63">
        <v>540</v>
      </c>
      <c r="B868" s="2" t="str">
        <f>B867</f>
        <v>Sewaddle</v>
      </c>
      <c r="C868" t="s">
        <v>16</v>
      </c>
      <c r="D868" s="22">
        <f>COUNTIF($C$2:$C$1168,Tabela1[[#This Row],[Type]])</f>
        <v>93</v>
      </c>
      <c r="E868" s="62" t="str">
        <f>IF(A868&lt;=151,"Kanto",IF(A868&lt;=251,"Johto",IF(A868&lt;=386,"Hoenn",IF(A868&lt;=493,"Sinnoh",IF(A868&lt;=649,"Unova",IF(A868&lt;=721,"Kalos",IF(A868&lt;=809,"Alola",IF(A868&lt;=905,"Galar","Paldea"))))))))</f>
        <v>Unova</v>
      </c>
      <c r="F868" t="str">
        <f>IF(G868&gt;=600,"Lendário",IF(G868&gt;=500,"Forte","Normal"))</f>
        <v>Normal</v>
      </c>
      <c r="G868" s="3">
        <f>G867</f>
        <v>310</v>
      </c>
      <c r="H868" s="3">
        <f>H867</f>
        <v>45</v>
      </c>
      <c r="I868" s="3">
        <f>I867</f>
        <v>53</v>
      </c>
      <c r="J868" s="3">
        <f>J867</f>
        <v>70</v>
      </c>
      <c r="K868" s="3">
        <f>K867</f>
        <v>40</v>
      </c>
      <c r="L868" s="3">
        <f>L867</f>
        <v>60</v>
      </c>
      <c r="M868" s="3">
        <f>M867</f>
        <v>42</v>
      </c>
      <c r="N868" s="3">
        <f>AVERAGE($I$2:$I$1168)</f>
        <v>78.907455012853475</v>
      </c>
      <c r="O868" s="3" t="str">
        <f>CONCATENATE(A868,"-",B868)</f>
        <v>540-Sewaddle</v>
      </c>
    </row>
    <row r="869" spans="1:15">
      <c r="A869" s="63">
        <v>541</v>
      </c>
      <c r="B869" s="2" t="s">
        <v>615</v>
      </c>
      <c r="C869" t="s">
        <v>35</v>
      </c>
      <c r="D869" s="22">
        <f>COUNTIF($C$2:$C$1168,Tabela1[[#This Row],[Type]])</f>
        <v>71</v>
      </c>
      <c r="E869" s="62" t="str">
        <f>IF(A869&lt;=151,"Kanto",IF(A869&lt;=251,"Johto",IF(A869&lt;=386,"Hoenn",IF(A869&lt;=493,"Sinnoh",IF(A869&lt;=649,"Unova",IF(A869&lt;=721,"Kalos",IF(A869&lt;=809,"Alola",IF(A869&lt;=905,"Galar","Paldea"))))))))</f>
        <v>Unova</v>
      </c>
      <c r="F869" t="str">
        <f>IF(G869&gt;=600,"Lendário",IF(G869&gt;=500,"Forte","Normal"))</f>
        <v>Normal</v>
      </c>
      <c r="G869" s="3">
        <v>380</v>
      </c>
      <c r="H869" s="3">
        <v>55</v>
      </c>
      <c r="I869" s="3">
        <v>63</v>
      </c>
      <c r="J869" s="3">
        <v>90</v>
      </c>
      <c r="K869" s="3">
        <v>50</v>
      </c>
      <c r="L869" s="3">
        <v>80</v>
      </c>
      <c r="M869" s="3">
        <v>42</v>
      </c>
      <c r="N869" s="3">
        <f>AVERAGE($I$2:$I$1168)</f>
        <v>78.907455012853475</v>
      </c>
      <c r="O869" s="3" t="str">
        <f>CONCATENATE(A869,"-",B869)</f>
        <v>541-Swadloon</v>
      </c>
    </row>
    <row r="870" spans="1:15">
      <c r="A870" s="63">
        <v>541</v>
      </c>
      <c r="B870" s="2" t="str">
        <f>B869</f>
        <v>Swadloon</v>
      </c>
      <c r="C870" t="s">
        <v>16</v>
      </c>
      <c r="D870" s="22">
        <f>COUNTIF($C$2:$C$1168,Tabela1[[#This Row],[Type]])</f>
        <v>93</v>
      </c>
      <c r="E870" s="62" t="str">
        <f>IF(A870&lt;=151,"Kanto",IF(A870&lt;=251,"Johto",IF(A870&lt;=386,"Hoenn",IF(A870&lt;=493,"Sinnoh",IF(A870&lt;=649,"Unova",IF(A870&lt;=721,"Kalos",IF(A870&lt;=809,"Alola",IF(A870&lt;=905,"Galar","Paldea"))))))))</f>
        <v>Unova</v>
      </c>
      <c r="F870" t="str">
        <f>IF(G870&gt;=600,"Lendário",IF(G870&gt;=500,"Forte","Normal"))</f>
        <v>Normal</v>
      </c>
      <c r="G870" s="3">
        <f>G869</f>
        <v>380</v>
      </c>
      <c r="H870" s="3">
        <f>H869</f>
        <v>55</v>
      </c>
      <c r="I870" s="3">
        <f>I869</f>
        <v>63</v>
      </c>
      <c r="J870" s="3">
        <f>J869</f>
        <v>90</v>
      </c>
      <c r="K870" s="3">
        <f>K869</f>
        <v>50</v>
      </c>
      <c r="L870" s="3">
        <f>L869</f>
        <v>80</v>
      </c>
      <c r="M870" s="3">
        <f>M869</f>
        <v>42</v>
      </c>
      <c r="N870" s="3">
        <f>AVERAGE($I$2:$I$1168)</f>
        <v>78.907455012853475</v>
      </c>
      <c r="O870" s="3" t="str">
        <f>CONCATENATE(A870,"-",B870)</f>
        <v>541-Swadloon</v>
      </c>
    </row>
    <row r="871" spans="1:15">
      <c r="A871" s="63">
        <v>542</v>
      </c>
      <c r="B871" s="2" t="s">
        <v>616</v>
      </c>
      <c r="C871" t="s">
        <v>35</v>
      </c>
      <c r="D871" s="22">
        <f>COUNTIF($C$2:$C$1168,Tabela1[[#This Row],[Type]])</f>
        <v>71</v>
      </c>
      <c r="E871" s="62" t="str">
        <f>IF(A871&lt;=151,"Kanto",IF(A871&lt;=251,"Johto",IF(A871&lt;=386,"Hoenn",IF(A871&lt;=493,"Sinnoh",IF(A871&lt;=649,"Unova",IF(A871&lt;=721,"Kalos",IF(A871&lt;=809,"Alola",IF(A871&lt;=905,"Galar","Paldea"))))))))</f>
        <v>Unova</v>
      </c>
      <c r="F871" t="str">
        <f>IF(G871&gt;=600,"Lendário",IF(G871&gt;=500,"Forte","Normal"))</f>
        <v>Normal</v>
      </c>
      <c r="G871" s="3">
        <v>490</v>
      </c>
      <c r="H871" s="3">
        <v>75</v>
      </c>
      <c r="I871" s="3">
        <v>103</v>
      </c>
      <c r="J871" s="3">
        <v>80</v>
      </c>
      <c r="K871" s="3">
        <v>70</v>
      </c>
      <c r="L871" s="3">
        <v>70</v>
      </c>
      <c r="M871" s="3">
        <v>92</v>
      </c>
      <c r="N871" s="3">
        <f>AVERAGE($I$2:$I$1168)</f>
        <v>78.907455012853475</v>
      </c>
      <c r="O871" s="3" t="str">
        <f>CONCATENATE(A871,"-",B871)</f>
        <v>542-Leavanny</v>
      </c>
    </row>
    <row r="872" spans="1:15">
      <c r="A872" s="63">
        <v>542</v>
      </c>
      <c r="B872" s="2" t="str">
        <f>B871</f>
        <v>Leavanny</v>
      </c>
      <c r="C872" t="s">
        <v>16</v>
      </c>
      <c r="D872" s="22">
        <f>COUNTIF($C$2:$C$1168,Tabela1[[#This Row],[Type]])</f>
        <v>93</v>
      </c>
      <c r="E872" s="62" t="str">
        <f>IF(A872&lt;=151,"Kanto",IF(A872&lt;=251,"Johto",IF(A872&lt;=386,"Hoenn",IF(A872&lt;=493,"Sinnoh",IF(A872&lt;=649,"Unova",IF(A872&lt;=721,"Kalos",IF(A872&lt;=809,"Alola",IF(A872&lt;=905,"Galar","Paldea"))))))))</f>
        <v>Unova</v>
      </c>
      <c r="F872" t="str">
        <f>IF(G872&gt;=600,"Lendário",IF(G872&gt;=500,"Forte","Normal"))</f>
        <v>Normal</v>
      </c>
      <c r="G872" s="3">
        <f>G871</f>
        <v>490</v>
      </c>
      <c r="H872" s="3">
        <f>H871</f>
        <v>75</v>
      </c>
      <c r="I872" s="3">
        <f>I871</f>
        <v>103</v>
      </c>
      <c r="J872" s="3">
        <f>J871</f>
        <v>80</v>
      </c>
      <c r="K872" s="3">
        <f>K871</f>
        <v>70</v>
      </c>
      <c r="L872" s="3">
        <f>L871</f>
        <v>70</v>
      </c>
      <c r="M872" s="3">
        <f>M871</f>
        <v>92</v>
      </c>
      <c r="N872" s="3">
        <f>AVERAGE($I$2:$I$1168)</f>
        <v>78.907455012853475</v>
      </c>
      <c r="O872" s="3" t="str">
        <f>CONCATENATE(A872,"-",B872)</f>
        <v>542-Leavanny</v>
      </c>
    </row>
    <row r="873" spans="1:15">
      <c r="A873" s="63">
        <v>543</v>
      </c>
      <c r="B873" s="2" t="s">
        <v>617</v>
      </c>
      <c r="C873" t="s">
        <v>35</v>
      </c>
      <c r="D873" s="22">
        <f>COUNTIF($C$2:$C$1168,Tabela1[[#This Row],[Type]])</f>
        <v>71</v>
      </c>
      <c r="E873" s="62" t="str">
        <f>IF(A873&lt;=151,"Kanto",IF(A873&lt;=251,"Johto",IF(A873&lt;=386,"Hoenn",IF(A873&lt;=493,"Sinnoh",IF(A873&lt;=649,"Unova",IF(A873&lt;=721,"Kalos",IF(A873&lt;=809,"Alola",IF(A873&lt;=905,"Galar","Paldea"))))))))</f>
        <v>Unova</v>
      </c>
      <c r="F873" t="str">
        <f>IF(G873&gt;=600,"Lendário",IF(G873&gt;=500,"Forte","Normal"))</f>
        <v>Normal</v>
      </c>
      <c r="G873" s="3">
        <v>260</v>
      </c>
      <c r="H873" s="3">
        <v>30</v>
      </c>
      <c r="I873" s="3">
        <v>45</v>
      </c>
      <c r="J873" s="3">
        <v>59</v>
      </c>
      <c r="K873" s="3">
        <v>30</v>
      </c>
      <c r="L873" s="3">
        <v>39</v>
      </c>
      <c r="M873" s="3">
        <v>57</v>
      </c>
      <c r="N873" s="3">
        <f>AVERAGE($I$2:$I$1168)</f>
        <v>78.907455012853475</v>
      </c>
      <c r="O873" s="3" t="str">
        <f>CONCATENATE(A873,"-",B873)</f>
        <v>543-Venipede</v>
      </c>
    </row>
    <row r="874" spans="1:15">
      <c r="A874" s="63">
        <v>543</v>
      </c>
      <c r="B874" s="2" t="str">
        <f>B873</f>
        <v>Venipede</v>
      </c>
      <c r="C874" t="s">
        <v>17</v>
      </c>
      <c r="D874" s="22">
        <f>COUNTIF($C$2:$C$1168,Tabela1[[#This Row],[Type]])</f>
        <v>61</v>
      </c>
      <c r="E874" s="62" t="str">
        <f>IF(A874&lt;=151,"Kanto",IF(A874&lt;=251,"Johto",IF(A874&lt;=386,"Hoenn",IF(A874&lt;=493,"Sinnoh",IF(A874&lt;=649,"Unova",IF(A874&lt;=721,"Kalos",IF(A874&lt;=809,"Alola",IF(A874&lt;=905,"Galar","Paldea"))))))))</f>
        <v>Unova</v>
      </c>
      <c r="F874" t="str">
        <f>IF(G874&gt;=600,"Lendário",IF(G874&gt;=500,"Forte","Normal"))</f>
        <v>Normal</v>
      </c>
      <c r="G874" s="3">
        <f>G873</f>
        <v>260</v>
      </c>
      <c r="H874" s="3">
        <f>H873</f>
        <v>30</v>
      </c>
      <c r="I874" s="3">
        <f>I873</f>
        <v>45</v>
      </c>
      <c r="J874" s="3">
        <f>J873</f>
        <v>59</v>
      </c>
      <c r="K874" s="3">
        <f>K873</f>
        <v>30</v>
      </c>
      <c r="L874" s="3">
        <f>L873</f>
        <v>39</v>
      </c>
      <c r="M874" s="3">
        <f>M873</f>
        <v>57</v>
      </c>
      <c r="N874" s="3">
        <f>AVERAGE($I$2:$I$1168)</f>
        <v>78.907455012853475</v>
      </c>
      <c r="O874" s="3" t="str">
        <f>CONCATENATE(A874,"-",B874)</f>
        <v>543-Venipede</v>
      </c>
    </row>
    <row r="875" spans="1:15">
      <c r="A875" s="63">
        <v>544</v>
      </c>
      <c r="B875" s="2" t="s">
        <v>618</v>
      </c>
      <c r="C875" t="s">
        <v>35</v>
      </c>
      <c r="D875" s="22">
        <f>COUNTIF($C$2:$C$1168,Tabela1[[#This Row],[Type]])</f>
        <v>71</v>
      </c>
      <c r="E875" s="62" t="str">
        <f>IF(A875&lt;=151,"Kanto",IF(A875&lt;=251,"Johto",IF(A875&lt;=386,"Hoenn",IF(A875&lt;=493,"Sinnoh",IF(A875&lt;=649,"Unova",IF(A875&lt;=721,"Kalos",IF(A875&lt;=809,"Alola",IF(A875&lt;=905,"Galar","Paldea"))))))))</f>
        <v>Unova</v>
      </c>
      <c r="F875" t="str">
        <f>IF(G875&gt;=600,"Lendário",IF(G875&gt;=500,"Forte","Normal"))</f>
        <v>Normal</v>
      </c>
      <c r="G875" s="3">
        <v>360</v>
      </c>
      <c r="H875" s="3">
        <v>40</v>
      </c>
      <c r="I875" s="3">
        <v>55</v>
      </c>
      <c r="J875" s="3">
        <v>99</v>
      </c>
      <c r="K875" s="3">
        <v>40</v>
      </c>
      <c r="L875" s="3">
        <v>79</v>
      </c>
      <c r="M875" s="3">
        <v>47</v>
      </c>
      <c r="N875" s="3">
        <f>AVERAGE($I$2:$I$1168)</f>
        <v>78.907455012853475</v>
      </c>
      <c r="O875" s="3" t="str">
        <f>CONCATENATE(A875,"-",B875)</f>
        <v>544-Whirlipede</v>
      </c>
    </row>
    <row r="876" spans="1:15">
      <c r="A876" s="63">
        <v>544</v>
      </c>
      <c r="B876" s="2" t="str">
        <f>B875</f>
        <v>Whirlipede</v>
      </c>
      <c r="C876" t="s">
        <v>17</v>
      </c>
      <c r="D876" s="22">
        <f>COUNTIF($C$2:$C$1168,Tabela1[[#This Row],[Type]])</f>
        <v>61</v>
      </c>
      <c r="E876" s="62" t="str">
        <f>IF(A876&lt;=151,"Kanto",IF(A876&lt;=251,"Johto",IF(A876&lt;=386,"Hoenn",IF(A876&lt;=493,"Sinnoh",IF(A876&lt;=649,"Unova",IF(A876&lt;=721,"Kalos",IF(A876&lt;=809,"Alola",IF(A876&lt;=905,"Galar","Paldea"))))))))</f>
        <v>Unova</v>
      </c>
      <c r="F876" t="str">
        <f>IF(G876&gt;=600,"Lendário",IF(G876&gt;=500,"Forte","Normal"))</f>
        <v>Normal</v>
      </c>
      <c r="G876" s="3">
        <f>G875</f>
        <v>360</v>
      </c>
      <c r="H876" s="3">
        <f>H875</f>
        <v>40</v>
      </c>
      <c r="I876" s="3">
        <f>I875</f>
        <v>55</v>
      </c>
      <c r="J876" s="3">
        <f>J875</f>
        <v>99</v>
      </c>
      <c r="K876" s="3">
        <f>K875</f>
        <v>40</v>
      </c>
      <c r="L876" s="3">
        <f>L875</f>
        <v>79</v>
      </c>
      <c r="M876" s="3">
        <f>M875</f>
        <v>47</v>
      </c>
      <c r="N876" s="3">
        <f>AVERAGE($I$2:$I$1168)</f>
        <v>78.907455012853475</v>
      </c>
      <c r="O876" s="3" t="str">
        <f>CONCATENATE(A876,"-",B876)</f>
        <v>544-Whirlipede</v>
      </c>
    </row>
    <row r="877" spans="1:15">
      <c r="A877" s="63">
        <v>545</v>
      </c>
      <c r="B877" s="2" t="s">
        <v>619</v>
      </c>
      <c r="C877" t="s">
        <v>35</v>
      </c>
      <c r="D877" s="22">
        <f>COUNTIF($C$2:$C$1168,Tabela1[[#This Row],[Type]])</f>
        <v>71</v>
      </c>
      <c r="E877" s="62" t="str">
        <f>IF(A877&lt;=151,"Kanto",IF(A877&lt;=251,"Johto",IF(A877&lt;=386,"Hoenn",IF(A877&lt;=493,"Sinnoh",IF(A877&lt;=649,"Unova",IF(A877&lt;=721,"Kalos",IF(A877&lt;=809,"Alola",IF(A877&lt;=905,"Galar","Paldea"))))))))</f>
        <v>Unova</v>
      </c>
      <c r="F877" t="str">
        <f>IF(G877&gt;=600,"Lendário",IF(G877&gt;=500,"Forte","Normal"))</f>
        <v>Normal</v>
      </c>
      <c r="G877" s="3">
        <v>475</v>
      </c>
      <c r="H877" s="3">
        <v>60</v>
      </c>
      <c r="I877" s="3">
        <v>90</v>
      </c>
      <c r="J877" s="3">
        <v>89</v>
      </c>
      <c r="K877" s="3">
        <v>55</v>
      </c>
      <c r="L877" s="3">
        <v>69</v>
      </c>
      <c r="M877" s="3">
        <v>112</v>
      </c>
      <c r="N877" s="3">
        <f>AVERAGE($I$2:$I$1168)</f>
        <v>78.907455012853475</v>
      </c>
      <c r="O877" s="3" t="str">
        <f>CONCATENATE(A877,"-",B877)</f>
        <v>545-Scolipede</v>
      </c>
    </row>
    <row r="878" spans="1:15">
      <c r="A878" s="63">
        <v>545</v>
      </c>
      <c r="B878" s="2" t="str">
        <f>B877</f>
        <v>Scolipede</v>
      </c>
      <c r="C878" t="s">
        <v>17</v>
      </c>
      <c r="D878" s="22">
        <f>COUNTIF($C$2:$C$1168,Tabela1[[#This Row],[Type]])</f>
        <v>61</v>
      </c>
      <c r="E878" s="62" t="str">
        <f>IF(A878&lt;=151,"Kanto",IF(A878&lt;=251,"Johto",IF(A878&lt;=386,"Hoenn",IF(A878&lt;=493,"Sinnoh",IF(A878&lt;=649,"Unova",IF(A878&lt;=721,"Kalos",IF(A878&lt;=809,"Alola",IF(A878&lt;=905,"Galar","Paldea"))))))))</f>
        <v>Unova</v>
      </c>
      <c r="F878" t="str">
        <f>IF(G878&gt;=600,"Lendário",IF(G878&gt;=500,"Forte","Normal"))</f>
        <v>Normal</v>
      </c>
      <c r="G878" s="3">
        <f>G877</f>
        <v>475</v>
      </c>
      <c r="H878" s="3">
        <f>H877</f>
        <v>60</v>
      </c>
      <c r="I878" s="3">
        <f>I877</f>
        <v>90</v>
      </c>
      <c r="J878" s="3">
        <f>J877</f>
        <v>89</v>
      </c>
      <c r="K878" s="3">
        <f>K877</f>
        <v>55</v>
      </c>
      <c r="L878" s="3">
        <f>L877</f>
        <v>69</v>
      </c>
      <c r="M878" s="3">
        <f>M877</f>
        <v>112</v>
      </c>
      <c r="N878" s="3">
        <f>AVERAGE($I$2:$I$1168)</f>
        <v>78.907455012853475</v>
      </c>
      <c r="O878" s="3" t="str">
        <f>CONCATENATE(A878,"-",B878)</f>
        <v>545-Scolipede</v>
      </c>
    </row>
    <row r="879" spans="1:15">
      <c r="A879" s="63">
        <v>546</v>
      </c>
      <c r="B879" s="2" t="s">
        <v>620</v>
      </c>
      <c r="C879" t="s">
        <v>16</v>
      </c>
      <c r="D879" s="22">
        <f>COUNTIF($C$2:$C$1168,Tabela1[[#This Row],[Type]])</f>
        <v>93</v>
      </c>
      <c r="E879" s="62" t="str">
        <f>IF(A879&lt;=151,"Kanto",IF(A879&lt;=251,"Johto",IF(A879&lt;=386,"Hoenn",IF(A879&lt;=493,"Sinnoh",IF(A879&lt;=649,"Unova",IF(A879&lt;=721,"Kalos",IF(A879&lt;=809,"Alola",IF(A879&lt;=905,"Galar","Paldea"))))))))</f>
        <v>Unova</v>
      </c>
      <c r="F879" t="str">
        <f>IF(G879&gt;=600,"Lendário",IF(G879&gt;=500,"Forte","Normal"))</f>
        <v>Normal</v>
      </c>
      <c r="G879" s="3">
        <v>280</v>
      </c>
      <c r="H879" s="3">
        <v>40</v>
      </c>
      <c r="I879" s="3">
        <v>27</v>
      </c>
      <c r="J879" s="3">
        <v>60</v>
      </c>
      <c r="K879" s="3">
        <v>37</v>
      </c>
      <c r="L879" s="3">
        <v>50</v>
      </c>
      <c r="M879" s="3">
        <v>66</v>
      </c>
      <c r="N879" s="3">
        <f>AVERAGE($I$2:$I$1168)</f>
        <v>78.907455012853475</v>
      </c>
      <c r="O879" s="3" t="str">
        <f>CONCATENATE(A879,"-",B879)</f>
        <v>546-Cottonee</v>
      </c>
    </row>
    <row r="880" spans="1:15">
      <c r="A880" s="63">
        <v>547</v>
      </c>
      <c r="B880" s="2" t="s">
        <v>621</v>
      </c>
      <c r="C880" t="s">
        <v>16</v>
      </c>
      <c r="D880" s="22">
        <f>COUNTIF($C$2:$C$1168,Tabela1[[#This Row],[Type]])</f>
        <v>93</v>
      </c>
      <c r="E880" s="62" t="str">
        <f>IF(A880&lt;=151,"Kanto",IF(A880&lt;=251,"Johto",IF(A880&lt;=386,"Hoenn",IF(A880&lt;=493,"Sinnoh",IF(A880&lt;=649,"Unova",IF(A880&lt;=721,"Kalos",IF(A880&lt;=809,"Alola",IF(A880&lt;=905,"Galar","Paldea"))))))))</f>
        <v>Unova</v>
      </c>
      <c r="F880" t="str">
        <f>IF(G880&gt;=600,"Lendário",IF(G880&gt;=500,"Forte","Normal"))</f>
        <v>Normal</v>
      </c>
      <c r="G880" s="3">
        <v>480</v>
      </c>
      <c r="H880" s="3">
        <v>60</v>
      </c>
      <c r="I880" s="3">
        <v>67</v>
      </c>
      <c r="J880" s="3">
        <v>85</v>
      </c>
      <c r="K880" s="3">
        <v>77</v>
      </c>
      <c r="L880" s="3">
        <v>75</v>
      </c>
      <c r="M880" s="3">
        <v>116</v>
      </c>
      <c r="N880" s="3">
        <f>AVERAGE($I$2:$I$1168)</f>
        <v>78.907455012853475</v>
      </c>
      <c r="O880" s="3" t="str">
        <f>CONCATENATE(A880,"-",B880)</f>
        <v>547-Whimsicott</v>
      </c>
    </row>
    <row r="881" spans="1:15">
      <c r="A881" s="63">
        <v>548</v>
      </c>
      <c r="B881" s="2" t="s">
        <v>622</v>
      </c>
      <c r="C881" t="s">
        <v>16</v>
      </c>
      <c r="D881" s="22">
        <f>COUNTIF($C$2:$C$1168,Tabela1[[#This Row],[Type]])</f>
        <v>93</v>
      </c>
      <c r="E881" s="62" t="str">
        <f>IF(A881&lt;=151,"Kanto",IF(A881&lt;=251,"Johto",IF(A881&lt;=386,"Hoenn",IF(A881&lt;=493,"Sinnoh",IF(A881&lt;=649,"Unova",IF(A881&lt;=721,"Kalos",IF(A881&lt;=809,"Alola",IF(A881&lt;=905,"Galar","Paldea"))))))))</f>
        <v>Unova</v>
      </c>
      <c r="F881" t="str">
        <f>IF(G881&gt;=600,"Lendário",IF(G881&gt;=500,"Forte","Normal"))</f>
        <v>Normal</v>
      </c>
      <c r="G881" s="3">
        <v>280</v>
      </c>
      <c r="H881" s="3">
        <v>45</v>
      </c>
      <c r="I881" s="3">
        <v>35</v>
      </c>
      <c r="J881" s="3">
        <v>50</v>
      </c>
      <c r="K881" s="3">
        <v>70</v>
      </c>
      <c r="L881" s="3">
        <v>50</v>
      </c>
      <c r="M881" s="3">
        <v>30</v>
      </c>
      <c r="N881" s="3">
        <f>AVERAGE($I$2:$I$1168)</f>
        <v>78.907455012853475</v>
      </c>
      <c r="O881" s="3" t="str">
        <f>CONCATENATE(A881,"-",B881)</f>
        <v>548-Petilil</v>
      </c>
    </row>
    <row r="882" spans="1:15">
      <c r="A882" s="63">
        <v>549</v>
      </c>
      <c r="B882" s="2" t="s">
        <v>623</v>
      </c>
      <c r="C882" t="s">
        <v>16</v>
      </c>
      <c r="D882" s="22">
        <f>COUNTIF($C$2:$C$1168,Tabela1[[#This Row],[Type]])</f>
        <v>93</v>
      </c>
      <c r="E882" s="62" t="str">
        <f>IF(A882&lt;=151,"Kanto",IF(A882&lt;=251,"Johto",IF(A882&lt;=386,"Hoenn",IF(A882&lt;=493,"Sinnoh",IF(A882&lt;=649,"Unova",IF(A882&lt;=721,"Kalos",IF(A882&lt;=809,"Alola",IF(A882&lt;=905,"Galar","Paldea"))))))))</f>
        <v>Unova</v>
      </c>
      <c r="F882" t="str">
        <f>IF(G882&gt;=600,"Lendário",IF(G882&gt;=500,"Forte","Normal"))</f>
        <v>Normal</v>
      </c>
      <c r="G882" s="3">
        <v>480</v>
      </c>
      <c r="H882" s="3">
        <v>70</v>
      </c>
      <c r="I882" s="3">
        <v>60</v>
      </c>
      <c r="J882" s="3">
        <v>75</v>
      </c>
      <c r="K882" s="3">
        <v>110</v>
      </c>
      <c r="L882" s="3">
        <v>75</v>
      </c>
      <c r="M882" s="3">
        <v>90</v>
      </c>
      <c r="N882" s="3">
        <f>AVERAGE($I$2:$I$1168)</f>
        <v>78.907455012853475</v>
      </c>
      <c r="O882" s="3" t="str">
        <f>CONCATENATE(A882,"-",B882)</f>
        <v>549-Lilligant</v>
      </c>
    </row>
    <row r="883" spans="1:15">
      <c r="A883" s="63">
        <v>550</v>
      </c>
      <c r="B883" s="2" t="s">
        <v>624</v>
      </c>
      <c r="C883" t="s">
        <v>30</v>
      </c>
      <c r="D883" s="22">
        <f>COUNTIF($C$2:$C$1168,Tabela1[[#This Row],[Type]])</f>
        <v>121</v>
      </c>
      <c r="E883" s="62" t="str">
        <f>IF(A883&lt;=151,"Kanto",IF(A883&lt;=251,"Johto",IF(A883&lt;=386,"Hoenn",IF(A883&lt;=493,"Sinnoh",IF(A883&lt;=649,"Unova",IF(A883&lt;=721,"Kalos",IF(A883&lt;=809,"Alola",IF(A883&lt;=905,"Galar","Paldea"))))))))</f>
        <v>Unova</v>
      </c>
      <c r="F883" t="str">
        <f>IF(G883&gt;=600,"Lendário",IF(G883&gt;=500,"Forte","Normal"))</f>
        <v>Normal</v>
      </c>
      <c r="G883" s="3">
        <v>460</v>
      </c>
      <c r="H883" s="3">
        <v>70</v>
      </c>
      <c r="I883" s="3">
        <v>92</v>
      </c>
      <c r="J883" s="3">
        <v>65</v>
      </c>
      <c r="K883" s="3">
        <v>80</v>
      </c>
      <c r="L883" s="3">
        <v>55</v>
      </c>
      <c r="M883" s="3">
        <v>98</v>
      </c>
      <c r="N883" s="3">
        <f>AVERAGE($I$2:$I$1168)</f>
        <v>78.907455012853475</v>
      </c>
      <c r="O883" s="3" t="str">
        <f>CONCATENATE(A883,"-",B883)</f>
        <v>550-Basculin</v>
      </c>
    </row>
    <row r="884" spans="1:15">
      <c r="A884" s="63">
        <v>551</v>
      </c>
      <c r="B884" s="2" t="s">
        <v>625</v>
      </c>
      <c r="C884" t="s">
        <v>55</v>
      </c>
      <c r="D884" s="22">
        <f>COUNTIF($C$2:$C$1168,Tabela1[[#This Row],[Type]])</f>
        <v>62</v>
      </c>
      <c r="E884" s="62" t="str">
        <f>IF(A884&lt;=151,"Kanto",IF(A884&lt;=251,"Johto",IF(A884&lt;=386,"Hoenn",IF(A884&lt;=493,"Sinnoh",IF(A884&lt;=649,"Unova",IF(A884&lt;=721,"Kalos",IF(A884&lt;=809,"Alola",IF(A884&lt;=905,"Galar","Paldea"))))))))</f>
        <v>Unova</v>
      </c>
      <c r="F884" t="str">
        <f>IF(G884&gt;=600,"Lendário",IF(G884&gt;=500,"Forte","Normal"))</f>
        <v>Normal</v>
      </c>
      <c r="G884" s="3">
        <v>292</v>
      </c>
      <c r="H884" s="3">
        <v>50</v>
      </c>
      <c r="I884" s="3">
        <v>72</v>
      </c>
      <c r="J884" s="3">
        <v>35</v>
      </c>
      <c r="K884" s="3">
        <v>35</v>
      </c>
      <c r="L884" s="3">
        <v>35</v>
      </c>
      <c r="M884" s="3">
        <v>65</v>
      </c>
      <c r="N884" s="3">
        <f>AVERAGE($I$2:$I$1168)</f>
        <v>78.907455012853475</v>
      </c>
      <c r="O884" s="3" t="str">
        <f>CONCATENATE(A884,"-",B884)</f>
        <v>551-Sandile</v>
      </c>
    </row>
    <row r="885" spans="1:15">
      <c r="A885" s="63">
        <v>551</v>
      </c>
      <c r="B885" s="2" t="str">
        <f>B884</f>
        <v>Sandile</v>
      </c>
      <c r="C885" t="s">
        <v>170</v>
      </c>
      <c r="D885" s="22">
        <f>COUNTIF($C$2:$C$1168,Tabela1[[#This Row],[Type]])</f>
        <v>49</v>
      </c>
      <c r="E885" s="62" t="str">
        <f>IF(A885&lt;=151,"Kanto",IF(A885&lt;=251,"Johto",IF(A885&lt;=386,"Hoenn",IF(A885&lt;=493,"Sinnoh",IF(A885&lt;=649,"Unova",IF(A885&lt;=721,"Kalos",IF(A885&lt;=809,"Alola",IF(A885&lt;=905,"Galar","Paldea"))))))))</f>
        <v>Unova</v>
      </c>
      <c r="F885" t="str">
        <f>IF(G885&gt;=600,"Lendário",IF(G885&gt;=500,"Forte","Normal"))</f>
        <v>Normal</v>
      </c>
      <c r="G885" s="3">
        <f>G884</f>
        <v>292</v>
      </c>
      <c r="H885" s="3">
        <f>H884</f>
        <v>50</v>
      </c>
      <c r="I885" s="3">
        <f>I884</f>
        <v>72</v>
      </c>
      <c r="J885" s="3">
        <f>J884</f>
        <v>35</v>
      </c>
      <c r="K885" s="3">
        <f>K884</f>
        <v>35</v>
      </c>
      <c r="L885" s="3">
        <f>L884</f>
        <v>35</v>
      </c>
      <c r="M885" s="3">
        <f>M884</f>
        <v>65</v>
      </c>
      <c r="N885" s="3">
        <f>AVERAGE($I$2:$I$1168)</f>
        <v>78.907455012853475</v>
      </c>
      <c r="O885" s="3" t="str">
        <f>CONCATENATE(A885,"-",B885)</f>
        <v>551-Sandile</v>
      </c>
    </row>
    <row r="886" spans="1:15">
      <c r="A886" s="63">
        <v>552</v>
      </c>
      <c r="B886" s="2" t="s">
        <v>626</v>
      </c>
      <c r="C886" t="s">
        <v>55</v>
      </c>
      <c r="D886" s="22">
        <f>COUNTIF($C$2:$C$1168,Tabela1[[#This Row],[Type]])</f>
        <v>62</v>
      </c>
      <c r="E886" s="62" t="str">
        <f>IF(A886&lt;=151,"Kanto",IF(A886&lt;=251,"Johto",IF(A886&lt;=386,"Hoenn",IF(A886&lt;=493,"Sinnoh",IF(A886&lt;=649,"Unova",IF(A886&lt;=721,"Kalos",IF(A886&lt;=809,"Alola",IF(A886&lt;=905,"Galar","Paldea"))))))))</f>
        <v>Unova</v>
      </c>
      <c r="F886" t="str">
        <f>IF(G886&gt;=600,"Lendário",IF(G886&gt;=500,"Forte","Normal"))</f>
        <v>Normal</v>
      </c>
      <c r="G886" s="3">
        <v>351</v>
      </c>
      <c r="H886" s="3">
        <v>60</v>
      </c>
      <c r="I886" s="3">
        <v>82</v>
      </c>
      <c r="J886" s="3">
        <v>45</v>
      </c>
      <c r="K886" s="3">
        <v>45</v>
      </c>
      <c r="L886" s="3">
        <v>45</v>
      </c>
      <c r="M886" s="3">
        <v>74</v>
      </c>
      <c r="N886" s="3">
        <f>AVERAGE($I$2:$I$1168)</f>
        <v>78.907455012853475</v>
      </c>
      <c r="O886" s="3" t="str">
        <f>CONCATENATE(A886,"-",B886)</f>
        <v>552-Krokorok</v>
      </c>
    </row>
    <row r="887" spans="1:15">
      <c r="A887" s="63">
        <v>552</v>
      </c>
      <c r="B887" s="2" t="str">
        <f>B886</f>
        <v>Krokorok</v>
      </c>
      <c r="C887" t="s">
        <v>170</v>
      </c>
      <c r="D887" s="22">
        <f>COUNTIF($C$2:$C$1168,Tabela1[[#This Row],[Type]])</f>
        <v>49</v>
      </c>
      <c r="E887" s="62" t="str">
        <f>IF(A887&lt;=151,"Kanto",IF(A887&lt;=251,"Johto",IF(A887&lt;=386,"Hoenn",IF(A887&lt;=493,"Sinnoh",IF(A887&lt;=649,"Unova",IF(A887&lt;=721,"Kalos",IF(A887&lt;=809,"Alola",IF(A887&lt;=905,"Galar","Paldea"))))))))</f>
        <v>Unova</v>
      </c>
      <c r="F887" t="str">
        <f>IF(G887&gt;=600,"Lendário",IF(G887&gt;=500,"Forte","Normal"))</f>
        <v>Normal</v>
      </c>
      <c r="G887" s="3">
        <f>G886</f>
        <v>351</v>
      </c>
      <c r="H887" s="3">
        <f>H886</f>
        <v>60</v>
      </c>
      <c r="I887" s="3">
        <f>I886</f>
        <v>82</v>
      </c>
      <c r="J887" s="3">
        <f>J886</f>
        <v>45</v>
      </c>
      <c r="K887" s="3">
        <f>K886</f>
        <v>45</v>
      </c>
      <c r="L887" s="3">
        <f>L886</f>
        <v>45</v>
      </c>
      <c r="M887" s="3">
        <f>M886</f>
        <v>74</v>
      </c>
      <c r="N887" s="3">
        <f>AVERAGE($I$2:$I$1168)</f>
        <v>78.907455012853475</v>
      </c>
      <c r="O887" s="3" t="str">
        <f>CONCATENATE(A887,"-",B887)</f>
        <v>552-Krokorok</v>
      </c>
    </row>
    <row r="888" spans="1:15">
      <c r="A888" s="63">
        <v>553</v>
      </c>
      <c r="B888" s="2" t="s">
        <v>627</v>
      </c>
      <c r="C888" t="s">
        <v>55</v>
      </c>
      <c r="D888" s="22">
        <f>COUNTIF($C$2:$C$1168,Tabela1[[#This Row],[Type]])</f>
        <v>62</v>
      </c>
      <c r="E888" s="62" t="str">
        <f>IF(A888&lt;=151,"Kanto",IF(A888&lt;=251,"Johto",IF(A888&lt;=386,"Hoenn",IF(A888&lt;=493,"Sinnoh",IF(A888&lt;=649,"Unova",IF(A888&lt;=721,"Kalos",IF(A888&lt;=809,"Alola",IF(A888&lt;=905,"Galar","Paldea"))))))))</f>
        <v>Unova</v>
      </c>
      <c r="F888" t="str">
        <f>IF(G888&gt;=600,"Lendário",IF(G888&gt;=500,"Forte","Normal"))</f>
        <v>Forte</v>
      </c>
      <c r="G888" s="3">
        <v>509</v>
      </c>
      <c r="H888" s="3">
        <v>95</v>
      </c>
      <c r="I888" s="3">
        <v>117</v>
      </c>
      <c r="J888" s="3">
        <v>70</v>
      </c>
      <c r="K888" s="3">
        <v>65</v>
      </c>
      <c r="L888" s="3">
        <v>70</v>
      </c>
      <c r="M888" s="3">
        <v>92</v>
      </c>
      <c r="N888" s="3">
        <f>AVERAGE($I$2:$I$1168)</f>
        <v>78.907455012853475</v>
      </c>
      <c r="O888" s="3" t="str">
        <f>CONCATENATE(A888,"-",B888)</f>
        <v>553-Krookodile</v>
      </c>
    </row>
    <row r="889" spans="1:15">
      <c r="A889" s="63">
        <v>553</v>
      </c>
      <c r="B889" s="2" t="str">
        <f>B888</f>
        <v>Krookodile</v>
      </c>
      <c r="C889" t="s">
        <v>170</v>
      </c>
      <c r="D889" s="22">
        <f>COUNTIF($C$2:$C$1168,Tabela1[[#This Row],[Type]])</f>
        <v>49</v>
      </c>
      <c r="E889" s="62" t="str">
        <f>IF(A889&lt;=151,"Kanto",IF(A889&lt;=251,"Johto",IF(A889&lt;=386,"Hoenn",IF(A889&lt;=493,"Sinnoh",IF(A889&lt;=649,"Unova",IF(A889&lt;=721,"Kalos",IF(A889&lt;=809,"Alola",IF(A889&lt;=905,"Galar","Paldea"))))))))</f>
        <v>Unova</v>
      </c>
      <c r="F889" t="str">
        <f>IF(G889&gt;=600,"Lendário",IF(G889&gt;=500,"Forte","Normal"))</f>
        <v>Forte</v>
      </c>
      <c r="G889" s="3">
        <f>G888</f>
        <v>509</v>
      </c>
      <c r="H889" s="3">
        <f>H888</f>
        <v>95</v>
      </c>
      <c r="I889" s="3">
        <f>I888</f>
        <v>117</v>
      </c>
      <c r="J889" s="3">
        <f>J888</f>
        <v>70</v>
      </c>
      <c r="K889" s="3">
        <f>K888</f>
        <v>65</v>
      </c>
      <c r="L889" s="3">
        <f>L888</f>
        <v>70</v>
      </c>
      <c r="M889" s="3">
        <f>M888</f>
        <v>92</v>
      </c>
      <c r="N889" s="3">
        <f>AVERAGE($I$2:$I$1168)</f>
        <v>78.907455012853475</v>
      </c>
      <c r="O889" s="3" t="str">
        <f>CONCATENATE(A889,"-",B889)</f>
        <v>553-Krookodile</v>
      </c>
    </row>
    <row r="890" spans="1:15">
      <c r="A890" s="63">
        <v>554</v>
      </c>
      <c r="B890" s="2" t="s">
        <v>628</v>
      </c>
      <c r="C890" t="s">
        <v>22</v>
      </c>
      <c r="D890" s="22">
        <f>COUNTIF($C$2:$C$1168,Tabela1[[#This Row],[Type]])</f>
        <v>62</v>
      </c>
      <c r="E890" s="62" t="str">
        <f>IF(A890&lt;=151,"Kanto",IF(A890&lt;=251,"Johto",IF(A890&lt;=386,"Hoenn",IF(A890&lt;=493,"Sinnoh",IF(A890&lt;=649,"Unova",IF(A890&lt;=721,"Kalos",IF(A890&lt;=809,"Alola",IF(A890&lt;=905,"Galar","Paldea"))))))))</f>
        <v>Unova</v>
      </c>
      <c r="F890" t="str">
        <f>IF(G890&gt;=600,"Lendário",IF(G890&gt;=500,"Forte","Normal"))</f>
        <v>Normal</v>
      </c>
      <c r="G890" s="3">
        <v>315</v>
      </c>
      <c r="H890" s="3">
        <v>70</v>
      </c>
      <c r="I890" s="3">
        <v>90</v>
      </c>
      <c r="J890" s="3">
        <v>45</v>
      </c>
      <c r="K890" s="3">
        <v>15</v>
      </c>
      <c r="L890" s="3">
        <v>45</v>
      </c>
      <c r="M890" s="3">
        <v>50</v>
      </c>
      <c r="N890" s="3">
        <f>AVERAGE($I$2:$I$1168)</f>
        <v>78.907455012853475</v>
      </c>
      <c r="O890" s="3" t="str">
        <f>CONCATENATE(A890,"-",B890)</f>
        <v>554-Darumaka</v>
      </c>
    </row>
    <row r="891" spans="1:15">
      <c r="A891" s="63">
        <v>555</v>
      </c>
      <c r="B891" s="2" t="s">
        <v>629</v>
      </c>
      <c r="C891" t="s">
        <v>22</v>
      </c>
      <c r="D891" s="22">
        <f>COUNTIF($C$2:$C$1168,Tabela1[[#This Row],[Type]])</f>
        <v>62</v>
      </c>
      <c r="E891" s="62" t="str">
        <f>IF(A891&lt;=151,"Kanto",IF(A891&lt;=251,"Johto",IF(A891&lt;=386,"Hoenn",IF(A891&lt;=493,"Sinnoh",IF(A891&lt;=649,"Unova",IF(A891&lt;=721,"Kalos",IF(A891&lt;=809,"Alola",IF(A891&lt;=905,"Galar","Paldea"))))))))</f>
        <v>Unova</v>
      </c>
      <c r="F891" t="str">
        <f>IF(G891&gt;=600,"Lendário",IF(G891&gt;=500,"Forte","Normal"))</f>
        <v>Normal</v>
      </c>
      <c r="G891" s="3">
        <v>480</v>
      </c>
      <c r="H891" s="3">
        <v>105</v>
      </c>
      <c r="I891" s="3">
        <v>140</v>
      </c>
      <c r="J891" s="3">
        <v>55</v>
      </c>
      <c r="K891" s="3">
        <v>30</v>
      </c>
      <c r="L891" s="3">
        <v>55</v>
      </c>
      <c r="M891" s="3">
        <v>95</v>
      </c>
      <c r="N891" s="3">
        <f>AVERAGE($I$2:$I$1168)</f>
        <v>78.907455012853475</v>
      </c>
      <c r="O891" s="3" t="str">
        <f>CONCATENATE(A891,"-",B891)</f>
        <v>555-Darmanitan- Standard Mode</v>
      </c>
    </row>
    <row r="892" spans="1:15">
      <c r="A892" s="63">
        <v>555</v>
      </c>
      <c r="B892" s="2" t="s">
        <v>629</v>
      </c>
      <c r="C892" t="str">
        <f>C891</f>
        <v>FIRE</v>
      </c>
      <c r="D892" s="22">
        <f>COUNTIF($C$2:$C$1168,Tabela1[[#This Row],[Type]])</f>
        <v>62</v>
      </c>
      <c r="E892" s="62" t="str">
        <f>IF(A892&lt;=151,"Kanto",IF(A892&lt;=251,"Johto",IF(A892&lt;=386,"Hoenn",IF(A892&lt;=493,"Sinnoh",IF(A892&lt;=649,"Unova",IF(A892&lt;=721,"Kalos",IF(A892&lt;=809,"Alola",IF(A892&lt;=905,"Galar","Paldea"))))))))</f>
        <v>Unova</v>
      </c>
      <c r="F892" t="str">
        <f>IF(G892&gt;=600,"Lendário",IF(G892&gt;=500,"Forte","Normal"))</f>
        <v>Normal</v>
      </c>
      <c r="G892" s="3">
        <f>G891</f>
        <v>480</v>
      </c>
      <c r="H892" s="3">
        <f>H891</f>
        <v>105</v>
      </c>
      <c r="I892" s="3">
        <f>I891</f>
        <v>140</v>
      </c>
      <c r="J892" s="3">
        <f>J891</f>
        <v>55</v>
      </c>
      <c r="K892" s="3">
        <f>K891</f>
        <v>30</v>
      </c>
      <c r="L892" s="3">
        <f>L891</f>
        <v>55</v>
      </c>
      <c r="M892" s="3">
        <f>M891</f>
        <v>95</v>
      </c>
      <c r="N892" s="3">
        <f>AVERAGE($I$2:$I$1168)</f>
        <v>78.907455012853475</v>
      </c>
      <c r="O892" s="3" t="str">
        <f>CONCATENATE(A892,"-",B892)</f>
        <v>555-Darmanitan- Standard Mode</v>
      </c>
    </row>
    <row r="893" spans="1:15">
      <c r="A893" s="63">
        <v>555.1</v>
      </c>
      <c r="B893" s="2" t="s">
        <v>630</v>
      </c>
      <c r="C893" t="s">
        <v>22</v>
      </c>
      <c r="D893" s="22">
        <f>COUNTIF($C$2:$C$1168,Tabela1[[#This Row],[Type]])</f>
        <v>62</v>
      </c>
      <c r="E893" s="62" t="str">
        <f>IF(A893&lt;=151,"Kanto",IF(A893&lt;=251,"Johto",IF(A893&lt;=386,"Hoenn",IF(A893&lt;=493,"Sinnoh",IF(A893&lt;=649,"Unova",IF(A893&lt;=721,"Kalos",IF(A893&lt;=809,"Alola",IF(A893&lt;=905,"Galar","Paldea"))))))))</f>
        <v>Unova</v>
      </c>
      <c r="F893" t="str">
        <f>IF(G893&gt;=600,"Lendário",IF(G893&gt;=500,"Forte","Normal"))</f>
        <v>Forte</v>
      </c>
      <c r="G893" s="3">
        <v>540</v>
      </c>
      <c r="H893" s="3">
        <v>105</v>
      </c>
      <c r="I893" s="3">
        <v>30</v>
      </c>
      <c r="J893" s="3">
        <v>105</v>
      </c>
      <c r="K893" s="3">
        <v>140</v>
      </c>
      <c r="L893" s="3">
        <v>105</v>
      </c>
      <c r="M893" s="3">
        <v>55</v>
      </c>
      <c r="N893" s="3">
        <f>AVERAGE($I$2:$I$1168)</f>
        <v>78.907455012853475</v>
      </c>
      <c r="O893" s="3" t="str">
        <f>CONCATENATE(A893,"-",B893)</f>
        <v>555,1-Darmanitan- Zen Mode</v>
      </c>
    </row>
    <row r="894" spans="1:15">
      <c r="A894" s="63">
        <v>555.1</v>
      </c>
      <c r="B894" s="2" t="s">
        <v>630</v>
      </c>
      <c r="C894" t="s">
        <v>94</v>
      </c>
      <c r="D894" s="22">
        <f>COUNTIF($C$2:$C$1168,Tabela1[[#This Row],[Type]])</f>
        <v>83</v>
      </c>
      <c r="E894" s="62" t="str">
        <f>IF(A894&lt;=151,"Kanto",IF(A894&lt;=251,"Johto",IF(A894&lt;=386,"Hoenn",IF(A894&lt;=493,"Sinnoh",IF(A894&lt;=649,"Unova",IF(A894&lt;=721,"Kalos",IF(A894&lt;=809,"Alola",IF(A894&lt;=905,"Galar","Paldea"))))))))</f>
        <v>Unova</v>
      </c>
      <c r="F894" t="str">
        <f>IF(G894&gt;=600,"Lendário",IF(G894&gt;=500,"Forte","Normal"))</f>
        <v>Forte</v>
      </c>
      <c r="G894" s="3">
        <f>G893</f>
        <v>540</v>
      </c>
      <c r="H894" s="3">
        <f>H893</f>
        <v>105</v>
      </c>
      <c r="I894" s="3">
        <f>I893</f>
        <v>30</v>
      </c>
      <c r="J894" s="3">
        <f>J893</f>
        <v>105</v>
      </c>
      <c r="K894" s="3">
        <f>K893</f>
        <v>140</v>
      </c>
      <c r="L894" s="3">
        <f>L893</f>
        <v>105</v>
      </c>
      <c r="M894" s="3">
        <f>M893</f>
        <v>55</v>
      </c>
      <c r="N894" s="3">
        <f>AVERAGE($I$2:$I$1168)</f>
        <v>78.907455012853475</v>
      </c>
      <c r="O894" s="3" t="str">
        <f>CONCATENATE(A894,"-",B894)</f>
        <v>555,1-Darmanitan- Zen Mode</v>
      </c>
    </row>
    <row r="895" spans="1:15">
      <c r="A895" s="63">
        <v>556</v>
      </c>
      <c r="B895" s="2" t="s">
        <v>631</v>
      </c>
      <c r="C895" t="s">
        <v>16</v>
      </c>
      <c r="D895" s="22">
        <f>COUNTIF($C$2:$C$1168,Tabela1[[#This Row],[Type]])</f>
        <v>93</v>
      </c>
      <c r="E895" s="62" t="str">
        <f>IF(A895&lt;=151,"Kanto",IF(A895&lt;=251,"Johto",IF(A895&lt;=386,"Hoenn",IF(A895&lt;=493,"Sinnoh",IF(A895&lt;=649,"Unova",IF(A895&lt;=721,"Kalos",IF(A895&lt;=809,"Alola",IF(A895&lt;=905,"Galar","Paldea"))))))))</f>
        <v>Unova</v>
      </c>
      <c r="F895" t="str">
        <f>IF(G895&gt;=600,"Lendário",IF(G895&gt;=500,"Forte","Normal"))</f>
        <v>Normal</v>
      </c>
      <c r="G895" s="3">
        <v>461</v>
      </c>
      <c r="H895" s="3">
        <v>75</v>
      </c>
      <c r="I895" s="3">
        <v>86</v>
      </c>
      <c r="J895" s="3">
        <v>67</v>
      </c>
      <c r="K895" s="3">
        <v>106</v>
      </c>
      <c r="L895" s="3">
        <v>67</v>
      </c>
      <c r="M895" s="3">
        <v>60</v>
      </c>
      <c r="N895" s="3">
        <f>AVERAGE($I$2:$I$1168)</f>
        <v>78.907455012853475</v>
      </c>
      <c r="O895" s="3" t="str">
        <f>CONCATENATE(A895,"-",B895)</f>
        <v>556-Maractus</v>
      </c>
    </row>
    <row r="896" spans="1:15">
      <c r="A896" s="63">
        <v>557</v>
      </c>
      <c r="B896" s="2" t="s">
        <v>632</v>
      </c>
      <c r="C896" t="s">
        <v>35</v>
      </c>
      <c r="D896" s="22">
        <f>COUNTIF($C$2:$C$1168,Tabela1[[#This Row],[Type]])</f>
        <v>71</v>
      </c>
      <c r="E896" s="62" t="str">
        <f>IF(A896&lt;=151,"Kanto",IF(A896&lt;=251,"Johto",IF(A896&lt;=386,"Hoenn",IF(A896&lt;=493,"Sinnoh",IF(A896&lt;=649,"Unova",IF(A896&lt;=721,"Kalos",IF(A896&lt;=809,"Alola",IF(A896&lt;=905,"Galar","Paldea"))))))))</f>
        <v>Unova</v>
      </c>
      <c r="F896" t="str">
        <f>IF(G896&gt;=600,"Lendário",IF(G896&gt;=500,"Forte","Normal"))</f>
        <v>Normal</v>
      </c>
      <c r="G896" s="3">
        <v>325</v>
      </c>
      <c r="H896" s="3">
        <v>50</v>
      </c>
      <c r="I896" s="3">
        <v>65</v>
      </c>
      <c r="J896" s="3">
        <v>85</v>
      </c>
      <c r="K896" s="3">
        <v>35</v>
      </c>
      <c r="L896" s="3">
        <v>35</v>
      </c>
      <c r="M896" s="3">
        <v>55</v>
      </c>
      <c r="N896" s="3">
        <f>AVERAGE($I$2:$I$1168)</f>
        <v>78.907455012853475</v>
      </c>
      <c r="O896" s="3" t="str">
        <f>CONCATENATE(A896,"-",B896)</f>
        <v>557-Dwebble</v>
      </c>
    </row>
    <row r="897" spans="1:15">
      <c r="A897" s="63">
        <v>557</v>
      </c>
      <c r="B897" s="2" t="str">
        <f>B896</f>
        <v>Dwebble</v>
      </c>
      <c r="C897" t="s">
        <v>107</v>
      </c>
      <c r="D897" s="22">
        <f>COUNTIF($C$2:$C$1168,Tabela1[[#This Row],[Type]])</f>
        <v>56</v>
      </c>
      <c r="E897" s="62" t="str">
        <f>IF(A897&lt;=151,"Kanto",IF(A897&lt;=251,"Johto",IF(A897&lt;=386,"Hoenn",IF(A897&lt;=493,"Sinnoh",IF(A897&lt;=649,"Unova",IF(A897&lt;=721,"Kalos",IF(A897&lt;=809,"Alola",IF(A897&lt;=905,"Galar","Paldea"))))))))</f>
        <v>Unova</v>
      </c>
      <c r="F897" t="str">
        <f>IF(G897&gt;=600,"Lendário",IF(G897&gt;=500,"Forte","Normal"))</f>
        <v>Normal</v>
      </c>
      <c r="G897" s="3">
        <f>G896</f>
        <v>325</v>
      </c>
      <c r="H897" s="3">
        <f>H896</f>
        <v>50</v>
      </c>
      <c r="I897" s="3">
        <f>I896</f>
        <v>65</v>
      </c>
      <c r="J897" s="3">
        <f>J896</f>
        <v>85</v>
      </c>
      <c r="K897" s="3">
        <f>K896</f>
        <v>35</v>
      </c>
      <c r="L897" s="3">
        <f>L896</f>
        <v>35</v>
      </c>
      <c r="M897" s="3">
        <f>M896</f>
        <v>55</v>
      </c>
      <c r="N897" s="3">
        <f>AVERAGE($I$2:$I$1168)</f>
        <v>78.907455012853475</v>
      </c>
      <c r="O897" s="3" t="str">
        <f>CONCATENATE(A897,"-",B897)</f>
        <v>557-Dwebble</v>
      </c>
    </row>
    <row r="898" spans="1:15">
      <c r="A898" s="63">
        <v>558</v>
      </c>
      <c r="B898" s="2" t="s">
        <v>633</v>
      </c>
      <c r="C898" t="s">
        <v>35</v>
      </c>
      <c r="D898" s="22">
        <f>COUNTIF($C$2:$C$1168,Tabela1[[#This Row],[Type]])</f>
        <v>71</v>
      </c>
      <c r="E898" s="62" t="str">
        <f>IF(A898&lt;=151,"Kanto",IF(A898&lt;=251,"Johto",IF(A898&lt;=386,"Hoenn",IF(A898&lt;=493,"Sinnoh",IF(A898&lt;=649,"Unova",IF(A898&lt;=721,"Kalos",IF(A898&lt;=809,"Alola",IF(A898&lt;=905,"Galar","Paldea"))))))))</f>
        <v>Unova</v>
      </c>
      <c r="F898" t="str">
        <f>IF(G898&gt;=600,"Lendário",IF(G898&gt;=500,"Forte","Normal"))</f>
        <v>Normal</v>
      </c>
      <c r="G898" s="3">
        <v>475</v>
      </c>
      <c r="H898" s="3">
        <v>70</v>
      </c>
      <c r="I898" s="3">
        <v>95</v>
      </c>
      <c r="J898" s="3">
        <v>125</v>
      </c>
      <c r="K898" s="3">
        <v>65</v>
      </c>
      <c r="L898" s="3">
        <v>75</v>
      </c>
      <c r="M898" s="3">
        <v>45</v>
      </c>
      <c r="N898" s="3">
        <f>AVERAGE($I$2:$I$1168)</f>
        <v>78.907455012853475</v>
      </c>
      <c r="O898" s="3" t="str">
        <f>CONCATENATE(A898,"-",B898)</f>
        <v>558-Crustle</v>
      </c>
    </row>
    <row r="899" spans="1:15">
      <c r="A899" s="63">
        <v>558</v>
      </c>
      <c r="B899" s="2" t="str">
        <f>B898</f>
        <v>Crustle</v>
      </c>
      <c r="C899" t="s">
        <v>107</v>
      </c>
      <c r="D899" s="22">
        <f>COUNTIF($C$2:$C$1168,Tabela1[[#This Row],[Type]])</f>
        <v>56</v>
      </c>
      <c r="E899" s="62" t="str">
        <f>IF(A899&lt;=151,"Kanto",IF(A899&lt;=251,"Johto",IF(A899&lt;=386,"Hoenn",IF(A899&lt;=493,"Sinnoh",IF(A899&lt;=649,"Unova",IF(A899&lt;=721,"Kalos",IF(A899&lt;=809,"Alola",IF(A899&lt;=905,"Galar","Paldea"))))))))</f>
        <v>Unova</v>
      </c>
      <c r="F899" t="str">
        <f>IF(G899&gt;=600,"Lendário",IF(G899&gt;=500,"Forte","Normal"))</f>
        <v>Normal</v>
      </c>
      <c r="G899" s="3">
        <f>G898</f>
        <v>475</v>
      </c>
      <c r="H899" s="3">
        <f>H898</f>
        <v>70</v>
      </c>
      <c r="I899" s="3">
        <f>I898</f>
        <v>95</v>
      </c>
      <c r="J899" s="3">
        <f>J898</f>
        <v>125</v>
      </c>
      <c r="K899" s="3">
        <f>K898</f>
        <v>65</v>
      </c>
      <c r="L899" s="3">
        <f>L898</f>
        <v>75</v>
      </c>
      <c r="M899" s="3">
        <f>M898</f>
        <v>45</v>
      </c>
      <c r="N899" s="3">
        <f>AVERAGE($I$2:$I$1168)</f>
        <v>78.907455012853475</v>
      </c>
      <c r="O899" s="3" t="str">
        <f>CONCATENATE(A899,"-",B899)</f>
        <v>558-Crustle</v>
      </c>
    </row>
    <row r="900" spans="1:15">
      <c r="A900" s="63">
        <v>559</v>
      </c>
      <c r="B900" s="2" t="s">
        <v>634</v>
      </c>
      <c r="C900" t="s">
        <v>170</v>
      </c>
      <c r="D900" s="22">
        <f>COUNTIF($C$2:$C$1168,Tabela1[[#This Row],[Type]])</f>
        <v>49</v>
      </c>
      <c r="E900" s="62" t="str">
        <f>IF(A900&lt;=151,"Kanto",IF(A900&lt;=251,"Johto",IF(A900&lt;=386,"Hoenn",IF(A900&lt;=493,"Sinnoh",IF(A900&lt;=649,"Unova",IF(A900&lt;=721,"Kalos",IF(A900&lt;=809,"Alola",IF(A900&lt;=905,"Galar","Paldea"))))))))</f>
        <v>Unova</v>
      </c>
      <c r="F900" t="str">
        <f>IF(G900&gt;=600,"Lendário",IF(G900&gt;=500,"Forte","Normal"))</f>
        <v>Normal</v>
      </c>
      <c r="G900" s="3">
        <v>348</v>
      </c>
      <c r="H900" s="3">
        <v>50</v>
      </c>
      <c r="I900" s="3">
        <v>75</v>
      </c>
      <c r="J900" s="3">
        <v>70</v>
      </c>
      <c r="K900" s="3">
        <v>35</v>
      </c>
      <c r="L900" s="3">
        <v>70</v>
      </c>
      <c r="M900" s="3">
        <v>48</v>
      </c>
      <c r="N900" s="3">
        <f>AVERAGE($I$2:$I$1168)</f>
        <v>78.907455012853475</v>
      </c>
      <c r="O900" s="3" t="str">
        <f>CONCATENATE(A900,"-",B900)</f>
        <v>559-Scraggy</v>
      </c>
    </row>
    <row r="901" spans="1:15">
      <c r="A901" s="63">
        <v>559</v>
      </c>
      <c r="B901" s="2" t="str">
        <f>B900</f>
        <v>Scraggy</v>
      </c>
      <c r="C901" t="s">
        <v>86</v>
      </c>
      <c r="D901" s="22">
        <f>COUNTIF($C$2:$C$1168,Tabela1[[#This Row],[Type]])</f>
        <v>51</v>
      </c>
      <c r="E901" s="62" t="str">
        <f>IF(A901&lt;=151,"Kanto",IF(A901&lt;=251,"Johto",IF(A901&lt;=386,"Hoenn",IF(A901&lt;=493,"Sinnoh",IF(A901&lt;=649,"Unova",IF(A901&lt;=721,"Kalos",IF(A901&lt;=809,"Alola",IF(A901&lt;=905,"Galar","Paldea"))))))))</f>
        <v>Unova</v>
      </c>
      <c r="F901" t="str">
        <f>IF(G901&gt;=600,"Lendário",IF(G901&gt;=500,"Forte","Normal"))</f>
        <v>Normal</v>
      </c>
      <c r="G901" s="3">
        <f>G900</f>
        <v>348</v>
      </c>
      <c r="H901" s="3">
        <f>H900</f>
        <v>50</v>
      </c>
      <c r="I901" s="3">
        <f>I900</f>
        <v>75</v>
      </c>
      <c r="J901" s="3">
        <f>J900</f>
        <v>70</v>
      </c>
      <c r="K901" s="3">
        <f>K900</f>
        <v>35</v>
      </c>
      <c r="L901" s="3">
        <f>L900</f>
        <v>70</v>
      </c>
      <c r="M901" s="3">
        <f>M900</f>
        <v>48</v>
      </c>
      <c r="N901" s="3">
        <f>AVERAGE($I$2:$I$1168)</f>
        <v>78.907455012853475</v>
      </c>
      <c r="O901" s="3" t="str">
        <f>CONCATENATE(A901,"-",B901)</f>
        <v>559-Scraggy</v>
      </c>
    </row>
    <row r="902" spans="1:15">
      <c r="A902" s="63">
        <v>560</v>
      </c>
      <c r="B902" s="2" t="s">
        <v>635</v>
      </c>
      <c r="C902" t="s">
        <v>170</v>
      </c>
      <c r="D902" s="22">
        <f>COUNTIF($C$2:$C$1168,Tabela1[[#This Row],[Type]])</f>
        <v>49</v>
      </c>
      <c r="E902" s="62" t="str">
        <f>IF(A902&lt;=151,"Kanto",IF(A902&lt;=251,"Johto",IF(A902&lt;=386,"Hoenn",IF(A902&lt;=493,"Sinnoh",IF(A902&lt;=649,"Unova",IF(A902&lt;=721,"Kalos",IF(A902&lt;=809,"Alola",IF(A902&lt;=905,"Galar","Paldea"))))))))</f>
        <v>Unova</v>
      </c>
      <c r="F902" t="str">
        <f>IF(G902&gt;=600,"Lendário",IF(G902&gt;=500,"Forte","Normal"))</f>
        <v>Normal</v>
      </c>
      <c r="G902" s="3">
        <v>488</v>
      </c>
      <c r="H902" s="3">
        <v>65</v>
      </c>
      <c r="I902" s="3">
        <v>90</v>
      </c>
      <c r="J902" s="3">
        <v>115</v>
      </c>
      <c r="K902" s="3">
        <v>45</v>
      </c>
      <c r="L902" s="3">
        <v>115</v>
      </c>
      <c r="M902" s="3">
        <v>58</v>
      </c>
      <c r="N902" s="3">
        <f>AVERAGE($I$2:$I$1168)</f>
        <v>78.907455012853475</v>
      </c>
      <c r="O902" s="3" t="str">
        <f>CONCATENATE(A902,"-",B902)</f>
        <v>560-Scrafty</v>
      </c>
    </row>
    <row r="903" spans="1:15">
      <c r="A903" s="63">
        <v>560</v>
      </c>
      <c r="B903" s="2" t="str">
        <f>B902</f>
        <v>Scrafty</v>
      </c>
      <c r="C903" t="s">
        <v>86</v>
      </c>
      <c r="D903" s="22">
        <f>COUNTIF($C$2:$C$1168,Tabela1[[#This Row],[Type]])</f>
        <v>51</v>
      </c>
      <c r="E903" s="62" t="str">
        <f>IF(A903&lt;=151,"Kanto",IF(A903&lt;=251,"Johto",IF(A903&lt;=386,"Hoenn",IF(A903&lt;=493,"Sinnoh",IF(A903&lt;=649,"Unova",IF(A903&lt;=721,"Kalos",IF(A903&lt;=809,"Alola",IF(A903&lt;=905,"Galar","Paldea"))))))))</f>
        <v>Unova</v>
      </c>
      <c r="F903" t="str">
        <f>IF(G903&gt;=600,"Lendário",IF(G903&gt;=500,"Forte","Normal"))</f>
        <v>Normal</v>
      </c>
      <c r="G903" s="3">
        <f>G902</f>
        <v>488</v>
      </c>
      <c r="H903" s="3">
        <f>H902</f>
        <v>65</v>
      </c>
      <c r="I903" s="3">
        <f>I902</f>
        <v>90</v>
      </c>
      <c r="J903" s="3">
        <f>J902</f>
        <v>115</v>
      </c>
      <c r="K903" s="3">
        <f>K902</f>
        <v>45</v>
      </c>
      <c r="L903" s="3">
        <f>L902</f>
        <v>115</v>
      </c>
      <c r="M903" s="3">
        <f>M902</f>
        <v>58</v>
      </c>
      <c r="N903" s="3">
        <f>AVERAGE($I$2:$I$1168)</f>
        <v>78.907455012853475</v>
      </c>
      <c r="O903" s="3" t="str">
        <f>CONCATENATE(A903,"-",B903)</f>
        <v>560-Scrafty</v>
      </c>
    </row>
    <row r="904" spans="1:15">
      <c r="A904" s="63">
        <v>561</v>
      </c>
      <c r="B904" s="2" t="s">
        <v>636</v>
      </c>
      <c r="C904" t="s">
        <v>94</v>
      </c>
      <c r="D904" s="22">
        <f>COUNTIF($C$2:$C$1168,Tabela1[[#This Row],[Type]])</f>
        <v>83</v>
      </c>
      <c r="E904" s="62" t="str">
        <f>IF(A904&lt;=151,"Kanto",IF(A904&lt;=251,"Johto",IF(A904&lt;=386,"Hoenn",IF(A904&lt;=493,"Sinnoh",IF(A904&lt;=649,"Unova",IF(A904&lt;=721,"Kalos",IF(A904&lt;=809,"Alola",IF(A904&lt;=905,"Galar","Paldea"))))))))</f>
        <v>Unova</v>
      </c>
      <c r="F904" t="str">
        <f>IF(G904&gt;=600,"Lendário",IF(G904&gt;=500,"Forte","Normal"))</f>
        <v>Normal</v>
      </c>
      <c r="G904" s="3">
        <v>490</v>
      </c>
      <c r="H904" s="3">
        <v>72</v>
      </c>
      <c r="I904" s="3">
        <v>58</v>
      </c>
      <c r="J904" s="3">
        <v>80</v>
      </c>
      <c r="K904" s="3">
        <v>103</v>
      </c>
      <c r="L904" s="3">
        <v>80</v>
      </c>
      <c r="M904" s="3">
        <v>97</v>
      </c>
      <c r="N904" s="3">
        <f>AVERAGE($I$2:$I$1168)</f>
        <v>78.907455012853475</v>
      </c>
      <c r="O904" s="3" t="str">
        <f>CONCATENATE(A904,"-",B904)</f>
        <v>561-Sigilyph</v>
      </c>
    </row>
    <row r="905" spans="1:15">
      <c r="A905" s="63">
        <v>561</v>
      </c>
      <c r="B905" s="2" t="str">
        <f>B904</f>
        <v>Sigilyph</v>
      </c>
      <c r="C905" t="s">
        <v>25</v>
      </c>
      <c r="D905" s="22">
        <f>COUNTIF($C$2:$C$1168,Tabela1[[#This Row],[Type]])</f>
        <v>100</v>
      </c>
      <c r="E905" s="62" t="str">
        <f>IF(A905&lt;=151,"Kanto",IF(A905&lt;=251,"Johto",IF(A905&lt;=386,"Hoenn",IF(A905&lt;=493,"Sinnoh",IF(A905&lt;=649,"Unova",IF(A905&lt;=721,"Kalos",IF(A905&lt;=809,"Alola",IF(A905&lt;=905,"Galar","Paldea"))))))))</f>
        <v>Unova</v>
      </c>
      <c r="F905" t="str">
        <f>IF(G905&gt;=600,"Lendário",IF(G905&gt;=500,"Forte","Normal"))</f>
        <v>Normal</v>
      </c>
      <c r="G905" s="3">
        <f>G904</f>
        <v>490</v>
      </c>
      <c r="H905" s="3">
        <f>H904</f>
        <v>72</v>
      </c>
      <c r="I905" s="3">
        <f>I904</f>
        <v>58</v>
      </c>
      <c r="J905" s="3">
        <f>J904</f>
        <v>80</v>
      </c>
      <c r="K905" s="3">
        <f>K904</f>
        <v>103</v>
      </c>
      <c r="L905" s="3">
        <f>L904</f>
        <v>80</v>
      </c>
      <c r="M905" s="3">
        <f>M904</f>
        <v>97</v>
      </c>
      <c r="N905" s="3">
        <f>AVERAGE($I$2:$I$1168)</f>
        <v>78.907455012853475</v>
      </c>
      <c r="O905" s="3" t="str">
        <f>CONCATENATE(A905,"-",B905)</f>
        <v>561-Sigilyph</v>
      </c>
    </row>
    <row r="906" spans="1:15">
      <c r="A906" s="63">
        <v>562</v>
      </c>
      <c r="B906" s="2" t="s">
        <v>637</v>
      </c>
      <c r="C906" t="s">
        <v>128</v>
      </c>
      <c r="D906" s="22">
        <f>COUNTIF($C$2:$C$1168,Tabela1[[#This Row],[Type]])</f>
        <v>45</v>
      </c>
      <c r="E906" s="62" t="str">
        <f>IF(A906&lt;=151,"Kanto",IF(A906&lt;=251,"Johto",IF(A906&lt;=386,"Hoenn",IF(A906&lt;=493,"Sinnoh",IF(A906&lt;=649,"Unova",IF(A906&lt;=721,"Kalos",IF(A906&lt;=809,"Alola",IF(A906&lt;=905,"Galar","Paldea"))))))))</f>
        <v>Unova</v>
      </c>
      <c r="F906" t="str">
        <f>IF(G906&gt;=600,"Lendário",IF(G906&gt;=500,"Forte","Normal"))</f>
        <v>Normal</v>
      </c>
      <c r="G906" s="3">
        <v>303</v>
      </c>
      <c r="H906" s="3">
        <v>38</v>
      </c>
      <c r="I906" s="3">
        <v>30</v>
      </c>
      <c r="J906" s="3">
        <v>85</v>
      </c>
      <c r="K906" s="3">
        <v>55</v>
      </c>
      <c r="L906" s="3">
        <v>65</v>
      </c>
      <c r="M906" s="3">
        <v>30</v>
      </c>
      <c r="N906" s="3">
        <f>AVERAGE($I$2:$I$1168)</f>
        <v>78.907455012853475</v>
      </c>
      <c r="O906" s="3" t="str">
        <f>CONCATENATE(A906,"-",B906)</f>
        <v>562-Yamask</v>
      </c>
    </row>
    <row r="907" spans="1:15">
      <c r="A907" s="63">
        <v>563</v>
      </c>
      <c r="B907" s="2" t="s">
        <v>638</v>
      </c>
      <c r="C907" t="s">
        <v>128</v>
      </c>
      <c r="D907" s="22">
        <f>COUNTIF($C$2:$C$1168,Tabela1[[#This Row],[Type]])</f>
        <v>45</v>
      </c>
      <c r="E907" s="62" t="str">
        <f>IF(A907&lt;=151,"Kanto",IF(A907&lt;=251,"Johto",IF(A907&lt;=386,"Hoenn",IF(A907&lt;=493,"Sinnoh",IF(A907&lt;=649,"Unova",IF(A907&lt;=721,"Kalos",IF(A907&lt;=809,"Alola",IF(A907&lt;=905,"Galar","Paldea"))))))))</f>
        <v>Unova</v>
      </c>
      <c r="F907" t="str">
        <f>IF(G907&gt;=600,"Lendário",IF(G907&gt;=500,"Forte","Normal"))</f>
        <v>Normal</v>
      </c>
      <c r="G907" s="3">
        <v>483</v>
      </c>
      <c r="H907" s="3">
        <v>58</v>
      </c>
      <c r="I907" s="3">
        <v>50</v>
      </c>
      <c r="J907" s="3">
        <v>145</v>
      </c>
      <c r="K907" s="3">
        <v>95</v>
      </c>
      <c r="L907" s="3">
        <v>105</v>
      </c>
      <c r="M907" s="3">
        <v>30</v>
      </c>
      <c r="N907" s="3">
        <f>AVERAGE($I$2:$I$1168)</f>
        <v>78.907455012853475</v>
      </c>
      <c r="O907" s="3" t="str">
        <f>CONCATENATE(A907,"-",B907)</f>
        <v>563-Cofagrigus</v>
      </c>
    </row>
    <row r="908" spans="1:15">
      <c r="A908" s="63">
        <v>564</v>
      </c>
      <c r="B908" s="2" t="s">
        <v>639</v>
      </c>
      <c r="C908" t="s">
        <v>30</v>
      </c>
      <c r="D908" s="22">
        <f>COUNTIF($C$2:$C$1168,Tabela1[[#This Row],[Type]])</f>
        <v>121</v>
      </c>
      <c r="E908" s="62" t="str">
        <f>IF(A908&lt;=151,"Kanto",IF(A908&lt;=251,"Johto",IF(A908&lt;=386,"Hoenn",IF(A908&lt;=493,"Sinnoh",IF(A908&lt;=649,"Unova",IF(A908&lt;=721,"Kalos",IF(A908&lt;=809,"Alola",IF(A908&lt;=905,"Galar","Paldea"))))))))</f>
        <v>Unova</v>
      </c>
      <c r="F908" t="str">
        <f>IF(G908&gt;=600,"Lendário",IF(G908&gt;=500,"Forte","Normal"))</f>
        <v>Normal</v>
      </c>
      <c r="G908" s="3">
        <v>355</v>
      </c>
      <c r="H908" s="3">
        <v>54</v>
      </c>
      <c r="I908" s="3">
        <v>78</v>
      </c>
      <c r="J908" s="3">
        <v>103</v>
      </c>
      <c r="K908" s="3">
        <v>53</v>
      </c>
      <c r="L908" s="3">
        <v>45</v>
      </c>
      <c r="M908" s="3">
        <v>22</v>
      </c>
      <c r="N908" s="3">
        <f>AVERAGE($I$2:$I$1168)</f>
        <v>78.907455012853475</v>
      </c>
      <c r="O908" s="3" t="str">
        <f>CONCATENATE(A908,"-",B908)</f>
        <v>564-Tirtouga</v>
      </c>
    </row>
    <row r="909" spans="1:15">
      <c r="A909" s="63">
        <v>564</v>
      </c>
      <c r="B909" s="2" t="str">
        <f>B908</f>
        <v>Tirtouga</v>
      </c>
      <c r="C909" t="s">
        <v>107</v>
      </c>
      <c r="D909" s="22">
        <f>COUNTIF($C$2:$C$1168,Tabela1[[#This Row],[Type]])</f>
        <v>56</v>
      </c>
      <c r="E909" s="62" t="str">
        <f>IF(A909&lt;=151,"Kanto",IF(A909&lt;=251,"Johto",IF(A909&lt;=386,"Hoenn",IF(A909&lt;=493,"Sinnoh",IF(A909&lt;=649,"Unova",IF(A909&lt;=721,"Kalos",IF(A909&lt;=809,"Alola",IF(A909&lt;=905,"Galar","Paldea"))))))))</f>
        <v>Unova</v>
      </c>
      <c r="F909" t="str">
        <f>IF(G909&gt;=600,"Lendário",IF(G909&gt;=500,"Forte","Normal"))</f>
        <v>Normal</v>
      </c>
      <c r="G909" s="3">
        <f>G908</f>
        <v>355</v>
      </c>
      <c r="H909" s="3">
        <f>H908</f>
        <v>54</v>
      </c>
      <c r="I909" s="3">
        <f>I908</f>
        <v>78</v>
      </c>
      <c r="J909" s="3">
        <f>J908</f>
        <v>103</v>
      </c>
      <c r="K909" s="3">
        <f>K908</f>
        <v>53</v>
      </c>
      <c r="L909" s="3">
        <f>L908</f>
        <v>45</v>
      </c>
      <c r="M909" s="3">
        <f>M908</f>
        <v>22</v>
      </c>
      <c r="N909" s="3">
        <f>AVERAGE($I$2:$I$1168)</f>
        <v>78.907455012853475</v>
      </c>
      <c r="O909" s="3" t="str">
        <f>CONCATENATE(A909,"-",B909)</f>
        <v>564-Tirtouga</v>
      </c>
    </row>
    <row r="910" spans="1:15">
      <c r="A910" s="63">
        <v>565</v>
      </c>
      <c r="B910" s="2" t="s">
        <v>640</v>
      </c>
      <c r="C910" t="s">
        <v>30</v>
      </c>
      <c r="D910" s="22">
        <f>COUNTIF($C$2:$C$1168,Tabela1[[#This Row],[Type]])</f>
        <v>121</v>
      </c>
      <c r="E910" s="62" t="str">
        <f>IF(A910&lt;=151,"Kanto",IF(A910&lt;=251,"Johto",IF(A910&lt;=386,"Hoenn",IF(A910&lt;=493,"Sinnoh",IF(A910&lt;=649,"Unova",IF(A910&lt;=721,"Kalos",IF(A910&lt;=809,"Alola",IF(A910&lt;=905,"Galar","Paldea"))))))))</f>
        <v>Unova</v>
      </c>
      <c r="F910" t="str">
        <f>IF(G910&gt;=600,"Lendário",IF(G910&gt;=500,"Forte","Normal"))</f>
        <v>Normal</v>
      </c>
      <c r="G910" s="3">
        <v>495</v>
      </c>
      <c r="H910" s="3">
        <v>74</v>
      </c>
      <c r="I910" s="3">
        <v>108</v>
      </c>
      <c r="J910" s="3">
        <v>133</v>
      </c>
      <c r="K910" s="3">
        <v>83</v>
      </c>
      <c r="L910" s="3">
        <v>65</v>
      </c>
      <c r="M910" s="3">
        <v>32</v>
      </c>
      <c r="N910" s="3">
        <f>AVERAGE($I$2:$I$1168)</f>
        <v>78.907455012853475</v>
      </c>
      <c r="O910" s="3" t="str">
        <f>CONCATENATE(A910,"-",B910)</f>
        <v>565-Carracosta</v>
      </c>
    </row>
    <row r="911" spans="1:15">
      <c r="A911" s="63">
        <v>565</v>
      </c>
      <c r="B911" s="2" t="str">
        <f>B910</f>
        <v>Carracosta</v>
      </c>
      <c r="C911" t="s">
        <v>107</v>
      </c>
      <c r="D911" s="22">
        <f>COUNTIF($C$2:$C$1168,Tabela1[[#This Row],[Type]])</f>
        <v>56</v>
      </c>
      <c r="E911" s="62" t="str">
        <f>IF(A911&lt;=151,"Kanto",IF(A911&lt;=251,"Johto",IF(A911&lt;=386,"Hoenn",IF(A911&lt;=493,"Sinnoh",IF(A911&lt;=649,"Unova",IF(A911&lt;=721,"Kalos",IF(A911&lt;=809,"Alola",IF(A911&lt;=905,"Galar","Paldea"))))))))</f>
        <v>Unova</v>
      </c>
      <c r="F911" t="str">
        <f>IF(G911&gt;=600,"Lendário",IF(G911&gt;=500,"Forte","Normal"))</f>
        <v>Normal</v>
      </c>
      <c r="G911" s="3">
        <f>G910</f>
        <v>495</v>
      </c>
      <c r="H911" s="3">
        <f>H910</f>
        <v>74</v>
      </c>
      <c r="I911" s="3">
        <f>I910</f>
        <v>108</v>
      </c>
      <c r="J911" s="3">
        <f>J910</f>
        <v>133</v>
      </c>
      <c r="K911" s="3">
        <f>K910</f>
        <v>83</v>
      </c>
      <c r="L911" s="3">
        <f>L910</f>
        <v>65</v>
      </c>
      <c r="M911" s="3">
        <f>M910</f>
        <v>32</v>
      </c>
      <c r="N911" s="3">
        <f>AVERAGE($I$2:$I$1168)</f>
        <v>78.907455012853475</v>
      </c>
      <c r="O911" s="3" t="str">
        <f>CONCATENATE(A911,"-",B911)</f>
        <v>565-Carracosta</v>
      </c>
    </row>
    <row r="912" spans="1:15">
      <c r="A912" s="63">
        <v>566</v>
      </c>
      <c r="B912" s="2" t="s">
        <v>641</v>
      </c>
      <c r="C912" t="s">
        <v>107</v>
      </c>
      <c r="D912" s="22">
        <f>COUNTIF($C$2:$C$1168,Tabela1[[#This Row],[Type]])</f>
        <v>56</v>
      </c>
      <c r="E912" s="62" t="str">
        <f>IF(A912&lt;=151,"Kanto",IF(A912&lt;=251,"Johto",IF(A912&lt;=386,"Hoenn",IF(A912&lt;=493,"Sinnoh",IF(A912&lt;=649,"Unova",IF(A912&lt;=721,"Kalos",IF(A912&lt;=809,"Alola",IF(A912&lt;=905,"Galar","Paldea"))))))))</f>
        <v>Unova</v>
      </c>
      <c r="F912" t="str">
        <f>IF(G912&gt;=600,"Lendário",IF(G912&gt;=500,"Forte","Normal"))</f>
        <v>Normal</v>
      </c>
      <c r="G912" s="3">
        <v>401</v>
      </c>
      <c r="H912" s="3">
        <v>55</v>
      </c>
      <c r="I912" s="3">
        <v>112</v>
      </c>
      <c r="J912" s="3">
        <v>45</v>
      </c>
      <c r="K912" s="3">
        <v>74</v>
      </c>
      <c r="L912" s="3">
        <v>45</v>
      </c>
      <c r="M912" s="3">
        <v>70</v>
      </c>
      <c r="N912" s="3">
        <f>AVERAGE($I$2:$I$1168)</f>
        <v>78.907455012853475</v>
      </c>
      <c r="O912" s="3" t="str">
        <f>CONCATENATE(A912,"-",B912)</f>
        <v>566-Archen</v>
      </c>
    </row>
    <row r="913" spans="1:15">
      <c r="A913" s="63">
        <v>566</v>
      </c>
      <c r="B913" s="2" t="str">
        <f>B912</f>
        <v>Archen</v>
      </c>
      <c r="C913" t="s">
        <v>25</v>
      </c>
      <c r="D913" s="22">
        <f>COUNTIF($C$2:$C$1168,Tabela1[[#This Row],[Type]])</f>
        <v>100</v>
      </c>
      <c r="E913" s="62" t="str">
        <f>IF(A913&lt;=151,"Kanto",IF(A913&lt;=251,"Johto",IF(A913&lt;=386,"Hoenn",IF(A913&lt;=493,"Sinnoh",IF(A913&lt;=649,"Unova",IF(A913&lt;=721,"Kalos",IF(A913&lt;=809,"Alola",IF(A913&lt;=905,"Galar","Paldea"))))))))</f>
        <v>Unova</v>
      </c>
      <c r="F913" t="str">
        <f>IF(G913&gt;=600,"Lendário",IF(G913&gt;=500,"Forte","Normal"))</f>
        <v>Normal</v>
      </c>
      <c r="G913" s="3">
        <f>G912</f>
        <v>401</v>
      </c>
      <c r="H913" s="3">
        <f>H912</f>
        <v>55</v>
      </c>
      <c r="I913" s="3">
        <f>I912</f>
        <v>112</v>
      </c>
      <c r="J913" s="3">
        <f>J912</f>
        <v>45</v>
      </c>
      <c r="K913" s="3">
        <f>K912</f>
        <v>74</v>
      </c>
      <c r="L913" s="3">
        <f>L912</f>
        <v>45</v>
      </c>
      <c r="M913" s="3">
        <f>M912</f>
        <v>70</v>
      </c>
      <c r="N913" s="3">
        <f>AVERAGE($I$2:$I$1168)</f>
        <v>78.907455012853475</v>
      </c>
      <c r="O913" s="3" t="str">
        <f>CONCATENATE(A913,"-",B913)</f>
        <v>566-Archen</v>
      </c>
    </row>
    <row r="914" spans="1:15">
      <c r="A914" s="63">
        <v>567</v>
      </c>
      <c r="B914" s="2" t="s">
        <v>642</v>
      </c>
      <c r="C914" t="s">
        <v>107</v>
      </c>
      <c r="D914" s="22">
        <f>COUNTIF($C$2:$C$1168,Tabela1[[#This Row],[Type]])</f>
        <v>56</v>
      </c>
      <c r="E914" s="62" t="str">
        <f>IF(A914&lt;=151,"Kanto",IF(A914&lt;=251,"Johto",IF(A914&lt;=386,"Hoenn",IF(A914&lt;=493,"Sinnoh",IF(A914&lt;=649,"Unova",IF(A914&lt;=721,"Kalos",IF(A914&lt;=809,"Alola",IF(A914&lt;=905,"Galar","Paldea"))))))))</f>
        <v>Unova</v>
      </c>
      <c r="F914" t="str">
        <f>IF(G914&gt;=600,"Lendário",IF(G914&gt;=500,"Forte","Normal"))</f>
        <v>Forte</v>
      </c>
      <c r="G914" s="3">
        <v>567</v>
      </c>
      <c r="H914" s="3">
        <v>75</v>
      </c>
      <c r="I914" s="3">
        <v>140</v>
      </c>
      <c r="J914" s="3">
        <v>65</v>
      </c>
      <c r="K914" s="3">
        <v>112</v>
      </c>
      <c r="L914" s="3">
        <v>65</v>
      </c>
      <c r="M914" s="3">
        <v>110</v>
      </c>
      <c r="N914" s="3">
        <f>AVERAGE($I$2:$I$1168)</f>
        <v>78.907455012853475</v>
      </c>
      <c r="O914" s="3" t="str">
        <f>CONCATENATE(A914,"-",B914)</f>
        <v>567-Archeops</v>
      </c>
    </row>
    <row r="915" spans="1:15">
      <c r="A915" s="63">
        <v>567</v>
      </c>
      <c r="B915" s="2" t="str">
        <f>B914</f>
        <v>Archeops</v>
      </c>
      <c r="C915" t="s">
        <v>25</v>
      </c>
      <c r="D915" s="22">
        <f>COUNTIF($C$2:$C$1168,Tabela1[[#This Row],[Type]])</f>
        <v>100</v>
      </c>
      <c r="E915" s="62" t="str">
        <f>IF(A915&lt;=151,"Kanto",IF(A915&lt;=251,"Johto",IF(A915&lt;=386,"Hoenn",IF(A915&lt;=493,"Sinnoh",IF(A915&lt;=649,"Unova",IF(A915&lt;=721,"Kalos",IF(A915&lt;=809,"Alola",IF(A915&lt;=905,"Galar","Paldea"))))))))</f>
        <v>Unova</v>
      </c>
      <c r="F915" t="str">
        <f>IF(G915&gt;=600,"Lendário",IF(G915&gt;=500,"Forte","Normal"))</f>
        <v>Forte</v>
      </c>
      <c r="G915" s="3">
        <f>G914</f>
        <v>567</v>
      </c>
      <c r="H915" s="3">
        <f>H914</f>
        <v>75</v>
      </c>
      <c r="I915" s="3">
        <f>I914</f>
        <v>140</v>
      </c>
      <c r="J915" s="3">
        <f>J914</f>
        <v>65</v>
      </c>
      <c r="K915" s="3">
        <f>K914</f>
        <v>112</v>
      </c>
      <c r="L915" s="3">
        <f>L914</f>
        <v>65</v>
      </c>
      <c r="M915" s="3">
        <f>M914</f>
        <v>110</v>
      </c>
      <c r="N915" s="3">
        <f>AVERAGE($I$2:$I$1168)</f>
        <v>78.907455012853475</v>
      </c>
      <c r="O915" s="3" t="str">
        <f>CONCATENATE(A915,"-",B915)</f>
        <v>567-Archeops</v>
      </c>
    </row>
    <row r="916" spans="1:15">
      <c r="A916" s="63">
        <v>568</v>
      </c>
      <c r="B916" s="2" t="s">
        <v>643</v>
      </c>
      <c r="C916" t="s">
        <v>17</v>
      </c>
      <c r="D916" s="22">
        <f>COUNTIF($C$2:$C$1168,Tabela1[[#This Row],[Type]])</f>
        <v>61</v>
      </c>
      <c r="E916" s="62" t="str">
        <f>IF(A916&lt;=151,"Kanto",IF(A916&lt;=251,"Johto",IF(A916&lt;=386,"Hoenn",IF(A916&lt;=493,"Sinnoh",IF(A916&lt;=649,"Unova",IF(A916&lt;=721,"Kalos",IF(A916&lt;=809,"Alola",IF(A916&lt;=905,"Galar","Paldea"))))))))</f>
        <v>Unova</v>
      </c>
      <c r="F916" t="str">
        <f>IF(G916&gt;=600,"Lendário",IF(G916&gt;=500,"Forte","Normal"))</f>
        <v>Normal</v>
      </c>
      <c r="G916" s="3">
        <v>329</v>
      </c>
      <c r="H916" s="3">
        <v>50</v>
      </c>
      <c r="I916" s="3">
        <v>50</v>
      </c>
      <c r="J916" s="3">
        <v>62</v>
      </c>
      <c r="K916" s="3">
        <v>40</v>
      </c>
      <c r="L916" s="3">
        <v>62</v>
      </c>
      <c r="M916" s="3">
        <v>65</v>
      </c>
      <c r="N916" s="3">
        <f>AVERAGE($I$2:$I$1168)</f>
        <v>78.907455012853475</v>
      </c>
      <c r="O916" s="3" t="str">
        <f>CONCATENATE(A916,"-",B916)</f>
        <v>568-Trubbish</v>
      </c>
    </row>
    <row r="917" spans="1:15">
      <c r="A917" s="63">
        <v>569</v>
      </c>
      <c r="B917" s="2" t="s">
        <v>644</v>
      </c>
      <c r="C917" t="s">
        <v>17</v>
      </c>
      <c r="D917" s="22">
        <f>COUNTIF($C$2:$C$1168,Tabela1[[#This Row],[Type]])</f>
        <v>61</v>
      </c>
      <c r="E917" s="62" t="str">
        <f>IF(A917&lt;=151,"Kanto",IF(A917&lt;=251,"Johto",IF(A917&lt;=386,"Hoenn",IF(A917&lt;=493,"Sinnoh",IF(A917&lt;=649,"Unova",IF(A917&lt;=721,"Kalos",IF(A917&lt;=809,"Alola",IF(A917&lt;=905,"Galar","Paldea"))))))))</f>
        <v>Unova</v>
      </c>
      <c r="F917" t="str">
        <f>IF(G917&gt;=600,"Lendário",IF(G917&gt;=500,"Forte","Normal"))</f>
        <v>Normal</v>
      </c>
      <c r="G917" s="3">
        <v>474</v>
      </c>
      <c r="H917" s="3">
        <v>80</v>
      </c>
      <c r="I917" s="3">
        <v>95</v>
      </c>
      <c r="J917" s="3">
        <v>82</v>
      </c>
      <c r="K917" s="3">
        <v>60</v>
      </c>
      <c r="L917" s="3">
        <v>82</v>
      </c>
      <c r="M917" s="3">
        <v>75</v>
      </c>
      <c r="N917" s="3">
        <f>AVERAGE($I$2:$I$1168)</f>
        <v>78.907455012853475</v>
      </c>
      <c r="O917" s="3" t="str">
        <f>CONCATENATE(A917,"-",B917)</f>
        <v>569-Garbodor</v>
      </c>
    </row>
    <row r="918" spans="1:15">
      <c r="A918" s="63">
        <v>570</v>
      </c>
      <c r="B918" s="2" t="s">
        <v>645</v>
      </c>
      <c r="C918" t="s">
        <v>170</v>
      </c>
      <c r="D918" s="22">
        <f>COUNTIF($C$2:$C$1168,Tabela1[[#This Row],[Type]])</f>
        <v>49</v>
      </c>
      <c r="E918" s="62" t="str">
        <f>IF(A918&lt;=151,"Kanto",IF(A918&lt;=251,"Johto",IF(A918&lt;=386,"Hoenn",IF(A918&lt;=493,"Sinnoh",IF(A918&lt;=649,"Unova",IF(A918&lt;=721,"Kalos",IF(A918&lt;=809,"Alola",IF(A918&lt;=905,"Galar","Paldea"))))))))</f>
        <v>Unova</v>
      </c>
      <c r="F918" t="str">
        <f>IF(G918&gt;=600,"Lendário",IF(G918&gt;=500,"Forte","Normal"))</f>
        <v>Normal</v>
      </c>
      <c r="G918" s="3">
        <v>330</v>
      </c>
      <c r="H918" s="3">
        <v>40</v>
      </c>
      <c r="I918" s="3">
        <v>65</v>
      </c>
      <c r="J918" s="3">
        <v>40</v>
      </c>
      <c r="K918" s="3">
        <v>80</v>
      </c>
      <c r="L918" s="3">
        <v>40</v>
      </c>
      <c r="M918" s="3">
        <v>65</v>
      </c>
      <c r="N918" s="3">
        <f>AVERAGE($I$2:$I$1168)</f>
        <v>78.907455012853475</v>
      </c>
      <c r="O918" s="3" t="str">
        <f>CONCATENATE(A918,"-",B918)</f>
        <v>570-Zorua</v>
      </c>
    </row>
    <row r="919" spans="1:15">
      <c r="A919" s="63">
        <v>571</v>
      </c>
      <c r="B919" s="2" t="s">
        <v>646</v>
      </c>
      <c r="C919" t="s">
        <v>170</v>
      </c>
      <c r="D919" s="22">
        <f>COUNTIF($C$2:$C$1168,Tabela1[[#This Row],[Type]])</f>
        <v>49</v>
      </c>
      <c r="E919" s="62" t="str">
        <f>IF(A919&lt;=151,"Kanto",IF(A919&lt;=251,"Johto",IF(A919&lt;=386,"Hoenn",IF(A919&lt;=493,"Sinnoh",IF(A919&lt;=649,"Unova",IF(A919&lt;=721,"Kalos",IF(A919&lt;=809,"Alola",IF(A919&lt;=905,"Galar","Paldea"))))))))</f>
        <v>Unova</v>
      </c>
      <c r="F919" t="str">
        <f>IF(G919&gt;=600,"Lendário",IF(G919&gt;=500,"Forte","Normal"))</f>
        <v>Forte</v>
      </c>
      <c r="G919" s="3">
        <v>510</v>
      </c>
      <c r="H919" s="3">
        <v>60</v>
      </c>
      <c r="I919" s="3">
        <v>105</v>
      </c>
      <c r="J919" s="3">
        <v>60</v>
      </c>
      <c r="K919" s="3">
        <v>120</v>
      </c>
      <c r="L919" s="3">
        <v>60</v>
      </c>
      <c r="M919" s="3">
        <v>105</v>
      </c>
      <c r="N919" s="3">
        <f>AVERAGE($I$2:$I$1168)</f>
        <v>78.907455012853475</v>
      </c>
      <c r="O919" s="3" t="str">
        <f>CONCATENATE(A919,"-",B919)</f>
        <v>571-Zoroark</v>
      </c>
    </row>
    <row r="920" spans="1:15">
      <c r="A920" s="63">
        <v>572</v>
      </c>
      <c r="B920" s="2" t="s">
        <v>647</v>
      </c>
      <c r="C920" t="s">
        <v>42</v>
      </c>
      <c r="D920" s="22">
        <f>COUNTIF($C$2:$C$1168,Tabela1[[#This Row],[Type]])</f>
        <v>99</v>
      </c>
      <c r="E920" s="62" t="str">
        <f>IF(A920&lt;=151,"Kanto",IF(A920&lt;=251,"Johto",IF(A920&lt;=386,"Hoenn",IF(A920&lt;=493,"Sinnoh",IF(A920&lt;=649,"Unova",IF(A920&lt;=721,"Kalos",IF(A920&lt;=809,"Alola",IF(A920&lt;=905,"Galar","Paldea"))))))))</f>
        <v>Unova</v>
      </c>
      <c r="F920" t="str">
        <f>IF(G920&gt;=600,"Lendário",IF(G920&gt;=500,"Forte","Normal"))</f>
        <v>Normal</v>
      </c>
      <c r="G920" s="3">
        <v>300</v>
      </c>
      <c r="H920" s="3">
        <v>55</v>
      </c>
      <c r="I920" s="3">
        <v>50</v>
      </c>
      <c r="J920" s="3">
        <v>40</v>
      </c>
      <c r="K920" s="3">
        <v>40</v>
      </c>
      <c r="L920" s="3">
        <v>40</v>
      </c>
      <c r="M920" s="3">
        <v>75</v>
      </c>
      <c r="N920" s="3">
        <f>AVERAGE($I$2:$I$1168)</f>
        <v>78.907455012853475</v>
      </c>
      <c r="O920" s="3" t="str">
        <f>CONCATENATE(A920,"-",B920)</f>
        <v>572-Minccino</v>
      </c>
    </row>
    <row r="921" spans="1:15">
      <c r="A921" s="63">
        <v>573</v>
      </c>
      <c r="B921" s="2" t="s">
        <v>648</v>
      </c>
      <c r="C921" t="s">
        <v>42</v>
      </c>
      <c r="D921" s="22">
        <f>COUNTIF($C$2:$C$1168,Tabela1[[#This Row],[Type]])</f>
        <v>99</v>
      </c>
      <c r="E921" s="62" t="str">
        <f>IF(A921&lt;=151,"Kanto",IF(A921&lt;=251,"Johto",IF(A921&lt;=386,"Hoenn",IF(A921&lt;=493,"Sinnoh",IF(A921&lt;=649,"Unova",IF(A921&lt;=721,"Kalos",IF(A921&lt;=809,"Alola",IF(A921&lt;=905,"Galar","Paldea"))))))))</f>
        <v>Unova</v>
      </c>
      <c r="F921" t="str">
        <f>IF(G921&gt;=600,"Lendário",IF(G921&gt;=500,"Forte","Normal"))</f>
        <v>Normal</v>
      </c>
      <c r="G921" s="3">
        <v>470</v>
      </c>
      <c r="H921" s="3">
        <v>75</v>
      </c>
      <c r="I921" s="3">
        <v>95</v>
      </c>
      <c r="J921" s="3">
        <v>60</v>
      </c>
      <c r="K921" s="3">
        <v>65</v>
      </c>
      <c r="L921" s="3">
        <v>60</v>
      </c>
      <c r="M921" s="3">
        <v>115</v>
      </c>
      <c r="N921" s="3">
        <f>AVERAGE($I$2:$I$1168)</f>
        <v>78.907455012853475</v>
      </c>
      <c r="O921" s="3" t="str">
        <f>CONCATENATE(A921,"-",B921)</f>
        <v>573-Cinccino</v>
      </c>
    </row>
    <row r="922" spans="1:15">
      <c r="A922" s="63">
        <v>574</v>
      </c>
      <c r="B922" s="2" t="s">
        <v>649</v>
      </c>
      <c r="C922" t="s">
        <v>94</v>
      </c>
      <c r="D922" s="22">
        <f>COUNTIF($C$2:$C$1168,Tabela1[[#This Row],[Type]])</f>
        <v>83</v>
      </c>
      <c r="E922" s="62" t="str">
        <f>IF(A922&lt;=151,"Kanto",IF(A922&lt;=251,"Johto",IF(A922&lt;=386,"Hoenn",IF(A922&lt;=493,"Sinnoh",IF(A922&lt;=649,"Unova",IF(A922&lt;=721,"Kalos",IF(A922&lt;=809,"Alola",IF(A922&lt;=905,"Galar","Paldea"))))))))</f>
        <v>Unova</v>
      </c>
      <c r="F922" t="str">
        <f>IF(G922&gt;=600,"Lendário",IF(G922&gt;=500,"Forte","Normal"))</f>
        <v>Normal</v>
      </c>
      <c r="G922" s="3">
        <v>290</v>
      </c>
      <c r="H922" s="3">
        <v>45</v>
      </c>
      <c r="I922" s="3">
        <v>30</v>
      </c>
      <c r="J922" s="3">
        <v>50</v>
      </c>
      <c r="K922" s="3">
        <v>55</v>
      </c>
      <c r="L922" s="3">
        <v>65</v>
      </c>
      <c r="M922" s="3">
        <v>45</v>
      </c>
      <c r="N922" s="3">
        <f>AVERAGE($I$2:$I$1168)</f>
        <v>78.907455012853475</v>
      </c>
      <c r="O922" s="3" t="str">
        <f>CONCATENATE(A922,"-",B922)</f>
        <v>574-Gothita</v>
      </c>
    </row>
    <row r="923" spans="1:15">
      <c r="A923" s="63">
        <v>575</v>
      </c>
      <c r="B923" s="2" t="s">
        <v>650</v>
      </c>
      <c r="C923" t="s">
        <v>94</v>
      </c>
      <c r="D923" s="22">
        <f>COUNTIF($C$2:$C$1168,Tabela1[[#This Row],[Type]])</f>
        <v>83</v>
      </c>
      <c r="E923" s="62" t="str">
        <f>IF(A923&lt;=151,"Kanto",IF(A923&lt;=251,"Johto",IF(A923&lt;=386,"Hoenn",IF(A923&lt;=493,"Sinnoh",IF(A923&lt;=649,"Unova",IF(A923&lt;=721,"Kalos",IF(A923&lt;=809,"Alola",IF(A923&lt;=905,"Galar","Paldea"))))))))</f>
        <v>Unova</v>
      </c>
      <c r="F923" t="str">
        <f>IF(G923&gt;=600,"Lendário",IF(G923&gt;=500,"Forte","Normal"))</f>
        <v>Normal</v>
      </c>
      <c r="G923" s="3">
        <v>390</v>
      </c>
      <c r="H923" s="3">
        <v>60</v>
      </c>
      <c r="I923" s="3">
        <v>45</v>
      </c>
      <c r="J923" s="3">
        <v>70</v>
      </c>
      <c r="K923" s="3">
        <v>75</v>
      </c>
      <c r="L923" s="3">
        <v>85</v>
      </c>
      <c r="M923" s="3">
        <v>55</v>
      </c>
      <c r="N923" s="3">
        <f>AVERAGE($I$2:$I$1168)</f>
        <v>78.907455012853475</v>
      </c>
      <c r="O923" s="3" t="str">
        <f>CONCATENATE(A923,"-",B923)</f>
        <v>575-Gothorita</v>
      </c>
    </row>
    <row r="924" spans="1:15">
      <c r="A924" s="63">
        <v>576</v>
      </c>
      <c r="B924" s="2" t="s">
        <v>651</v>
      </c>
      <c r="C924" t="s">
        <v>94</v>
      </c>
      <c r="D924" s="22">
        <f>COUNTIF($C$2:$C$1168,Tabela1[[#This Row],[Type]])</f>
        <v>83</v>
      </c>
      <c r="E924" s="62" t="str">
        <f>IF(A924&lt;=151,"Kanto",IF(A924&lt;=251,"Johto",IF(A924&lt;=386,"Hoenn",IF(A924&lt;=493,"Sinnoh",IF(A924&lt;=649,"Unova",IF(A924&lt;=721,"Kalos",IF(A924&lt;=809,"Alola",IF(A924&lt;=905,"Galar","Paldea"))))))))</f>
        <v>Unova</v>
      </c>
      <c r="F924" t="str">
        <f>IF(G924&gt;=600,"Lendário",IF(G924&gt;=500,"Forte","Normal"))</f>
        <v>Normal</v>
      </c>
      <c r="G924" s="3">
        <v>490</v>
      </c>
      <c r="H924" s="3">
        <v>70</v>
      </c>
      <c r="I924" s="3">
        <v>55</v>
      </c>
      <c r="J924" s="3">
        <v>95</v>
      </c>
      <c r="K924" s="3">
        <v>95</v>
      </c>
      <c r="L924" s="3">
        <v>110</v>
      </c>
      <c r="M924" s="3">
        <v>65</v>
      </c>
      <c r="N924" s="3">
        <f>AVERAGE($I$2:$I$1168)</f>
        <v>78.907455012853475</v>
      </c>
      <c r="O924" s="3" t="str">
        <f>CONCATENATE(A924,"-",B924)</f>
        <v>576-Gothitelle</v>
      </c>
    </row>
    <row r="925" spans="1:15">
      <c r="A925" s="63">
        <v>577</v>
      </c>
      <c r="B925" s="2" t="s">
        <v>652</v>
      </c>
      <c r="C925" t="s">
        <v>94</v>
      </c>
      <c r="D925" s="22">
        <f>COUNTIF($C$2:$C$1168,Tabela1[[#This Row],[Type]])</f>
        <v>83</v>
      </c>
      <c r="E925" s="62" t="str">
        <f>IF(A925&lt;=151,"Kanto",IF(A925&lt;=251,"Johto",IF(A925&lt;=386,"Hoenn",IF(A925&lt;=493,"Sinnoh",IF(A925&lt;=649,"Unova",IF(A925&lt;=721,"Kalos",IF(A925&lt;=809,"Alola",IF(A925&lt;=905,"Galar","Paldea"))))))))</f>
        <v>Unova</v>
      </c>
      <c r="F925" t="str">
        <f>IF(G925&gt;=600,"Lendário",IF(G925&gt;=500,"Forte","Normal"))</f>
        <v>Normal</v>
      </c>
      <c r="G925" s="3">
        <v>290</v>
      </c>
      <c r="H925" s="3">
        <v>45</v>
      </c>
      <c r="I925" s="3">
        <v>30</v>
      </c>
      <c r="J925" s="3">
        <v>40</v>
      </c>
      <c r="K925" s="3">
        <v>105</v>
      </c>
      <c r="L925" s="3">
        <v>50</v>
      </c>
      <c r="M925" s="3">
        <v>20</v>
      </c>
      <c r="N925" s="3">
        <f>AVERAGE($I$2:$I$1168)</f>
        <v>78.907455012853475</v>
      </c>
      <c r="O925" s="3" t="str">
        <f>CONCATENATE(A925,"-",B925)</f>
        <v>577-Solosis</v>
      </c>
    </row>
    <row r="926" spans="1:15">
      <c r="A926" s="63">
        <v>578</v>
      </c>
      <c r="B926" s="2" t="s">
        <v>653</v>
      </c>
      <c r="C926" t="s">
        <v>94</v>
      </c>
      <c r="D926" s="22">
        <f>COUNTIF($C$2:$C$1168,Tabela1[[#This Row],[Type]])</f>
        <v>83</v>
      </c>
      <c r="E926" s="62" t="str">
        <f>IF(A926&lt;=151,"Kanto",IF(A926&lt;=251,"Johto",IF(A926&lt;=386,"Hoenn",IF(A926&lt;=493,"Sinnoh",IF(A926&lt;=649,"Unova",IF(A926&lt;=721,"Kalos",IF(A926&lt;=809,"Alola",IF(A926&lt;=905,"Galar","Paldea"))))))))</f>
        <v>Unova</v>
      </c>
      <c r="F926" t="str">
        <f>IF(G926&gt;=600,"Lendário",IF(G926&gt;=500,"Forte","Normal"))</f>
        <v>Normal</v>
      </c>
      <c r="G926" s="3">
        <v>370</v>
      </c>
      <c r="H926" s="3">
        <v>65</v>
      </c>
      <c r="I926" s="3">
        <v>40</v>
      </c>
      <c r="J926" s="3">
        <v>50</v>
      </c>
      <c r="K926" s="3">
        <v>125</v>
      </c>
      <c r="L926" s="3">
        <v>60</v>
      </c>
      <c r="M926" s="3">
        <v>30</v>
      </c>
      <c r="N926" s="3">
        <f>AVERAGE($I$2:$I$1168)</f>
        <v>78.907455012853475</v>
      </c>
      <c r="O926" s="3" t="str">
        <f>CONCATENATE(A926,"-",B926)</f>
        <v>578-Duosion</v>
      </c>
    </row>
    <row r="927" spans="1:15">
      <c r="A927" s="63">
        <v>579</v>
      </c>
      <c r="B927" s="2" t="s">
        <v>654</v>
      </c>
      <c r="C927" t="s">
        <v>94</v>
      </c>
      <c r="D927" s="22">
        <f>COUNTIF($C$2:$C$1168,Tabela1[[#This Row],[Type]])</f>
        <v>83</v>
      </c>
      <c r="E927" s="62" t="str">
        <f>IF(A927&lt;=151,"Kanto",IF(A927&lt;=251,"Johto",IF(A927&lt;=386,"Hoenn",IF(A927&lt;=493,"Sinnoh",IF(A927&lt;=649,"Unova",IF(A927&lt;=721,"Kalos",IF(A927&lt;=809,"Alola",IF(A927&lt;=905,"Galar","Paldea"))))))))</f>
        <v>Unova</v>
      </c>
      <c r="F927" t="str">
        <f>IF(G927&gt;=600,"Lendário",IF(G927&gt;=500,"Forte","Normal"))</f>
        <v>Normal</v>
      </c>
      <c r="G927" s="3">
        <v>490</v>
      </c>
      <c r="H927" s="3">
        <v>110</v>
      </c>
      <c r="I927" s="3">
        <v>65</v>
      </c>
      <c r="J927" s="3">
        <v>75</v>
      </c>
      <c r="K927" s="3">
        <v>125</v>
      </c>
      <c r="L927" s="3">
        <v>85</v>
      </c>
      <c r="M927" s="3">
        <v>30</v>
      </c>
      <c r="N927" s="3">
        <f>AVERAGE($I$2:$I$1168)</f>
        <v>78.907455012853475</v>
      </c>
      <c r="O927" s="3" t="str">
        <f>CONCATENATE(A927,"-",B927)</f>
        <v>579-Reuniclus</v>
      </c>
    </row>
    <row r="928" spans="1:15">
      <c r="A928" s="63">
        <v>580</v>
      </c>
      <c r="B928" s="2" t="s">
        <v>655</v>
      </c>
      <c r="C928" t="s">
        <v>30</v>
      </c>
      <c r="D928" s="22">
        <f>COUNTIF($C$2:$C$1168,Tabela1[[#This Row],[Type]])</f>
        <v>121</v>
      </c>
      <c r="E928" s="62" t="str">
        <f>IF(A928&lt;=151,"Kanto",IF(A928&lt;=251,"Johto",IF(A928&lt;=386,"Hoenn",IF(A928&lt;=493,"Sinnoh",IF(A928&lt;=649,"Unova",IF(A928&lt;=721,"Kalos",IF(A928&lt;=809,"Alola",IF(A928&lt;=905,"Galar","Paldea"))))))))</f>
        <v>Unova</v>
      </c>
      <c r="F928" t="str">
        <f>IF(G928&gt;=600,"Lendário",IF(G928&gt;=500,"Forte","Normal"))</f>
        <v>Normal</v>
      </c>
      <c r="G928" s="3">
        <v>305</v>
      </c>
      <c r="H928" s="3">
        <v>62</v>
      </c>
      <c r="I928" s="3">
        <v>44</v>
      </c>
      <c r="J928" s="3">
        <v>50</v>
      </c>
      <c r="K928" s="3">
        <v>44</v>
      </c>
      <c r="L928" s="3">
        <v>50</v>
      </c>
      <c r="M928" s="3">
        <v>55</v>
      </c>
      <c r="N928" s="3">
        <f>AVERAGE($I$2:$I$1168)</f>
        <v>78.907455012853475</v>
      </c>
      <c r="O928" s="3" t="str">
        <f>CONCATENATE(A928,"-",B928)</f>
        <v>580-Ducklett</v>
      </c>
    </row>
    <row r="929" spans="1:15">
      <c r="A929" s="63">
        <v>580</v>
      </c>
      <c r="B929" s="2" t="str">
        <f>B928</f>
        <v>Ducklett</v>
      </c>
      <c r="C929" t="s">
        <v>25</v>
      </c>
      <c r="D929" s="22">
        <f>COUNTIF($C$2:$C$1168,Tabela1[[#This Row],[Type]])</f>
        <v>100</v>
      </c>
      <c r="E929" s="62" t="str">
        <f>IF(A929&lt;=151,"Kanto",IF(A929&lt;=251,"Johto",IF(A929&lt;=386,"Hoenn",IF(A929&lt;=493,"Sinnoh",IF(A929&lt;=649,"Unova",IF(A929&lt;=721,"Kalos",IF(A929&lt;=809,"Alola",IF(A929&lt;=905,"Galar","Paldea"))))))))</f>
        <v>Unova</v>
      </c>
      <c r="F929" t="str">
        <f>IF(G929&gt;=600,"Lendário",IF(G929&gt;=500,"Forte","Normal"))</f>
        <v>Normal</v>
      </c>
      <c r="G929" s="3">
        <f>G928</f>
        <v>305</v>
      </c>
      <c r="H929" s="3">
        <f>H928</f>
        <v>62</v>
      </c>
      <c r="I929" s="3">
        <f>I928</f>
        <v>44</v>
      </c>
      <c r="J929" s="3">
        <f>J928</f>
        <v>50</v>
      </c>
      <c r="K929" s="3">
        <f>K928</f>
        <v>44</v>
      </c>
      <c r="L929" s="3">
        <f>L928</f>
        <v>50</v>
      </c>
      <c r="M929" s="3">
        <f>M928</f>
        <v>55</v>
      </c>
      <c r="N929" s="3">
        <f>AVERAGE($I$2:$I$1168)</f>
        <v>78.907455012853475</v>
      </c>
      <c r="O929" s="3" t="str">
        <f>CONCATENATE(A929,"-",B929)</f>
        <v>580-Ducklett</v>
      </c>
    </row>
    <row r="930" spans="1:15">
      <c r="A930" s="63">
        <v>581</v>
      </c>
      <c r="B930" s="2" t="s">
        <v>656</v>
      </c>
      <c r="C930" t="s">
        <v>30</v>
      </c>
      <c r="D930" s="22">
        <f>COUNTIF($C$2:$C$1168,Tabela1[[#This Row],[Type]])</f>
        <v>121</v>
      </c>
      <c r="E930" s="62" t="str">
        <f>IF(A930&lt;=151,"Kanto",IF(A930&lt;=251,"Johto",IF(A930&lt;=386,"Hoenn",IF(A930&lt;=493,"Sinnoh",IF(A930&lt;=649,"Unova",IF(A930&lt;=721,"Kalos",IF(A930&lt;=809,"Alola",IF(A930&lt;=905,"Galar","Paldea"))))))))</f>
        <v>Unova</v>
      </c>
      <c r="F930" t="str">
        <f>IF(G930&gt;=600,"Lendário",IF(G930&gt;=500,"Forte","Normal"))</f>
        <v>Normal</v>
      </c>
      <c r="G930" s="3">
        <v>473</v>
      </c>
      <c r="H930" s="3">
        <v>75</v>
      </c>
      <c r="I930" s="3">
        <v>87</v>
      </c>
      <c r="J930" s="3">
        <v>63</v>
      </c>
      <c r="K930" s="3">
        <v>87</v>
      </c>
      <c r="L930" s="3">
        <v>63</v>
      </c>
      <c r="M930" s="3">
        <v>98</v>
      </c>
      <c r="N930" s="3">
        <f>AVERAGE($I$2:$I$1168)</f>
        <v>78.907455012853475</v>
      </c>
      <c r="O930" s="3" t="str">
        <f>CONCATENATE(A930,"-",B930)</f>
        <v>581-Swanna</v>
      </c>
    </row>
    <row r="931" spans="1:15">
      <c r="A931" s="63">
        <v>581</v>
      </c>
      <c r="B931" s="2" t="str">
        <f>B930</f>
        <v>Swanna</v>
      </c>
      <c r="C931" t="s">
        <v>25</v>
      </c>
      <c r="D931" s="22">
        <f>COUNTIF($C$2:$C$1168,Tabela1[[#This Row],[Type]])</f>
        <v>100</v>
      </c>
      <c r="E931" s="62" t="str">
        <f>IF(A931&lt;=151,"Kanto",IF(A931&lt;=251,"Johto",IF(A931&lt;=386,"Hoenn",IF(A931&lt;=493,"Sinnoh",IF(A931&lt;=649,"Unova",IF(A931&lt;=721,"Kalos",IF(A931&lt;=809,"Alola",IF(A931&lt;=905,"Galar","Paldea"))))))))</f>
        <v>Unova</v>
      </c>
      <c r="F931" t="str">
        <f>IF(G931&gt;=600,"Lendário",IF(G931&gt;=500,"Forte","Normal"))</f>
        <v>Normal</v>
      </c>
      <c r="G931" s="3">
        <f>G930</f>
        <v>473</v>
      </c>
      <c r="H931" s="3">
        <f>H930</f>
        <v>75</v>
      </c>
      <c r="I931" s="3">
        <f>I930</f>
        <v>87</v>
      </c>
      <c r="J931" s="3">
        <f>J930</f>
        <v>63</v>
      </c>
      <c r="K931" s="3">
        <f>K930</f>
        <v>87</v>
      </c>
      <c r="L931" s="3">
        <f>L930</f>
        <v>63</v>
      </c>
      <c r="M931" s="3">
        <f>M930</f>
        <v>98</v>
      </c>
      <c r="N931" s="3">
        <f>AVERAGE($I$2:$I$1168)</f>
        <v>78.907455012853475</v>
      </c>
      <c r="O931" s="3" t="str">
        <f>CONCATENATE(A931,"-",B931)</f>
        <v>581-Swanna</v>
      </c>
    </row>
    <row r="932" spans="1:15">
      <c r="A932" s="63">
        <v>582</v>
      </c>
      <c r="B932" s="2" t="s">
        <v>657</v>
      </c>
      <c r="C932" t="s">
        <v>122</v>
      </c>
      <c r="D932" s="22">
        <f>COUNTIF($C$2:$C$1168,Tabela1[[#This Row],[Type]])</f>
        <v>37</v>
      </c>
      <c r="E932" s="62" t="str">
        <f>IF(A932&lt;=151,"Kanto",IF(A932&lt;=251,"Johto",IF(A932&lt;=386,"Hoenn",IF(A932&lt;=493,"Sinnoh",IF(A932&lt;=649,"Unova",IF(A932&lt;=721,"Kalos",IF(A932&lt;=809,"Alola",IF(A932&lt;=905,"Galar","Paldea"))))))))</f>
        <v>Unova</v>
      </c>
      <c r="F932" t="str">
        <f>IF(G932&gt;=600,"Lendário",IF(G932&gt;=500,"Forte","Normal"))</f>
        <v>Normal</v>
      </c>
      <c r="G932" s="3">
        <v>305</v>
      </c>
      <c r="H932" s="3">
        <v>36</v>
      </c>
      <c r="I932" s="3">
        <v>50</v>
      </c>
      <c r="J932" s="3">
        <v>50</v>
      </c>
      <c r="K932" s="3">
        <v>65</v>
      </c>
      <c r="L932" s="3">
        <v>60</v>
      </c>
      <c r="M932" s="3">
        <v>44</v>
      </c>
      <c r="N932" s="3">
        <f>AVERAGE($I$2:$I$1168)</f>
        <v>78.907455012853475</v>
      </c>
      <c r="O932" s="3" t="str">
        <f>CONCATENATE(A932,"-",B932)</f>
        <v>582-Vanillite</v>
      </c>
    </row>
    <row r="933" spans="1:15">
      <c r="A933" s="63">
        <v>583</v>
      </c>
      <c r="B933" s="2" t="s">
        <v>658</v>
      </c>
      <c r="C933" t="s">
        <v>122</v>
      </c>
      <c r="D933" s="22">
        <f>COUNTIF($C$2:$C$1168,Tabela1[[#This Row],[Type]])</f>
        <v>37</v>
      </c>
      <c r="E933" s="62" t="str">
        <f>IF(A933&lt;=151,"Kanto",IF(A933&lt;=251,"Johto",IF(A933&lt;=386,"Hoenn",IF(A933&lt;=493,"Sinnoh",IF(A933&lt;=649,"Unova",IF(A933&lt;=721,"Kalos",IF(A933&lt;=809,"Alola",IF(A933&lt;=905,"Galar","Paldea"))))))))</f>
        <v>Unova</v>
      </c>
      <c r="F933" t="str">
        <f>IF(G933&gt;=600,"Lendário",IF(G933&gt;=500,"Forte","Normal"))</f>
        <v>Normal</v>
      </c>
      <c r="G933" s="3">
        <v>395</v>
      </c>
      <c r="H933" s="3">
        <v>51</v>
      </c>
      <c r="I933" s="3">
        <v>65</v>
      </c>
      <c r="J933" s="3">
        <v>65</v>
      </c>
      <c r="K933" s="3">
        <v>80</v>
      </c>
      <c r="L933" s="3">
        <v>75</v>
      </c>
      <c r="M933" s="3">
        <v>59</v>
      </c>
      <c r="N933" s="3">
        <f>AVERAGE($I$2:$I$1168)</f>
        <v>78.907455012853475</v>
      </c>
      <c r="O933" s="3" t="str">
        <f>CONCATENATE(A933,"-",B933)</f>
        <v>583-Vanillish</v>
      </c>
    </row>
    <row r="934" spans="1:15">
      <c r="A934" s="63">
        <v>584</v>
      </c>
      <c r="B934" s="2" t="s">
        <v>659</v>
      </c>
      <c r="C934" t="s">
        <v>122</v>
      </c>
      <c r="D934" s="22">
        <f>COUNTIF($C$2:$C$1168,Tabela1[[#This Row],[Type]])</f>
        <v>37</v>
      </c>
      <c r="E934" s="62" t="str">
        <f>IF(A934&lt;=151,"Kanto",IF(A934&lt;=251,"Johto",IF(A934&lt;=386,"Hoenn",IF(A934&lt;=493,"Sinnoh",IF(A934&lt;=649,"Unova",IF(A934&lt;=721,"Kalos",IF(A934&lt;=809,"Alola",IF(A934&lt;=905,"Galar","Paldea"))))))))</f>
        <v>Unova</v>
      </c>
      <c r="F934" t="str">
        <f>IF(G934&gt;=600,"Lendário",IF(G934&gt;=500,"Forte","Normal"))</f>
        <v>Forte</v>
      </c>
      <c r="G934" s="3">
        <v>535</v>
      </c>
      <c r="H934" s="3">
        <v>71</v>
      </c>
      <c r="I934" s="3">
        <v>95</v>
      </c>
      <c r="J934" s="3">
        <v>85</v>
      </c>
      <c r="K934" s="3">
        <v>110</v>
      </c>
      <c r="L934" s="3">
        <v>95</v>
      </c>
      <c r="M934" s="3">
        <v>79</v>
      </c>
      <c r="N934" s="3">
        <f>AVERAGE($I$2:$I$1168)</f>
        <v>78.907455012853475</v>
      </c>
      <c r="O934" s="3" t="str">
        <f>CONCATENATE(A934,"-",B934)</f>
        <v>584-Vanilluxe</v>
      </c>
    </row>
    <row r="935" spans="1:15">
      <c r="A935" s="63">
        <v>585</v>
      </c>
      <c r="B935" s="2" t="s">
        <v>660</v>
      </c>
      <c r="C935" t="s">
        <v>42</v>
      </c>
      <c r="D935" s="22">
        <f>COUNTIF($C$2:$C$1168,Tabela1[[#This Row],[Type]])</f>
        <v>99</v>
      </c>
      <c r="E935" s="62" t="str">
        <f>IF(A935&lt;=151,"Kanto",IF(A935&lt;=251,"Johto",IF(A935&lt;=386,"Hoenn",IF(A935&lt;=493,"Sinnoh",IF(A935&lt;=649,"Unova",IF(A935&lt;=721,"Kalos",IF(A935&lt;=809,"Alola",IF(A935&lt;=905,"Galar","Paldea"))))))))</f>
        <v>Unova</v>
      </c>
      <c r="F935" t="str">
        <f>IF(G935&gt;=600,"Lendário",IF(G935&gt;=500,"Forte","Normal"))</f>
        <v>Normal</v>
      </c>
      <c r="G935" s="3">
        <v>335</v>
      </c>
      <c r="H935" s="3">
        <v>60</v>
      </c>
      <c r="I935" s="3">
        <v>60</v>
      </c>
      <c r="J935" s="3">
        <v>50</v>
      </c>
      <c r="K935" s="3">
        <v>40</v>
      </c>
      <c r="L935" s="3">
        <v>50</v>
      </c>
      <c r="M935" s="3">
        <v>75</v>
      </c>
      <c r="N935" s="3">
        <f>AVERAGE($I$2:$I$1168)</f>
        <v>78.907455012853475</v>
      </c>
      <c r="O935" s="3" t="str">
        <f>CONCATENATE(A935,"-",B935)</f>
        <v>585-Deerling</v>
      </c>
    </row>
    <row r="936" spans="1:15">
      <c r="A936" s="63">
        <v>586</v>
      </c>
      <c r="B936" s="2" t="s">
        <v>661</v>
      </c>
      <c r="C936" t="s">
        <v>42</v>
      </c>
      <c r="D936" s="22">
        <f>COUNTIF($C$2:$C$1168,Tabela1[[#This Row],[Type]])</f>
        <v>99</v>
      </c>
      <c r="E936" s="62" t="str">
        <f>IF(A936&lt;=151,"Kanto",IF(A936&lt;=251,"Johto",IF(A936&lt;=386,"Hoenn",IF(A936&lt;=493,"Sinnoh",IF(A936&lt;=649,"Unova",IF(A936&lt;=721,"Kalos",IF(A936&lt;=809,"Alola",IF(A936&lt;=905,"Galar","Paldea"))))))))</f>
        <v>Unova</v>
      </c>
      <c r="F936" t="str">
        <f>IF(G936&gt;=600,"Lendário",IF(G936&gt;=500,"Forte","Normal"))</f>
        <v>Normal</v>
      </c>
      <c r="G936" s="3">
        <v>475</v>
      </c>
      <c r="H936" s="3">
        <v>80</v>
      </c>
      <c r="I936" s="3">
        <v>100</v>
      </c>
      <c r="J936" s="3">
        <v>70</v>
      </c>
      <c r="K936" s="3">
        <v>60</v>
      </c>
      <c r="L936" s="3">
        <v>70</v>
      </c>
      <c r="M936" s="3">
        <v>95</v>
      </c>
      <c r="N936" s="3">
        <f>AVERAGE($I$2:$I$1168)</f>
        <v>78.907455012853475</v>
      </c>
      <c r="O936" s="3" t="str">
        <f>CONCATENATE(A936,"-",B936)</f>
        <v>586-Sawsbuck</v>
      </c>
    </row>
    <row r="937" spans="1:15">
      <c r="A937" s="63">
        <v>587</v>
      </c>
      <c r="B937" s="2" t="s">
        <v>662</v>
      </c>
      <c r="C937" t="s">
        <v>52</v>
      </c>
      <c r="D937" s="22">
        <f>COUNTIF($C$2:$C$1168,Tabela1[[#This Row],[Type]])</f>
        <v>51</v>
      </c>
      <c r="E937" s="62" t="str">
        <f>IF(A937&lt;=151,"Kanto",IF(A937&lt;=251,"Johto",IF(A937&lt;=386,"Hoenn",IF(A937&lt;=493,"Sinnoh",IF(A937&lt;=649,"Unova",IF(A937&lt;=721,"Kalos",IF(A937&lt;=809,"Alola",IF(A937&lt;=905,"Galar","Paldea"))))))))</f>
        <v>Unova</v>
      </c>
      <c r="F937" t="str">
        <f>IF(G937&gt;=600,"Lendário",IF(G937&gt;=500,"Forte","Normal"))</f>
        <v>Normal</v>
      </c>
      <c r="G937" s="3">
        <v>428</v>
      </c>
      <c r="H937" s="3">
        <v>55</v>
      </c>
      <c r="I937" s="3">
        <v>75</v>
      </c>
      <c r="J937" s="3">
        <v>60</v>
      </c>
      <c r="K937" s="3">
        <v>75</v>
      </c>
      <c r="L937" s="3">
        <v>60</v>
      </c>
      <c r="M937" s="3">
        <v>103</v>
      </c>
      <c r="N937" s="3">
        <f>AVERAGE($I$2:$I$1168)</f>
        <v>78.907455012853475</v>
      </c>
      <c r="O937" s="3" t="str">
        <f>CONCATENATE(A937,"-",B937)</f>
        <v>587-Emolga</v>
      </c>
    </row>
    <row r="938" spans="1:15">
      <c r="A938" s="63">
        <v>587</v>
      </c>
      <c r="B938" s="2" t="str">
        <f>B937</f>
        <v>Emolga</v>
      </c>
      <c r="C938" t="s">
        <v>25</v>
      </c>
      <c r="D938" s="22">
        <f>COUNTIF($C$2:$C$1168,Tabela1[[#This Row],[Type]])</f>
        <v>100</v>
      </c>
      <c r="E938" s="62" t="str">
        <f>IF(A938&lt;=151,"Kanto",IF(A938&lt;=251,"Johto",IF(A938&lt;=386,"Hoenn",IF(A938&lt;=493,"Sinnoh",IF(A938&lt;=649,"Unova",IF(A938&lt;=721,"Kalos",IF(A938&lt;=809,"Alola",IF(A938&lt;=905,"Galar","Paldea"))))))))</f>
        <v>Unova</v>
      </c>
      <c r="F938" t="str">
        <f>IF(G938&gt;=600,"Lendário",IF(G938&gt;=500,"Forte","Normal"))</f>
        <v>Normal</v>
      </c>
      <c r="G938" s="3">
        <f>G937</f>
        <v>428</v>
      </c>
      <c r="H938" s="3">
        <f>H937</f>
        <v>55</v>
      </c>
      <c r="I938" s="3">
        <f>I937</f>
        <v>75</v>
      </c>
      <c r="J938" s="3">
        <f>J937</f>
        <v>60</v>
      </c>
      <c r="K938" s="3">
        <f>K937</f>
        <v>75</v>
      </c>
      <c r="L938" s="3">
        <f>L937</f>
        <v>60</v>
      </c>
      <c r="M938" s="3">
        <f>M937</f>
        <v>103</v>
      </c>
      <c r="N938" s="3">
        <f>AVERAGE($I$2:$I$1168)</f>
        <v>78.907455012853475</v>
      </c>
      <c r="O938" s="3" t="str">
        <f>CONCATENATE(A938,"-",B938)</f>
        <v>587-Emolga</v>
      </c>
    </row>
    <row r="939" spans="1:15">
      <c r="A939" s="63">
        <v>588</v>
      </c>
      <c r="B939" s="2" t="s">
        <v>663</v>
      </c>
      <c r="C939" t="s">
        <v>35</v>
      </c>
      <c r="D939" s="22">
        <f>COUNTIF($C$2:$C$1168,Tabela1[[#This Row],[Type]])</f>
        <v>71</v>
      </c>
      <c r="E939" s="62" t="str">
        <f>IF(A939&lt;=151,"Kanto",IF(A939&lt;=251,"Johto",IF(A939&lt;=386,"Hoenn",IF(A939&lt;=493,"Sinnoh",IF(A939&lt;=649,"Unova",IF(A939&lt;=721,"Kalos",IF(A939&lt;=809,"Alola",IF(A939&lt;=905,"Galar","Paldea"))))))))</f>
        <v>Unova</v>
      </c>
      <c r="F939" t="str">
        <f>IF(G939&gt;=600,"Lendário",IF(G939&gt;=500,"Forte","Normal"))</f>
        <v>Normal</v>
      </c>
      <c r="G939" s="3">
        <v>315</v>
      </c>
      <c r="H939" s="3">
        <v>50</v>
      </c>
      <c r="I939" s="3">
        <v>75</v>
      </c>
      <c r="J939" s="3">
        <v>45</v>
      </c>
      <c r="K939" s="3">
        <v>40</v>
      </c>
      <c r="L939" s="3">
        <v>45</v>
      </c>
      <c r="M939" s="3">
        <v>60</v>
      </c>
      <c r="N939" s="3">
        <f>AVERAGE($I$2:$I$1168)</f>
        <v>78.907455012853475</v>
      </c>
      <c r="O939" s="3" t="str">
        <f>CONCATENATE(A939,"-",B939)</f>
        <v>588-Karrablast</v>
      </c>
    </row>
    <row r="940" spans="1:15">
      <c r="A940" s="63">
        <v>589</v>
      </c>
      <c r="B940" s="2" t="s">
        <v>664</v>
      </c>
      <c r="C940" t="s">
        <v>35</v>
      </c>
      <c r="D940" s="22">
        <f>COUNTIF($C$2:$C$1168,Tabela1[[#This Row],[Type]])</f>
        <v>71</v>
      </c>
      <c r="E940" s="62" t="str">
        <f>IF(A940&lt;=151,"Kanto",IF(A940&lt;=251,"Johto",IF(A940&lt;=386,"Hoenn",IF(A940&lt;=493,"Sinnoh",IF(A940&lt;=649,"Unova",IF(A940&lt;=721,"Kalos",IF(A940&lt;=809,"Alola",IF(A940&lt;=905,"Galar","Paldea"))))))))</f>
        <v>Unova</v>
      </c>
      <c r="F940" t="str">
        <f>IF(G940&gt;=600,"Lendário",IF(G940&gt;=500,"Forte","Normal"))</f>
        <v>Normal</v>
      </c>
      <c r="G940" s="3">
        <v>495</v>
      </c>
      <c r="H940" s="3">
        <v>70</v>
      </c>
      <c r="I940" s="3">
        <v>135</v>
      </c>
      <c r="J940" s="3">
        <v>105</v>
      </c>
      <c r="K940" s="3">
        <v>60</v>
      </c>
      <c r="L940" s="3">
        <v>105</v>
      </c>
      <c r="M940" s="3">
        <v>20</v>
      </c>
      <c r="N940" s="3">
        <f>AVERAGE($I$2:$I$1168)</f>
        <v>78.907455012853475</v>
      </c>
      <c r="O940" s="3" t="str">
        <f>CONCATENATE(A940,"-",B940)</f>
        <v>589-Escavalier</v>
      </c>
    </row>
    <row r="941" spans="1:15">
      <c r="A941" s="63">
        <v>589</v>
      </c>
      <c r="B941" s="2" t="str">
        <f>B940</f>
        <v>Escavalier</v>
      </c>
      <c r="C941" t="s">
        <v>115</v>
      </c>
      <c r="D941" s="22">
        <f>COUNTIF($C$2:$C$1168,Tabela1[[#This Row],[Type]])</f>
        <v>48</v>
      </c>
      <c r="E941" s="62" t="str">
        <f>IF(A941&lt;=151,"Kanto",IF(A941&lt;=251,"Johto",IF(A941&lt;=386,"Hoenn",IF(A941&lt;=493,"Sinnoh",IF(A941&lt;=649,"Unova",IF(A941&lt;=721,"Kalos",IF(A941&lt;=809,"Alola",IF(A941&lt;=905,"Galar","Paldea"))))))))</f>
        <v>Unova</v>
      </c>
      <c r="F941" t="str">
        <f>IF(G941&gt;=600,"Lendário",IF(G941&gt;=500,"Forte","Normal"))</f>
        <v>Normal</v>
      </c>
      <c r="G941" s="3">
        <f>G940</f>
        <v>495</v>
      </c>
      <c r="H941" s="3">
        <f>H940</f>
        <v>70</v>
      </c>
      <c r="I941" s="3">
        <f>I940</f>
        <v>135</v>
      </c>
      <c r="J941" s="3">
        <f>J940</f>
        <v>105</v>
      </c>
      <c r="K941" s="3">
        <f>K940</f>
        <v>60</v>
      </c>
      <c r="L941" s="3">
        <f>L940</f>
        <v>105</v>
      </c>
      <c r="M941" s="3">
        <f>M940</f>
        <v>20</v>
      </c>
      <c r="N941" s="3">
        <f>AVERAGE($I$2:$I$1168)</f>
        <v>78.907455012853475</v>
      </c>
      <c r="O941" s="3" t="str">
        <f>CONCATENATE(A941,"-",B941)</f>
        <v>589-Escavalier</v>
      </c>
    </row>
    <row r="942" spans="1:15">
      <c r="A942" s="63">
        <v>590</v>
      </c>
      <c r="B942" s="2" t="s">
        <v>665</v>
      </c>
      <c r="C942" t="s">
        <v>16</v>
      </c>
      <c r="D942" s="22">
        <f>COUNTIF($C$2:$C$1168,Tabela1[[#This Row],[Type]])</f>
        <v>93</v>
      </c>
      <c r="E942" s="62" t="str">
        <f>IF(A942&lt;=151,"Kanto",IF(A942&lt;=251,"Johto",IF(A942&lt;=386,"Hoenn",IF(A942&lt;=493,"Sinnoh",IF(A942&lt;=649,"Unova",IF(A942&lt;=721,"Kalos",IF(A942&lt;=809,"Alola",IF(A942&lt;=905,"Galar","Paldea"))))))))</f>
        <v>Unova</v>
      </c>
      <c r="F942" t="str">
        <f>IF(G942&gt;=600,"Lendário",IF(G942&gt;=500,"Forte","Normal"))</f>
        <v>Normal</v>
      </c>
      <c r="G942" s="3">
        <v>294</v>
      </c>
      <c r="H942" s="3">
        <v>69</v>
      </c>
      <c r="I942" s="3">
        <v>55</v>
      </c>
      <c r="J942" s="3">
        <v>45</v>
      </c>
      <c r="K942" s="3">
        <v>55</v>
      </c>
      <c r="L942" s="3">
        <v>55</v>
      </c>
      <c r="M942" s="3">
        <v>15</v>
      </c>
      <c r="N942" s="3">
        <f>AVERAGE($I$2:$I$1168)</f>
        <v>78.907455012853475</v>
      </c>
      <c r="O942" s="3" t="str">
        <f>CONCATENATE(A942,"-",B942)</f>
        <v>590-Foongus</v>
      </c>
    </row>
    <row r="943" spans="1:15">
      <c r="A943" s="63">
        <v>590</v>
      </c>
      <c r="B943" s="2" t="str">
        <f>B942</f>
        <v>Foongus</v>
      </c>
      <c r="C943" t="s">
        <v>17</v>
      </c>
      <c r="D943" s="22">
        <f>COUNTIF($C$2:$C$1168,Tabela1[[#This Row],[Type]])</f>
        <v>61</v>
      </c>
      <c r="E943" s="62" t="str">
        <f>IF(A943&lt;=151,"Kanto",IF(A943&lt;=251,"Johto",IF(A943&lt;=386,"Hoenn",IF(A943&lt;=493,"Sinnoh",IF(A943&lt;=649,"Unova",IF(A943&lt;=721,"Kalos",IF(A943&lt;=809,"Alola",IF(A943&lt;=905,"Galar","Paldea"))))))))</f>
        <v>Unova</v>
      </c>
      <c r="F943" t="str">
        <f>IF(G943&gt;=600,"Lendário",IF(G943&gt;=500,"Forte","Normal"))</f>
        <v>Normal</v>
      </c>
      <c r="G943" s="3">
        <f>G942</f>
        <v>294</v>
      </c>
      <c r="H943" s="3">
        <f>H942</f>
        <v>69</v>
      </c>
      <c r="I943" s="3">
        <f>I942</f>
        <v>55</v>
      </c>
      <c r="J943" s="3">
        <f>J942</f>
        <v>45</v>
      </c>
      <c r="K943" s="3">
        <f>K942</f>
        <v>55</v>
      </c>
      <c r="L943" s="3">
        <f>L942</f>
        <v>55</v>
      </c>
      <c r="M943" s="3">
        <f>M942</f>
        <v>15</v>
      </c>
      <c r="N943" s="3">
        <f>AVERAGE($I$2:$I$1168)</f>
        <v>78.907455012853475</v>
      </c>
      <c r="O943" s="3" t="str">
        <f>CONCATENATE(A943,"-",B943)</f>
        <v>590-Foongus</v>
      </c>
    </row>
    <row r="944" spans="1:15">
      <c r="A944" s="63">
        <v>591</v>
      </c>
      <c r="B944" s="2" t="s">
        <v>666</v>
      </c>
      <c r="C944" t="s">
        <v>16</v>
      </c>
      <c r="D944" s="22">
        <f>COUNTIF($C$2:$C$1168,Tabela1[[#This Row],[Type]])</f>
        <v>93</v>
      </c>
      <c r="E944" s="62" t="str">
        <f>IF(A944&lt;=151,"Kanto",IF(A944&lt;=251,"Johto",IF(A944&lt;=386,"Hoenn",IF(A944&lt;=493,"Sinnoh",IF(A944&lt;=649,"Unova",IF(A944&lt;=721,"Kalos",IF(A944&lt;=809,"Alola",IF(A944&lt;=905,"Galar","Paldea"))))))))</f>
        <v>Unova</v>
      </c>
      <c r="F944" t="str">
        <f>IF(G944&gt;=600,"Lendário",IF(G944&gt;=500,"Forte","Normal"))</f>
        <v>Normal</v>
      </c>
      <c r="G944" s="3">
        <v>464</v>
      </c>
      <c r="H944" s="3">
        <v>114</v>
      </c>
      <c r="I944" s="3">
        <v>85</v>
      </c>
      <c r="J944" s="3">
        <v>70</v>
      </c>
      <c r="K944" s="3">
        <v>85</v>
      </c>
      <c r="L944" s="3">
        <v>80</v>
      </c>
      <c r="M944" s="3">
        <v>30</v>
      </c>
      <c r="N944" s="3">
        <f>AVERAGE($I$2:$I$1168)</f>
        <v>78.907455012853475</v>
      </c>
      <c r="O944" s="3" t="str">
        <f>CONCATENATE(A944,"-",B944)</f>
        <v>591-Amoonguss</v>
      </c>
    </row>
    <row r="945" spans="1:15">
      <c r="A945" s="63">
        <v>591</v>
      </c>
      <c r="B945" s="2" t="str">
        <f>B944</f>
        <v>Amoonguss</v>
      </c>
      <c r="C945" t="s">
        <v>17</v>
      </c>
      <c r="D945" s="22">
        <f>COUNTIF($C$2:$C$1168,Tabela1[[#This Row],[Type]])</f>
        <v>61</v>
      </c>
      <c r="E945" s="62" t="str">
        <f>IF(A945&lt;=151,"Kanto",IF(A945&lt;=251,"Johto",IF(A945&lt;=386,"Hoenn",IF(A945&lt;=493,"Sinnoh",IF(A945&lt;=649,"Unova",IF(A945&lt;=721,"Kalos",IF(A945&lt;=809,"Alola",IF(A945&lt;=905,"Galar","Paldea"))))))))</f>
        <v>Unova</v>
      </c>
      <c r="F945" t="str">
        <f>IF(G945&gt;=600,"Lendário",IF(G945&gt;=500,"Forte","Normal"))</f>
        <v>Normal</v>
      </c>
      <c r="G945" s="3">
        <f>G944</f>
        <v>464</v>
      </c>
      <c r="H945" s="3">
        <f>H944</f>
        <v>114</v>
      </c>
      <c r="I945" s="3">
        <f>I944</f>
        <v>85</v>
      </c>
      <c r="J945" s="3">
        <f>J944</f>
        <v>70</v>
      </c>
      <c r="K945" s="3">
        <f>K944</f>
        <v>85</v>
      </c>
      <c r="L945" s="3">
        <f>L944</f>
        <v>80</v>
      </c>
      <c r="M945" s="3">
        <f>M944</f>
        <v>30</v>
      </c>
      <c r="N945" s="3">
        <f>AVERAGE($I$2:$I$1168)</f>
        <v>78.907455012853475</v>
      </c>
      <c r="O945" s="3" t="str">
        <f>CONCATENATE(A945,"-",B945)</f>
        <v>591-Amoonguss</v>
      </c>
    </row>
    <row r="946" spans="1:15">
      <c r="A946" s="63">
        <v>592</v>
      </c>
      <c r="B946" s="2" t="s">
        <v>667</v>
      </c>
      <c r="C946" t="s">
        <v>30</v>
      </c>
      <c r="D946" s="22">
        <f>COUNTIF($C$2:$C$1168,Tabela1[[#This Row],[Type]])</f>
        <v>121</v>
      </c>
      <c r="E946" s="62" t="str">
        <f>IF(A946&lt;=151,"Kanto",IF(A946&lt;=251,"Johto",IF(A946&lt;=386,"Hoenn",IF(A946&lt;=493,"Sinnoh",IF(A946&lt;=649,"Unova",IF(A946&lt;=721,"Kalos",IF(A946&lt;=809,"Alola",IF(A946&lt;=905,"Galar","Paldea"))))))))</f>
        <v>Unova</v>
      </c>
      <c r="F946" t="str">
        <f>IF(G946&gt;=600,"Lendário",IF(G946&gt;=500,"Forte","Normal"))</f>
        <v>Normal</v>
      </c>
      <c r="G946" s="3">
        <v>335</v>
      </c>
      <c r="H946" s="3">
        <v>55</v>
      </c>
      <c r="I946" s="3">
        <v>40</v>
      </c>
      <c r="J946" s="3">
        <v>50</v>
      </c>
      <c r="K946" s="3">
        <v>65</v>
      </c>
      <c r="L946" s="3">
        <v>85</v>
      </c>
      <c r="M946" s="3">
        <v>40</v>
      </c>
      <c r="N946" s="3">
        <f>AVERAGE($I$2:$I$1168)</f>
        <v>78.907455012853475</v>
      </c>
      <c r="O946" s="3" t="str">
        <f>CONCATENATE(A946,"-",B946)</f>
        <v>592-Frillish</v>
      </c>
    </row>
    <row r="947" spans="1:15">
      <c r="A947" s="63">
        <v>592</v>
      </c>
      <c r="B947" s="2" t="str">
        <f>B946</f>
        <v>Frillish</v>
      </c>
      <c r="C947" t="s">
        <v>128</v>
      </c>
      <c r="D947" s="22">
        <f>COUNTIF($C$2:$C$1168,Tabela1[[#This Row],[Type]])</f>
        <v>45</v>
      </c>
      <c r="E947" s="62" t="str">
        <f>IF(A947&lt;=151,"Kanto",IF(A947&lt;=251,"Johto",IF(A947&lt;=386,"Hoenn",IF(A947&lt;=493,"Sinnoh",IF(A947&lt;=649,"Unova",IF(A947&lt;=721,"Kalos",IF(A947&lt;=809,"Alola",IF(A947&lt;=905,"Galar","Paldea"))))))))</f>
        <v>Unova</v>
      </c>
      <c r="F947" t="str">
        <f>IF(G947&gt;=600,"Lendário",IF(G947&gt;=500,"Forte","Normal"))</f>
        <v>Normal</v>
      </c>
      <c r="G947" s="3">
        <f>G946</f>
        <v>335</v>
      </c>
      <c r="H947" s="3">
        <f>H946</f>
        <v>55</v>
      </c>
      <c r="I947" s="3">
        <f>I946</f>
        <v>40</v>
      </c>
      <c r="J947" s="3">
        <f>J946</f>
        <v>50</v>
      </c>
      <c r="K947" s="3">
        <f>K946</f>
        <v>65</v>
      </c>
      <c r="L947" s="3">
        <f>L946</f>
        <v>85</v>
      </c>
      <c r="M947" s="3">
        <f>M946</f>
        <v>40</v>
      </c>
      <c r="N947" s="3">
        <f>AVERAGE($I$2:$I$1168)</f>
        <v>78.907455012853475</v>
      </c>
      <c r="O947" s="3" t="str">
        <f>CONCATENATE(A947,"-",B947)</f>
        <v>592-Frillish</v>
      </c>
    </row>
    <row r="948" spans="1:15">
      <c r="A948" s="63">
        <v>593</v>
      </c>
      <c r="B948" s="2" t="s">
        <v>668</v>
      </c>
      <c r="C948" t="s">
        <v>30</v>
      </c>
      <c r="D948" s="22">
        <f>COUNTIF($C$2:$C$1168,Tabela1[[#This Row],[Type]])</f>
        <v>121</v>
      </c>
      <c r="E948" s="62" t="str">
        <f>IF(A948&lt;=151,"Kanto",IF(A948&lt;=251,"Johto",IF(A948&lt;=386,"Hoenn",IF(A948&lt;=493,"Sinnoh",IF(A948&lt;=649,"Unova",IF(A948&lt;=721,"Kalos",IF(A948&lt;=809,"Alola",IF(A948&lt;=905,"Galar","Paldea"))))))))</f>
        <v>Unova</v>
      </c>
      <c r="F948" t="str">
        <f>IF(G948&gt;=600,"Lendário",IF(G948&gt;=500,"Forte","Normal"))</f>
        <v>Normal</v>
      </c>
      <c r="G948" s="3">
        <v>480</v>
      </c>
      <c r="H948" s="3">
        <v>100</v>
      </c>
      <c r="I948" s="3">
        <v>60</v>
      </c>
      <c r="J948" s="3">
        <v>70</v>
      </c>
      <c r="K948" s="3">
        <v>85</v>
      </c>
      <c r="L948" s="3">
        <v>105</v>
      </c>
      <c r="M948" s="3">
        <v>60</v>
      </c>
      <c r="N948" s="3">
        <f>AVERAGE($I$2:$I$1168)</f>
        <v>78.907455012853475</v>
      </c>
      <c r="O948" s="3" t="str">
        <f>CONCATENATE(A948,"-",B948)</f>
        <v>593-Jellicent</v>
      </c>
    </row>
    <row r="949" spans="1:15">
      <c r="A949" s="63">
        <v>593</v>
      </c>
      <c r="B949" s="2" t="str">
        <f>B948</f>
        <v>Jellicent</v>
      </c>
      <c r="C949" t="s">
        <v>128</v>
      </c>
      <c r="D949" s="22">
        <f>COUNTIF($C$2:$C$1168,Tabela1[[#This Row],[Type]])</f>
        <v>45</v>
      </c>
      <c r="E949" s="62" t="str">
        <f>IF(A949&lt;=151,"Kanto",IF(A949&lt;=251,"Johto",IF(A949&lt;=386,"Hoenn",IF(A949&lt;=493,"Sinnoh",IF(A949&lt;=649,"Unova",IF(A949&lt;=721,"Kalos",IF(A949&lt;=809,"Alola",IF(A949&lt;=905,"Galar","Paldea"))))))))</f>
        <v>Unova</v>
      </c>
      <c r="F949" t="str">
        <f>IF(G949&gt;=600,"Lendário",IF(G949&gt;=500,"Forte","Normal"))</f>
        <v>Normal</v>
      </c>
      <c r="G949" s="3">
        <f>G948</f>
        <v>480</v>
      </c>
      <c r="H949" s="3">
        <f>H948</f>
        <v>100</v>
      </c>
      <c r="I949" s="3">
        <f>I948</f>
        <v>60</v>
      </c>
      <c r="J949" s="3">
        <f>J948</f>
        <v>70</v>
      </c>
      <c r="K949" s="3">
        <f>K948</f>
        <v>85</v>
      </c>
      <c r="L949" s="3">
        <f>L948</f>
        <v>105</v>
      </c>
      <c r="M949" s="3">
        <f>M948</f>
        <v>60</v>
      </c>
      <c r="N949" s="3">
        <f>AVERAGE($I$2:$I$1168)</f>
        <v>78.907455012853475</v>
      </c>
      <c r="O949" s="3" t="str">
        <f>CONCATENATE(A949,"-",B949)</f>
        <v>593-Jellicent</v>
      </c>
    </row>
    <row r="950" spans="1:15">
      <c r="A950" s="63">
        <v>594</v>
      </c>
      <c r="B950" s="2" t="s">
        <v>669</v>
      </c>
      <c r="C950" t="s">
        <v>30</v>
      </c>
      <c r="D950" s="22">
        <f>COUNTIF($C$2:$C$1168,Tabela1[[#This Row],[Type]])</f>
        <v>121</v>
      </c>
      <c r="E950" s="62" t="str">
        <f>IF(A950&lt;=151,"Kanto",IF(A950&lt;=251,"Johto",IF(A950&lt;=386,"Hoenn",IF(A950&lt;=493,"Sinnoh",IF(A950&lt;=649,"Unova",IF(A950&lt;=721,"Kalos",IF(A950&lt;=809,"Alola",IF(A950&lt;=905,"Galar","Paldea"))))))))</f>
        <v>Unova</v>
      </c>
      <c r="F950" t="str">
        <f>IF(G950&gt;=600,"Lendário",IF(G950&gt;=500,"Forte","Normal"))</f>
        <v>Normal</v>
      </c>
      <c r="G950" s="3">
        <v>470</v>
      </c>
      <c r="H950" s="3">
        <v>165</v>
      </c>
      <c r="I950" s="3">
        <v>75</v>
      </c>
      <c r="J950" s="3">
        <v>80</v>
      </c>
      <c r="K950" s="3">
        <v>40</v>
      </c>
      <c r="L950" s="3">
        <v>45</v>
      </c>
      <c r="M950" s="3">
        <v>65</v>
      </c>
      <c r="N950" s="3">
        <f>AVERAGE($I$2:$I$1168)</f>
        <v>78.907455012853475</v>
      </c>
      <c r="O950" s="3" t="str">
        <f>CONCATENATE(A950,"-",B950)</f>
        <v>594-Alomomola</v>
      </c>
    </row>
    <row r="951" spans="1:15">
      <c r="A951" s="63">
        <v>595</v>
      </c>
      <c r="B951" s="2" t="s">
        <v>670</v>
      </c>
      <c r="C951" t="s">
        <v>35</v>
      </c>
      <c r="D951" s="22">
        <f>COUNTIF($C$2:$C$1168,Tabela1[[#This Row],[Type]])</f>
        <v>71</v>
      </c>
      <c r="E951" s="62" t="str">
        <f>IF(A951&lt;=151,"Kanto",IF(A951&lt;=251,"Johto",IF(A951&lt;=386,"Hoenn",IF(A951&lt;=493,"Sinnoh",IF(A951&lt;=649,"Unova",IF(A951&lt;=721,"Kalos",IF(A951&lt;=809,"Alola",IF(A951&lt;=905,"Galar","Paldea"))))))))</f>
        <v>Unova</v>
      </c>
      <c r="F951" t="str">
        <f>IF(G951&gt;=600,"Lendário",IF(G951&gt;=500,"Forte","Normal"))</f>
        <v>Normal</v>
      </c>
      <c r="G951" s="3">
        <v>319</v>
      </c>
      <c r="H951" s="3">
        <v>50</v>
      </c>
      <c r="I951" s="3">
        <v>47</v>
      </c>
      <c r="J951" s="3">
        <v>50</v>
      </c>
      <c r="K951" s="3">
        <v>57</v>
      </c>
      <c r="L951" s="3">
        <v>50</v>
      </c>
      <c r="M951" s="3">
        <v>65</v>
      </c>
      <c r="N951" s="3">
        <f>AVERAGE($I$2:$I$1168)</f>
        <v>78.907455012853475</v>
      </c>
      <c r="O951" s="3" t="str">
        <f>CONCATENATE(A951,"-",B951)</f>
        <v>595-Joltik</v>
      </c>
    </row>
    <row r="952" spans="1:15">
      <c r="A952" s="63">
        <v>595</v>
      </c>
      <c r="B952" s="2" t="str">
        <f>B951</f>
        <v>Joltik</v>
      </c>
      <c r="C952" t="s">
        <v>52</v>
      </c>
      <c r="D952" s="22">
        <f>COUNTIF($C$2:$C$1168,Tabela1[[#This Row],[Type]])</f>
        <v>51</v>
      </c>
      <c r="E952" s="62" t="str">
        <f>IF(A952&lt;=151,"Kanto",IF(A952&lt;=251,"Johto",IF(A952&lt;=386,"Hoenn",IF(A952&lt;=493,"Sinnoh",IF(A952&lt;=649,"Unova",IF(A952&lt;=721,"Kalos",IF(A952&lt;=809,"Alola",IF(A952&lt;=905,"Galar","Paldea"))))))))</f>
        <v>Unova</v>
      </c>
      <c r="F952" t="str">
        <f>IF(G952&gt;=600,"Lendário",IF(G952&gt;=500,"Forte","Normal"))</f>
        <v>Normal</v>
      </c>
      <c r="G952" s="3">
        <f>G951</f>
        <v>319</v>
      </c>
      <c r="H952" s="3">
        <f>H951</f>
        <v>50</v>
      </c>
      <c r="I952" s="3">
        <f>I951</f>
        <v>47</v>
      </c>
      <c r="J952" s="3">
        <f>J951</f>
        <v>50</v>
      </c>
      <c r="K952" s="3">
        <f>K951</f>
        <v>57</v>
      </c>
      <c r="L952" s="3">
        <f>L951</f>
        <v>50</v>
      </c>
      <c r="M952" s="3">
        <f>M951</f>
        <v>65</v>
      </c>
      <c r="N952" s="3">
        <f>AVERAGE($I$2:$I$1168)</f>
        <v>78.907455012853475</v>
      </c>
      <c r="O952" s="3" t="str">
        <f>CONCATENATE(A952,"-",B952)</f>
        <v>595-Joltik</v>
      </c>
    </row>
    <row r="953" spans="1:15">
      <c r="A953" s="63">
        <v>596</v>
      </c>
      <c r="B953" s="2" t="s">
        <v>671</v>
      </c>
      <c r="C953" t="s">
        <v>35</v>
      </c>
      <c r="D953" s="22">
        <f>COUNTIF($C$2:$C$1168,Tabela1[[#This Row],[Type]])</f>
        <v>71</v>
      </c>
      <c r="E953" s="62" t="str">
        <f>IF(A953&lt;=151,"Kanto",IF(A953&lt;=251,"Johto",IF(A953&lt;=386,"Hoenn",IF(A953&lt;=493,"Sinnoh",IF(A953&lt;=649,"Unova",IF(A953&lt;=721,"Kalos",IF(A953&lt;=809,"Alola",IF(A953&lt;=905,"Galar","Paldea"))))))))</f>
        <v>Unova</v>
      </c>
      <c r="F953" t="str">
        <f>IF(G953&gt;=600,"Lendário",IF(G953&gt;=500,"Forte","Normal"))</f>
        <v>Normal</v>
      </c>
      <c r="G953" s="3">
        <v>472</v>
      </c>
      <c r="H953" s="3">
        <v>70</v>
      </c>
      <c r="I953" s="3">
        <v>77</v>
      </c>
      <c r="J953" s="3">
        <v>60</v>
      </c>
      <c r="K953" s="3">
        <v>97</v>
      </c>
      <c r="L953" s="3">
        <v>60</v>
      </c>
      <c r="M953" s="3">
        <v>108</v>
      </c>
      <c r="N953" s="3">
        <f>AVERAGE($I$2:$I$1168)</f>
        <v>78.907455012853475</v>
      </c>
      <c r="O953" s="3" t="str">
        <f>CONCATENATE(A953,"-",B953)</f>
        <v>596-Galvantula</v>
      </c>
    </row>
    <row r="954" spans="1:15">
      <c r="A954" s="63">
        <v>596</v>
      </c>
      <c r="B954" s="2" t="str">
        <f>B953</f>
        <v>Galvantula</v>
      </c>
      <c r="C954" t="s">
        <v>52</v>
      </c>
      <c r="D954" s="22">
        <f>COUNTIF($C$2:$C$1168,Tabela1[[#This Row],[Type]])</f>
        <v>51</v>
      </c>
      <c r="E954" s="62" t="str">
        <f>IF(A954&lt;=151,"Kanto",IF(A954&lt;=251,"Johto",IF(A954&lt;=386,"Hoenn",IF(A954&lt;=493,"Sinnoh",IF(A954&lt;=649,"Unova",IF(A954&lt;=721,"Kalos",IF(A954&lt;=809,"Alola",IF(A954&lt;=905,"Galar","Paldea"))))))))</f>
        <v>Unova</v>
      </c>
      <c r="F954" t="str">
        <f>IF(G954&gt;=600,"Lendário",IF(G954&gt;=500,"Forte","Normal"))</f>
        <v>Normal</v>
      </c>
      <c r="G954" s="3">
        <f>G953</f>
        <v>472</v>
      </c>
      <c r="H954" s="3">
        <f>H953</f>
        <v>70</v>
      </c>
      <c r="I954" s="3">
        <f>I953</f>
        <v>77</v>
      </c>
      <c r="J954" s="3">
        <f>J953</f>
        <v>60</v>
      </c>
      <c r="K954" s="3">
        <f>K953</f>
        <v>97</v>
      </c>
      <c r="L954" s="3">
        <f>L953</f>
        <v>60</v>
      </c>
      <c r="M954" s="3">
        <f>M953</f>
        <v>108</v>
      </c>
      <c r="N954" s="3">
        <f>AVERAGE($I$2:$I$1168)</f>
        <v>78.907455012853475</v>
      </c>
      <c r="O954" s="3" t="str">
        <f>CONCATENATE(A954,"-",B954)</f>
        <v>596-Galvantula</v>
      </c>
    </row>
    <row r="955" spans="1:15">
      <c r="A955" s="63">
        <v>597</v>
      </c>
      <c r="B955" s="2" t="s">
        <v>672</v>
      </c>
      <c r="C955" t="s">
        <v>16</v>
      </c>
      <c r="D955" s="22">
        <f>COUNTIF($C$2:$C$1168,Tabela1[[#This Row],[Type]])</f>
        <v>93</v>
      </c>
      <c r="E955" s="62" t="str">
        <f>IF(A955&lt;=151,"Kanto",IF(A955&lt;=251,"Johto",IF(A955&lt;=386,"Hoenn",IF(A955&lt;=493,"Sinnoh",IF(A955&lt;=649,"Unova",IF(A955&lt;=721,"Kalos",IF(A955&lt;=809,"Alola",IF(A955&lt;=905,"Galar","Paldea"))))))))</f>
        <v>Unova</v>
      </c>
      <c r="F955" t="str">
        <f>IF(G955&gt;=600,"Lendário",IF(G955&gt;=500,"Forte","Normal"))</f>
        <v>Normal</v>
      </c>
      <c r="G955" s="3">
        <v>305</v>
      </c>
      <c r="H955" s="3">
        <v>44</v>
      </c>
      <c r="I955" s="3">
        <v>50</v>
      </c>
      <c r="J955" s="3">
        <v>91</v>
      </c>
      <c r="K955" s="3">
        <v>24</v>
      </c>
      <c r="L955" s="3">
        <v>86</v>
      </c>
      <c r="M955" s="3">
        <v>10</v>
      </c>
      <c r="N955" s="3">
        <f>AVERAGE($I$2:$I$1168)</f>
        <v>78.907455012853475</v>
      </c>
      <c r="O955" s="3" t="str">
        <f>CONCATENATE(A955,"-",B955)</f>
        <v>597-Ferroseed</v>
      </c>
    </row>
    <row r="956" spans="1:15">
      <c r="A956" s="63">
        <v>597</v>
      </c>
      <c r="B956" s="2" t="str">
        <f>B955</f>
        <v>Ferroseed</v>
      </c>
      <c r="C956" t="s">
        <v>115</v>
      </c>
      <c r="D956" s="22">
        <f>COUNTIF($C$2:$C$1168,Tabela1[[#This Row],[Type]])</f>
        <v>48</v>
      </c>
      <c r="E956" s="62" t="str">
        <f>IF(A956&lt;=151,"Kanto",IF(A956&lt;=251,"Johto",IF(A956&lt;=386,"Hoenn",IF(A956&lt;=493,"Sinnoh",IF(A956&lt;=649,"Unova",IF(A956&lt;=721,"Kalos",IF(A956&lt;=809,"Alola",IF(A956&lt;=905,"Galar","Paldea"))))))))</f>
        <v>Unova</v>
      </c>
      <c r="F956" t="str">
        <f>IF(G956&gt;=600,"Lendário",IF(G956&gt;=500,"Forte","Normal"))</f>
        <v>Normal</v>
      </c>
      <c r="G956" s="3">
        <f>G955</f>
        <v>305</v>
      </c>
      <c r="H956" s="3">
        <f>H955</f>
        <v>44</v>
      </c>
      <c r="I956" s="3">
        <f>I955</f>
        <v>50</v>
      </c>
      <c r="J956" s="3">
        <f>J955</f>
        <v>91</v>
      </c>
      <c r="K956" s="3">
        <f>K955</f>
        <v>24</v>
      </c>
      <c r="L956" s="3">
        <f>L955</f>
        <v>86</v>
      </c>
      <c r="M956" s="3">
        <f>M955</f>
        <v>10</v>
      </c>
      <c r="N956" s="3">
        <f>AVERAGE($I$2:$I$1168)</f>
        <v>78.907455012853475</v>
      </c>
      <c r="O956" s="3" t="str">
        <f>CONCATENATE(A956,"-",B956)</f>
        <v>597-Ferroseed</v>
      </c>
    </row>
    <row r="957" spans="1:15">
      <c r="A957" s="63">
        <v>598</v>
      </c>
      <c r="B957" s="2" t="s">
        <v>673</v>
      </c>
      <c r="C957" t="s">
        <v>16</v>
      </c>
      <c r="D957" s="22">
        <f>COUNTIF($C$2:$C$1168,Tabela1[[#This Row],[Type]])</f>
        <v>93</v>
      </c>
      <c r="E957" s="62" t="str">
        <f>IF(A957&lt;=151,"Kanto",IF(A957&lt;=251,"Johto",IF(A957&lt;=386,"Hoenn",IF(A957&lt;=493,"Sinnoh",IF(A957&lt;=649,"Unova",IF(A957&lt;=721,"Kalos",IF(A957&lt;=809,"Alola",IF(A957&lt;=905,"Galar","Paldea"))))))))</f>
        <v>Unova</v>
      </c>
      <c r="F957" t="str">
        <f>IF(G957&gt;=600,"Lendário",IF(G957&gt;=500,"Forte","Normal"))</f>
        <v>Normal</v>
      </c>
      <c r="G957" s="3">
        <v>489</v>
      </c>
      <c r="H957" s="3">
        <v>74</v>
      </c>
      <c r="I957" s="3">
        <v>94</v>
      </c>
      <c r="J957" s="3">
        <v>131</v>
      </c>
      <c r="K957" s="3">
        <v>54</v>
      </c>
      <c r="L957" s="3">
        <v>116</v>
      </c>
      <c r="M957" s="3">
        <v>20</v>
      </c>
      <c r="N957" s="3">
        <f>AVERAGE($I$2:$I$1168)</f>
        <v>78.907455012853475</v>
      </c>
      <c r="O957" s="3" t="str">
        <f>CONCATENATE(A957,"-",B957)</f>
        <v>598-Ferrothorn</v>
      </c>
    </row>
    <row r="958" spans="1:15">
      <c r="A958" s="63">
        <v>598</v>
      </c>
      <c r="B958" s="2" t="str">
        <f>B957</f>
        <v>Ferrothorn</v>
      </c>
      <c r="C958" t="s">
        <v>115</v>
      </c>
      <c r="D958" s="22">
        <f>COUNTIF($C$2:$C$1168,Tabela1[[#This Row],[Type]])</f>
        <v>48</v>
      </c>
      <c r="E958" s="62" t="str">
        <f>IF(A958&lt;=151,"Kanto",IF(A958&lt;=251,"Johto",IF(A958&lt;=386,"Hoenn",IF(A958&lt;=493,"Sinnoh",IF(A958&lt;=649,"Unova",IF(A958&lt;=721,"Kalos",IF(A958&lt;=809,"Alola",IF(A958&lt;=905,"Galar","Paldea"))))))))</f>
        <v>Unova</v>
      </c>
      <c r="F958" t="str">
        <f>IF(G958&gt;=600,"Lendário",IF(G958&gt;=500,"Forte","Normal"))</f>
        <v>Normal</v>
      </c>
      <c r="G958" s="3">
        <f>G957</f>
        <v>489</v>
      </c>
      <c r="H958" s="3">
        <f>H957</f>
        <v>74</v>
      </c>
      <c r="I958" s="3">
        <f>I957</f>
        <v>94</v>
      </c>
      <c r="J958" s="3">
        <f>J957</f>
        <v>131</v>
      </c>
      <c r="K958" s="3">
        <f>K957</f>
        <v>54</v>
      </c>
      <c r="L958" s="3">
        <f>L957</f>
        <v>116</v>
      </c>
      <c r="M958" s="3">
        <f>M957</f>
        <v>20</v>
      </c>
      <c r="N958" s="3">
        <f>AVERAGE($I$2:$I$1168)</f>
        <v>78.907455012853475</v>
      </c>
      <c r="O958" s="3" t="str">
        <f>CONCATENATE(A958,"-",B958)</f>
        <v>598-Ferrothorn</v>
      </c>
    </row>
    <row r="959" spans="1:15">
      <c r="A959" s="63">
        <v>599</v>
      </c>
      <c r="B959" s="2" t="s">
        <v>674</v>
      </c>
      <c r="C959" t="s">
        <v>115</v>
      </c>
      <c r="D959" s="22">
        <f>COUNTIF($C$2:$C$1168,Tabela1[[#This Row],[Type]])</f>
        <v>48</v>
      </c>
      <c r="E959" s="62" t="str">
        <f>IF(A959&lt;=151,"Kanto",IF(A959&lt;=251,"Johto",IF(A959&lt;=386,"Hoenn",IF(A959&lt;=493,"Sinnoh",IF(A959&lt;=649,"Unova",IF(A959&lt;=721,"Kalos",IF(A959&lt;=809,"Alola",IF(A959&lt;=905,"Galar","Paldea"))))))))</f>
        <v>Unova</v>
      </c>
      <c r="F959" t="str">
        <f>IF(G959&gt;=600,"Lendário",IF(G959&gt;=500,"Forte","Normal"))</f>
        <v>Normal</v>
      </c>
      <c r="G959" s="3">
        <v>300</v>
      </c>
      <c r="H959" s="3">
        <v>40</v>
      </c>
      <c r="I959" s="3">
        <v>55</v>
      </c>
      <c r="J959" s="3">
        <v>70</v>
      </c>
      <c r="K959" s="3">
        <v>45</v>
      </c>
      <c r="L959" s="3">
        <v>60</v>
      </c>
      <c r="M959" s="3">
        <v>30</v>
      </c>
      <c r="N959" s="3">
        <f>AVERAGE($I$2:$I$1168)</f>
        <v>78.907455012853475</v>
      </c>
      <c r="O959" s="3" t="str">
        <f>CONCATENATE(A959,"-",B959)</f>
        <v>599-Klink</v>
      </c>
    </row>
    <row r="960" spans="1:15">
      <c r="A960" s="63">
        <v>600</v>
      </c>
      <c r="B960" s="2" t="s">
        <v>675</v>
      </c>
      <c r="C960" t="s">
        <v>115</v>
      </c>
      <c r="D960" s="22">
        <f>COUNTIF($C$2:$C$1168,Tabela1[[#This Row],[Type]])</f>
        <v>48</v>
      </c>
      <c r="E960" s="62" t="str">
        <f>IF(A960&lt;=151,"Kanto",IF(A960&lt;=251,"Johto",IF(A960&lt;=386,"Hoenn",IF(A960&lt;=493,"Sinnoh",IF(A960&lt;=649,"Unova",IF(A960&lt;=721,"Kalos",IF(A960&lt;=809,"Alola",IF(A960&lt;=905,"Galar","Paldea"))))))))</f>
        <v>Unova</v>
      </c>
      <c r="F960" t="str">
        <f>IF(G960&gt;=600,"Lendário",IF(G960&gt;=500,"Forte","Normal"))</f>
        <v>Normal</v>
      </c>
      <c r="G960" s="3">
        <v>440</v>
      </c>
      <c r="H960" s="3">
        <v>60</v>
      </c>
      <c r="I960" s="3">
        <v>80</v>
      </c>
      <c r="J960" s="3">
        <v>95</v>
      </c>
      <c r="K960" s="3">
        <v>70</v>
      </c>
      <c r="L960" s="3">
        <v>85</v>
      </c>
      <c r="M960" s="3">
        <v>50</v>
      </c>
      <c r="N960" s="3">
        <f>AVERAGE($I$2:$I$1168)</f>
        <v>78.907455012853475</v>
      </c>
      <c r="O960" s="3" t="str">
        <f>CONCATENATE(A960,"-",B960)</f>
        <v>600-Klang</v>
      </c>
    </row>
    <row r="961" spans="1:15">
      <c r="A961" s="63">
        <v>601</v>
      </c>
      <c r="B961" s="2" t="s">
        <v>676</v>
      </c>
      <c r="C961" t="s">
        <v>115</v>
      </c>
      <c r="D961" s="22">
        <f>COUNTIF($C$2:$C$1168,Tabela1[[#This Row],[Type]])</f>
        <v>48</v>
      </c>
      <c r="E961" s="62" t="str">
        <f>IF(A961&lt;=151,"Kanto",IF(A961&lt;=251,"Johto",IF(A961&lt;=386,"Hoenn",IF(A961&lt;=493,"Sinnoh",IF(A961&lt;=649,"Unova",IF(A961&lt;=721,"Kalos",IF(A961&lt;=809,"Alola",IF(A961&lt;=905,"Galar","Paldea"))))))))</f>
        <v>Unova</v>
      </c>
      <c r="F961" t="str">
        <f>IF(G961&gt;=600,"Lendário",IF(G961&gt;=500,"Forte","Normal"))</f>
        <v>Forte</v>
      </c>
      <c r="G961" s="3">
        <v>520</v>
      </c>
      <c r="H961" s="3">
        <v>60</v>
      </c>
      <c r="I961" s="3">
        <v>100</v>
      </c>
      <c r="J961" s="3">
        <v>115</v>
      </c>
      <c r="K961" s="3">
        <v>70</v>
      </c>
      <c r="L961" s="3">
        <v>85</v>
      </c>
      <c r="M961" s="3">
        <v>90</v>
      </c>
      <c r="N961" s="3">
        <f>AVERAGE($I$2:$I$1168)</f>
        <v>78.907455012853475</v>
      </c>
      <c r="O961" s="3" t="str">
        <f>CONCATENATE(A961,"-",B961)</f>
        <v>601-Klinklang</v>
      </c>
    </row>
    <row r="962" spans="1:15">
      <c r="A962" s="63">
        <v>602</v>
      </c>
      <c r="B962" s="2" t="s">
        <v>677</v>
      </c>
      <c r="C962" t="s">
        <v>52</v>
      </c>
      <c r="D962" s="22">
        <f>COUNTIF($C$2:$C$1168,Tabela1[[#This Row],[Type]])</f>
        <v>51</v>
      </c>
      <c r="E962" s="62" t="str">
        <f>IF(A962&lt;=151,"Kanto",IF(A962&lt;=251,"Johto",IF(A962&lt;=386,"Hoenn",IF(A962&lt;=493,"Sinnoh",IF(A962&lt;=649,"Unova",IF(A962&lt;=721,"Kalos",IF(A962&lt;=809,"Alola",IF(A962&lt;=905,"Galar","Paldea"))))))))</f>
        <v>Unova</v>
      </c>
      <c r="F962" t="str">
        <f>IF(G962&gt;=600,"Lendário",IF(G962&gt;=500,"Forte","Normal"))</f>
        <v>Normal</v>
      </c>
      <c r="G962" s="3">
        <v>275</v>
      </c>
      <c r="H962" s="3">
        <v>35</v>
      </c>
      <c r="I962" s="3">
        <v>55</v>
      </c>
      <c r="J962" s="3">
        <v>40</v>
      </c>
      <c r="K962" s="3">
        <v>45</v>
      </c>
      <c r="L962" s="3">
        <v>40</v>
      </c>
      <c r="M962" s="3">
        <v>60</v>
      </c>
      <c r="N962" s="3">
        <f>AVERAGE($I$2:$I$1168)</f>
        <v>78.907455012853475</v>
      </c>
      <c r="O962" s="3" t="str">
        <f>CONCATENATE(A962,"-",B962)</f>
        <v>602-Tynamo</v>
      </c>
    </row>
    <row r="963" spans="1:15">
      <c r="A963" s="63">
        <v>603</v>
      </c>
      <c r="B963" s="2" t="s">
        <v>678</v>
      </c>
      <c r="C963" t="s">
        <v>52</v>
      </c>
      <c r="D963" s="22">
        <f>COUNTIF($C$2:$C$1168,Tabela1[[#This Row],[Type]])</f>
        <v>51</v>
      </c>
      <c r="E963" s="62" t="str">
        <f>IF(A963&lt;=151,"Kanto",IF(A963&lt;=251,"Johto",IF(A963&lt;=386,"Hoenn",IF(A963&lt;=493,"Sinnoh",IF(A963&lt;=649,"Unova",IF(A963&lt;=721,"Kalos",IF(A963&lt;=809,"Alola",IF(A963&lt;=905,"Galar","Paldea"))))))))</f>
        <v>Unova</v>
      </c>
      <c r="F963" t="str">
        <f>IF(G963&gt;=600,"Lendário",IF(G963&gt;=500,"Forte","Normal"))</f>
        <v>Normal</v>
      </c>
      <c r="G963" s="3">
        <v>405</v>
      </c>
      <c r="H963" s="3">
        <v>65</v>
      </c>
      <c r="I963" s="3">
        <v>85</v>
      </c>
      <c r="J963" s="3">
        <v>70</v>
      </c>
      <c r="K963" s="3">
        <v>75</v>
      </c>
      <c r="L963" s="3">
        <v>70</v>
      </c>
      <c r="M963" s="3">
        <v>40</v>
      </c>
      <c r="N963" s="3">
        <f>AVERAGE($I$2:$I$1168)</f>
        <v>78.907455012853475</v>
      </c>
      <c r="O963" s="3" t="str">
        <f>CONCATENATE(A963,"-",B963)</f>
        <v>603-Eelektrik</v>
      </c>
    </row>
    <row r="964" spans="1:15">
      <c r="A964" s="63">
        <v>604</v>
      </c>
      <c r="B964" s="2" t="s">
        <v>679</v>
      </c>
      <c r="C964" t="s">
        <v>52</v>
      </c>
      <c r="D964" s="22">
        <f>COUNTIF($C$2:$C$1168,Tabela1[[#This Row],[Type]])</f>
        <v>51</v>
      </c>
      <c r="E964" s="62" t="str">
        <f>IF(A964&lt;=151,"Kanto",IF(A964&lt;=251,"Johto",IF(A964&lt;=386,"Hoenn",IF(A964&lt;=493,"Sinnoh",IF(A964&lt;=649,"Unova",IF(A964&lt;=721,"Kalos",IF(A964&lt;=809,"Alola",IF(A964&lt;=905,"Galar","Paldea"))))))))</f>
        <v>Unova</v>
      </c>
      <c r="F964" t="str">
        <f>IF(G964&gt;=600,"Lendário",IF(G964&gt;=500,"Forte","Normal"))</f>
        <v>Forte</v>
      </c>
      <c r="G964" s="3">
        <v>515</v>
      </c>
      <c r="H964" s="3">
        <v>85</v>
      </c>
      <c r="I964" s="3">
        <v>115</v>
      </c>
      <c r="J964" s="3">
        <v>80</v>
      </c>
      <c r="K964" s="3">
        <v>105</v>
      </c>
      <c r="L964" s="3">
        <v>80</v>
      </c>
      <c r="M964" s="3">
        <v>50</v>
      </c>
      <c r="N964" s="3">
        <f>AVERAGE($I$2:$I$1168)</f>
        <v>78.907455012853475</v>
      </c>
      <c r="O964" s="3" t="str">
        <f>CONCATENATE(A964,"-",B964)</f>
        <v>604-Eelektross</v>
      </c>
    </row>
    <row r="965" spans="1:15">
      <c r="A965" s="63">
        <v>605</v>
      </c>
      <c r="B965" s="2" t="s">
        <v>680</v>
      </c>
      <c r="C965" t="s">
        <v>94</v>
      </c>
      <c r="D965" s="22">
        <f>COUNTIF($C$2:$C$1168,Tabela1[[#This Row],[Type]])</f>
        <v>83</v>
      </c>
      <c r="E965" s="62" t="str">
        <f>IF(A965&lt;=151,"Kanto",IF(A965&lt;=251,"Johto",IF(A965&lt;=386,"Hoenn",IF(A965&lt;=493,"Sinnoh",IF(A965&lt;=649,"Unova",IF(A965&lt;=721,"Kalos",IF(A965&lt;=809,"Alola",IF(A965&lt;=905,"Galar","Paldea"))))))))</f>
        <v>Unova</v>
      </c>
      <c r="F965" t="str">
        <f>IF(G965&gt;=600,"Lendário",IF(G965&gt;=500,"Forte","Normal"))</f>
        <v>Normal</v>
      </c>
      <c r="G965" s="3">
        <v>335</v>
      </c>
      <c r="H965" s="3">
        <v>55</v>
      </c>
      <c r="I965" s="3">
        <v>55</v>
      </c>
      <c r="J965" s="3">
        <v>55</v>
      </c>
      <c r="K965" s="3">
        <v>85</v>
      </c>
      <c r="L965" s="3">
        <v>55</v>
      </c>
      <c r="M965" s="3">
        <v>30</v>
      </c>
      <c r="N965" s="3">
        <f>AVERAGE($I$2:$I$1168)</f>
        <v>78.907455012853475</v>
      </c>
      <c r="O965" s="3" t="str">
        <f>CONCATENATE(A965,"-",B965)</f>
        <v>605-Elgyem</v>
      </c>
    </row>
    <row r="966" spans="1:15">
      <c r="A966" s="63">
        <v>606</v>
      </c>
      <c r="B966" s="2" t="s">
        <v>681</v>
      </c>
      <c r="C966" t="s">
        <v>94</v>
      </c>
      <c r="D966" s="22">
        <f>COUNTIF($C$2:$C$1168,Tabela1[[#This Row],[Type]])</f>
        <v>83</v>
      </c>
      <c r="E966" s="62" t="str">
        <f>IF(A966&lt;=151,"Kanto",IF(A966&lt;=251,"Johto",IF(A966&lt;=386,"Hoenn",IF(A966&lt;=493,"Sinnoh",IF(A966&lt;=649,"Unova",IF(A966&lt;=721,"Kalos",IF(A966&lt;=809,"Alola",IF(A966&lt;=905,"Galar","Paldea"))))))))</f>
        <v>Unova</v>
      </c>
      <c r="F966" t="str">
        <f>IF(G966&gt;=600,"Lendário",IF(G966&gt;=500,"Forte","Normal"))</f>
        <v>Normal</v>
      </c>
      <c r="G966" s="3">
        <v>485</v>
      </c>
      <c r="H966" s="3">
        <v>75</v>
      </c>
      <c r="I966" s="3">
        <v>75</v>
      </c>
      <c r="J966" s="3">
        <v>75</v>
      </c>
      <c r="K966" s="3">
        <v>125</v>
      </c>
      <c r="L966" s="3">
        <v>95</v>
      </c>
      <c r="M966" s="3">
        <v>40</v>
      </c>
      <c r="N966" s="3">
        <f>AVERAGE($I$2:$I$1168)</f>
        <v>78.907455012853475</v>
      </c>
      <c r="O966" s="3" t="str">
        <f>CONCATENATE(A966,"-",B966)</f>
        <v>606-Beheeyem</v>
      </c>
    </row>
    <row r="967" spans="1:15">
      <c r="A967" s="63">
        <v>607</v>
      </c>
      <c r="B967" s="2" t="s">
        <v>682</v>
      </c>
      <c r="C967" t="s">
        <v>128</v>
      </c>
      <c r="D967" s="22">
        <f>COUNTIF($C$2:$C$1168,Tabela1[[#This Row],[Type]])</f>
        <v>45</v>
      </c>
      <c r="E967" s="62" t="str">
        <f>IF(A967&lt;=151,"Kanto",IF(A967&lt;=251,"Johto",IF(A967&lt;=386,"Hoenn",IF(A967&lt;=493,"Sinnoh",IF(A967&lt;=649,"Unova",IF(A967&lt;=721,"Kalos",IF(A967&lt;=809,"Alola",IF(A967&lt;=905,"Galar","Paldea"))))))))</f>
        <v>Unova</v>
      </c>
      <c r="F967" t="str">
        <f>IF(G967&gt;=600,"Lendário",IF(G967&gt;=500,"Forte","Normal"))</f>
        <v>Normal</v>
      </c>
      <c r="G967" s="3">
        <v>275</v>
      </c>
      <c r="H967" s="3">
        <v>50</v>
      </c>
      <c r="I967" s="3">
        <v>30</v>
      </c>
      <c r="J967" s="3">
        <v>55</v>
      </c>
      <c r="K967" s="3">
        <v>65</v>
      </c>
      <c r="L967" s="3">
        <v>55</v>
      </c>
      <c r="M967" s="3">
        <v>20</v>
      </c>
      <c r="N967" s="3">
        <f>AVERAGE($I$2:$I$1168)</f>
        <v>78.907455012853475</v>
      </c>
      <c r="O967" s="3" t="str">
        <f>CONCATENATE(A967,"-",B967)</f>
        <v>607-Litwick</v>
      </c>
    </row>
    <row r="968" spans="1:15">
      <c r="A968" s="63">
        <v>607</v>
      </c>
      <c r="B968" s="2" t="str">
        <f>B967</f>
        <v>Litwick</v>
      </c>
      <c r="C968" t="s">
        <v>22</v>
      </c>
      <c r="D968" s="22">
        <f>COUNTIF($C$2:$C$1168,Tabela1[[#This Row],[Type]])</f>
        <v>62</v>
      </c>
      <c r="E968" s="62" t="str">
        <f>IF(A968&lt;=151,"Kanto",IF(A968&lt;=251,"Johto",IF(A968&lt;=386,"Hoenn",IF(A968&lt;=493,"Sinnoh",IF(A968&lt;=649,"Unova",IF(A968&lt;=721,"Kalos",IF(A968&lt;=809,"Alola",IF(A968&lt;=905,"Galar","Paldea"))))))))</f>
        <v>Unova</v>
      </c>
      <c r="F968" t="str">
        <f>IF(G968&gt;=600,"Lendário",IF(G968&gt;=500,"Forte","Normal"))</f>
        <v>Normal</v>
      </c>
      <c r="G968" s="3">
        <f>G967</f>
        <v>275</v>
      </c>
      <c r="H968" s="3">
        <f>H967</f>
        <v>50</v>
      </c>
      <c r="I968" s="3">
        <f>I967</f>
        <v>30</v>
      </c>
      <c r="J968" s="3">
        <f>J967</f>
        <v>55</v>
      </c>
      <c r="K968" s="3">
        <f>K967</f>
        <v>65</v>
      </c>
      <c r="L968" s="3">
        <f>L967</f>
        <v>55</v>
      </c>
      <c r="M968" s="3">
        <f>M967</f>
        <v>20</v>
      </c>
      <c r="N968" s="3">
        <f>AVERAGE($I$2:$I$1168)</f>
        <v>78.907455012853475</v>
      </c>
      <c r="O968" s="3" t="str">
        <f>CONCATENATE(A968,"-",B968)</f>
        <v>607-Litwick</v>
      </c>
    </row>
    <row r="969" spans="1:15">
      <c r="A969" s="63">
        <v>608</v>
      </c>
      <c r="B969" s="2" t="s">
        <v>683</v>
      </c>
      <c r="C969" t="s">
        <v>128</v>
      </c>
      <c r="D969" s="22">
        <f>COUNTIF($C$2:$C$1168,Tabela1[[#This Row],[Type]])</f>
        <v>45</v>
      </c>
      <c r="E969" s="62" t="str">
        <f>IF(A969&lt;=151,"Kanto",IF(A969&lt;=251,"Johto",IF(A969&lt;=386,"Hoenn",IF(A969&lt;=493,"Sinnoh",IF(A969&lt;=649,"Unova",IF(A969&lt;=721,"Kalos",IF(A969&lt;=809,"Alola",IF(A969&lt;=905,"Galar","Paldea"))))))))</f>
        <v>Unova</v>
      </c>
      <c r="F969" t="str">
        <f>IF(G969&gt;=600,"Lendário",IF(G969&gt;=500,"Forte","Normal"))</f>
        <v>Normal</v>
      </c>
      <c r="G969" s="3">
        <v>370</v>
      </c>
      <c r="H969" s="3">
        <v>60</v>
      </c>
      <c r="I969" s="3">
        <v>40</v>
      </c>
      <c r="J969" s="3">
        <v>60</v>
      </c>
      <c r="K969" s="3">
        <v>95</v>
      </c>
      <c r="L969" s="3">
        <v>60</v>
      </c>
      <c r="M969" s="3">
        <v>55</v>
      </c>
      <c r="N969" s="3">
        <f>AVERAGE($I$2:$I$1168)</f>
        <v>78.907455012853475</v>
      </c>
      <c r="O969" s="3" t="str">
        <f>CONCATENATE(A969,"-",B969)</f>
        <v>608-Lampent</v>
      </c>
    </row>
    <row r="970" spans="1:15">
      <c r="A970" s="63">
        <v>608</v>
      </c>
      <c r="B970" s="2" t="str">
        <f>B969</f>
        <v>Lampent</v>
      </c>
      <c r="C970" t="s">
        <v>22</v>
      </c>
      <c r="D970" s="22">
        <f>COUNTIF($C$2:$C$1168,Tabela1[[#This Row],[Type]])</f>
        <v>62</v>
      </c>
      <c r="E970" s="62" t="str">
        <f>IF(A970&lt;=151,"Kanto",IF(A970&lt;=251,"Johto",IF(A970&lt;=386,"Hoenn",IF(A970&lt;=493,"Sinnoh",IF(A970&lt;=649,"Unova",IF(A970&lt;=721,"Kalos",IF(A970&lt;=809,"Alola",IF(A970&lt;=905,"Galar","Paldea"))))))))</f>
        <v>Unova</v>
      </c>
      <c r="F970" t="str">
        <f>IF(G970&gt;=600,"Lendário",IF(G970&gt;=500,"Forte","Normal"))</f>
        <v>Normal</v>
      </c>
      <c r="G970" s="3">
        <f>G969</f>
        <v>370</v>
      </c>
      <c r="H970" s="3">
        <f>H969</f>
        <v>60</v>
      </c>
      <c r="I970" s="3">
        <f>I969</f>
        <v>40</v>
      </c>
      <c r="J970" s="3">
        <f>J969</f>
        <v>60</v>
      </c>
      <c r="K970" s="3">
        <f>K969</f>
        <v>95</v>
      </c>
      <c r="L970" s="3">
        <f>L969</f>
        <v>60</v>
      </c>
      <c r="M970" s="3">
        <f>M969</f>
        <v>55</v>
      </c>
      <c r="N970" s="3">
        <f>AVERAGE($I$2:$I$1168)</f>
        <v>78.907455012853475</v>
      </c>
      <c r="O970" s="3" t="str">
        <f>CONCATENATE(A970,"-",B970)</f>
        <v>608-Lampent</v>
      </c>
    </row>
    <row r="971" spans="1:15">
      <c r="A971" s="63">
        <v>609</v>
      </c>
      <c r="B971" s="2" t="s">
        <v>684</v>
      </c>
      <c r="C971" t="s">
        <v>128</v>
      </c>
      <c r="D971" s="22">
        <f>COUNTIF($C$2:$C$1168,Tabela1[[#This Row],[Type]])</f>
        <v>45</v>
      </c>
      <c r="E971" s="62" t="str">
        <f>IF(A971&lt;=151,"Kanto",IF(A971&lt;=251,"Johto",IF(A971&lt;=386,"Hoenn",IF(A971&lt;=493,"Sinnoh",IF(A971&lt;=649,"Unova",IF(A971&lt;=721,"Kalos",IF(A971&lt;=809,"Alola",IF(A971&lt;=905,"Galar","Paldea"))))))))</f>
        <v>Unova</v>
      </c>
      <c r="F971" t="str">
        <f>IF(G971&gt;=600,"Lendário",IF(G971&gt;=500,"Forte","Normal"))</f>
        <v>Forte</v>
      </c>
      <c r="G971" s="3">
        <v>520</v>
      </c>
      <c r="H971" s="3">
        <v>60</v>
      </c>
      <c r="I971" s="3">
        <v>55</v>
      </c>
      <c r="J971" s="3">
        <v>90</v>
      </c>
      <c r="K971" s="3">
        <v>145</v>
      </c>
      <c r="L971" s="3">
        <v>90</v>
      </c>
      <c r="M971" s="3">
        <v>80</v>
      </c>
      <c r="N971" s="3">
        <f>AVERAGE($I$2:$I$1168)</f>
        <v>78.907455012853475</v>
      </c>
      <c r="O971" s="3" t="str">
        <f>CONCATENATE(A971,"-",B971)</f>
        <v>609-Chandelure</v>
      </c>
    </row>
    <row r="972" spans="1:15">
      <c r="A972" s="63">
        <v>609</v>
      </c>
      <c r="B972" s="2" t="str">
        <f>B971</f>
        <v>Chandelure</v>
      </c>
      <c r="C972" t="s">
        <v>22</v>
      </c>
      <c r="D972" s="22">
        <f>COUNTIF($C$2:$C$1168,Tabela1[[#This Row],[Type]])</f>
        <v>62</v>
      </c>
      <c r="E972" s="62" t="str">
        <f>IF(A972&lt;=151,"Kanto",IF(A972&lt;=251,"Johto",IF(A972&lt;=386,"Hoenn",IF(A972&lt;=493,"Sinnoh",IF(A972&lt;=649,"Unova",IF(A972&lt;=721,"Kalos",IF(A972&lt;=809,"Alola",IF(A972&lt;=905,"Galar","Paldea"))))))))</f>
        <v>Unova</v>
      </c>
      <c r="F972" t="str">
        <f>IF(G972&gt;=600,"Lendário",IF(G972&gt;=500,"Forte","Normal"))</f>
        <v>Forte</v>
      </c>
      <c r="G972" s="3">
        <f>G971</f>
        <v>520</v>
      </c>
      <c r="H972" s="3">
        <f>H971</f>
        <v>60</v>
      </c>
      <c r="I972" s="3">
        <f>I971</f>
        <v>55</v>
      </c>
      <c r="J972" s="3">
        <f>J971</f>
        <v>90</v>
      </c>
      <c r="K972" s="3">
        <f>K971</f>
        <v>145</v>
      </c>
      <c r="L972" s="3">
        <f>L971</f>
        <v>90</v>
      </c>
      <c r="M972" s="3">
        <f>M971</f>
        <v>80</v>
      </c>
      <c r="N972" s="3">
        <f>AVERAGE($I$2:$I$1168)</f>
        <v>78.907455012853475</v>
      </c>
      <c r="O972" s="3" t="str">
        <f>CONCATENATE(A972,"-",B972)</f>
        <v>609-Chandelure</v>
      </c>
    </row>
    <row r="973" spans="1:15">
      <c r="A973" s="63">
        <v>610</v>
      </c>
      <c r="B973" s="2" t="s">
        <v>685</v>
      </c>
      <c r="C973" t="s">
        <v>27</v>
      </c>
      <c r="D973" s="22">
        <f>COUNTIF($C$2:$C$1168,Tabela1[[#This Row],[Type]])</f>
        <v>44</v>
      </c>
      <c r="E973" s="62" t="str">
        <f>IF(A973&lt;=151,"Kanto",IF(A973&lt;=251,"Johto",IF(A973&lt;=386,"Hoenn",IF(A973&lt;=493,"Sinnoh",IF(A973&lt;=649,"Unova",IF(A973&lt;=721,"Kalos",IF(A973&lt;=809,"Alola",IF(A973&lt;=905,"Galar","Paldea"))))))))</f>
        <v>Unova</v>
      </c>
      <c r="F973" t="str">
        <f>IF(G973&gt;=600,"Lendário",IF(G973&gt;=500,"Forte","Normal"))</f>
        <v>Normal</v>
      </c>
      <c r="G973" s="3">
        <v>320</v>
      </c>
      <c r="H973" s="3">
        <v>46</v>
      </c>
      <c r="I973" s="3">
        <v>87</v>
      </c>
      <c r="J973" s="3">
        <v>60</v>
      </c>
      <c r="K973" s="3">
        <v>30</v>
      </c>
      <c r="L973" s="3">
        <v>40</v>
      </c>
      <c r="M973" s="3">
        <v>57</v>
      </c>
      <c r="N973" s="3">
        <f>AVERAGE($I$2:$I$1168)</f>
        <v>78.907455012853475</v>
      </c>
      <c r="O973" s="3" t="str">
        <f>CONCATENATE(A973,"-",B973)</f>
        <v>610-Axew</v>
      </c>
    </row>
    <row r="974" spans="1:15">
      <c r="A974" s="63">
        <v>611</v>
      </c>
      <c r="B974" s="2" t="s">
        <v>686</v>
      </c>
      <c r="C974" t="s">
        <v>27</v>
      </c>
      <c r="D974" s="22">
        <f>COUNTIF($C$2:$C$1168,Tabela1[[#This Row],[Type]])</f>
        <v>44</v>
      </c>
      <c r="E974" s="62" t="str">
        <f>IF(A974&lt;=151,"Kanto",IF(A974&lt;=251,"Johto",IF(A974&lt;=386,"Hoenn",IF(A974&lt;=493,"Sinnoh",IF(A974&lt;=649,"Unova",IF(A974&lt;=721,"Kalos",IF(A974&lt;=809,"Alola",IF(A974&lt;=905,"Galar","Paldea"))))))))</f>
        <v>Unova</v>
      </c>
      <c r="F974" t="str">
        <f>IF(G974&gt;=600,"Lendário",IF(G974&gt;=500,"Forte","Normal"))</f>
        <v>Normal</v>
      </c>
      <c r="G974" s="3">
        <v>410</v>
      </c>
      <c r="H974" s="3">
        <v>66</v>
      </c>
      <c r="I974" s="3">
        <v>117</v>
      </c>
      <c r="J974" s="3">
        <v>70</v>
      </c>
      <c r="K974" s="3">
        <v>40</v>
      </c>
      <c r="L974" s="3">
        <v>50</v>
      </c>
      <c r="M974" s="3">
        <v>67</v>
      </c>
      <c r="N974" s="3">
        <f>AVERAGE($I$2:$I$1168)</f>
        <v>78.907455012853475</v>
      </c>
      <c r="O974" s="3" t="str">
        <f>CONCATENATE(A974,"-",B974)</f>
        <v>611-Fraxure</v>
      </c>
    </row>
    <row r="975" spans="1:15">
      <c r="A975" s="63">
        <v>612</v>
      </c>
      <c r="B975" s="2" t="s">
        <v>687</v>
      </c>
      <c r="C975" t="s">
        <v>27</v>
      </c>
      <c r="D975" s="22">
        <f>COUNTIF($C$2:$C$1168,Tabela1[[#This Row],[Type]])</f>
        <v>44</v>
      </c>
      <c r="E975" s="62" t="str">
        <f>IF(A975&lt;=151,"Kanto",IF(A975&lt;=251,"Johto",IF(A975&lt;=386,"Hoenn",IF(A975&lt;=493,"Sinnoh",IF(A975&lt;=649,"Unova",IF(A975&lt;=721,"Kalos",IF(A975&lt;=809,"Alola",IF(A975&lt;=905,"Galar","Paldea"))))))))</f>
        <v>Unova</v>
      </c>
      <c r="F975" t="str">
        <f>IF(G975&gt;=600,"Lendário",IF(G975&gt;=500,"Forte","Normal"))</f>
        <v>Forte</v>
      </c>
      <c r="G975" s="3">
        <v>540</v>
      </c>
      <c r="H975" s="3">
        <v>76</v>
      </c>
      <c r="I975" s="3">
        <v>147</v>
      </c>
      <c r="J975" s="3">
        <v>90</v>
      </c>
      <c r="K975" s="3">
        <v>60</v>
      </c>
      <c r="L975" s="3">
        <v>70</v>
      </c>
      <c r="M975" s="3">
        <v>97</v>
      </c>
      <c r="N975" s="3">
        <f>AVERAGE($I$2:$I$1168)</f>
        <v>78.907455012853475</v>
      </c>
      <c r="O975" s="3" t="str">
        <f>CONCATENATE(A975,"-",B975)</f>
        <v>612-Haxorus</v>
      </c>
    </row>
    <row r="976" spans="1:15">
      <c r="A976" s="63">
        <v>613</v>
      </c>
      <c r="B976" s="2" t="s">
        <v>688</v>
      </c>
      <c r="C976" t="s">
        <v>122</v>
      </c>
      <c r="D976" s="22">
        <f>COUNTIF($C$2:$C$1168,Tabela1[[#This Row],[Type]])</f>
        <v>37</v>
      </c>
      <c r="E976" s="62" t="str">
        <f>IF(A976&lt;=151,"Kanto",IF(A976&lt;=251,"Johto",IF(A976&lt;=386,"Hoenn",IF(A976&lt;=493,"Sinnoh",IF(A976&lt;=649,"Unova",IF(A976&lt;=721,"Kalos",IF(A976&lt;=809,"Alola",IF(A976&lt;=905,"Galar","Paldea"))))))))</f>
        <v>Unova</v>
      </c>
      <c r="F976" t="str">
        <f>IF(G976&gt;=600,"Lendário",IF(G976&gt;=500,"Forte","Normal"))</f>
        <v>Normal</v>
      </c>
      <c r="G976" s="3">
        <v>305</v>
      </c>
      <c r="H976" s="3">
        <v>55</v>
      </c>
      <c r="I976" s="3">
        <v>70</v>
      </c>
      <c r="J976" s="3">
        <v>40</v>
      </c>
      <c r="K976" s="3">
        <v>60</v>
      </c>
      <c r="L976" s="3">
        <v>40</v>
      </c>
      <c r="M976" s="3">
        <v>40</v>
      </c>
      <c r="N976" s="3">
        <f>AVERAGE($I$2:$I$1168)</f>
        <v>78.907455012853475</v>
      </c>
      <c r="O976" s="3" t="str">
        <f>CONCATENATE(A976,"-",B976)</f>
        <v>613-Cubchoo</v>
      </c>
    </row>
    <row r="977" spans="1:15">
      <c r="A977" s="63">
        <v>614</v>
      </c>
      <c r="B977" s="2" t="s">
        <v>689</v>
      </c>
      <c r="C977" t="s">
        <v>122</v>
      </c>
      <c r="D977" s="22">
        <f>COUNTIF($C$2:$C$1168,Tabela1[[#This Row],[Type]])</f>
        <v>37</v>
      </c>
      <c r="E977" s="62" t="str">
        <f>IF(A977&lt;=151,"Kanto",IF(A977&lt;=251,"Johto",IF(A977&lt;=386,"Hoenn",IF(A977&lt;=493,"Sinnoh",IF(A977&lt;=649,"Unova",IF(A977&lt;=721,"Kalos",IF(A977&lt;=809,"Alola",IF(A977&lt;=905,"Galar","Paldea"))))))))</f>
        <v>Unova</v>
      </c>
      <c r="F977" t="str">
        <f>IF(G977&gt;=600,"Lendário",IF(G977&gt;=500,"Forte","Normal"))</f>
        <v>Normal</v>
      </c>
      <c r="G977" s="3">
        <v>485</v>
      </c>
      <c r="H977" s="3">
        <v>95</v>
      </c>
      <c r="I977" s="3">
        <v>110</v>
      </c>
      <c r="J977" s="3">
        <v>80</v>
      </c>
      <c r="K977" s="3">
        <v>70</v>
      </c>
      <c r="L977" s="3">
        <v>80</v>
      </c>
      <c r="M977" s="3">
        <v>50</v>
      </c>
      <c r="N977" s="3">
        <f>AVERAGE($I$2:$I$1168)</f>
        <v>78.907455012853475</v>
      </c>
      <c r="O977" s="3" t="str">
        <f>CONCATENATE(A977,"-",B977)</f>
        <v>614-Beartic</v>
      </c>
    </row>
    <row r="978" spans="1:15">
      <c r="A978" s="63">
        <v>615</v>
      </c>
      <c r="B978" s="2" t="s">
        <v>690</v>
      </c>
      <c r="C978" t="s">
        <v>122</v>
      </c>
      <c r="D978" s="22">
        <f>COUNTIF($C$2:$C$1168,Tabela1[[#This Row],[Type]])</f>
        <v>37</v>
      </c>
      <c r="E978" s="62" t="str">
        <f>IF(A978&lt;=151,"Kanto",IF(A978&lt;=251,"Johto",IF(A978&lt;=386,"Hoenn",IF(A978&lt;=493,"Sinnoh",IF(A978&lt;=649,"Unova",IF(A978&lt;=721,"Kalos",IF(A978&lt;=809,"Alola",IF(A978&lt;=905,"Galar","Paldea"))))))))</f>
        <v>Unova</v>
      </c>
      <c r="F978" t="str">
        <f>IF(G978&gt;=600,"Lendário",IF(G978&gt;=500,"Forte","Normal"))</f>
        <v>Normal</v>
      </c>
      <c r="G978" s="3">
        <v>485</v>
      </c>
      <c r="H978" s="3">
        <v>70</v>
      </c>
      <c r="I978" s="3">
        <v>50</v>
      </c>
      <c r="J978" s="3">
        <v>30</v>
      </c>
      <c r="K978" s="3">
        <v>95</v>
      </c>
      <c r="L978" s="3">
        <v>135</v>
      </c>
      <c r="M978" s="3">
        <v>105</v>
      </c>
      <c r="N978" s="3">
        <f>AVERAGE($I$2:$I$1168)</f>
        <v>78.907455012853475</v>
      </c>
      <c r="O978" s="3" t="str">
        <f>CONCATENATE(A978,"-",B978)</f>
        <v>615-Cryogonal</v>
      </c>
    </row>
    <row r="979" spans="1:15">
      <c r="A979" s="63">
        <v>616</v>
      </c>
      <c r="B979" s="2" t="s">
        <v>691</v>
      </c>
      <c r="C979" t="s">
        <v>35</v>
      </c>
      <c r="D979" s="22">
        <f>COUNTIF($C$2:$C$1168,Tabela1[[#This Row],[Type]])</f>
        <v>71</v>
      </c>
      <c r="E979" s="62" t="str">
        <f>IF(A979&lt;=151,"Kanto",IF(A979&lt;=251,"Johto",IF(A979&lt;=386,"Hoenn",IF(A979&lt;=493,"Sinnoh",IF(A979&lt;=649,"Unova",IF(A979&lt;=721,"Kalos",IF(A979&lt;=809,"Alola",IF(A979&lt;=905,"Galar","Paldea"))))))))</f>
        <v>Unova</v>
      </c>
      <c r="F979" t="str">
        <f>IF(G979&gt;=600,"Lendário",IF(G979&gt;=500,"Forte","Normal"))</f>
        <v>Normal</v>
      </c>
      <c r="G979" s="3">
        <v>305</v>
      </c>
      <c r="H979" s="3">
        <v>50</v>
      </c>
      <c r="I979" s="3">
        <v>40</v>
      </c>
      <c r="J979" s="3">
        <v>85</v>
      </c>
      <c r="K979" s="3">
        <v>40</v>
      </c>
      <c r="L979" s="3">
        <v>65</v>
      </c>
      <c r="M979" s="3">
        <v>25</v>
      </c>
      <c r="N979" s="3">
        <f>AVERAGE($I$2:$I$1168)</f>
        <v>78.907455012853475</v>
      </c>
      <c r="O979" s="3" t="str">
        <f>CONCATENATE(A979,"-",B979)</f>
        <v>616-Shelmet</v>
      </c>
    </row>
    <row r="980" spans="1:15">
      <c r="A980" s="63">
        <v>617</v>
      </c>
      <c r="B980" s="2" t="s">
        <v>692</v>
      </c>
      <c r="C980" t="s">
        <v>35</v>
      </c>
      <c r="D980" s="22">
        <f>COUNTIF($C$2:$C$1168,Tabela1[[#This Row],[Type]])</f>
        <v>71</v>
      </c>
      <c r="E980" s="62" t="str">
        <f>IF(A980&lt;=151,"Kanto",IF(A980&lt;=251,"Johto",IF(A980&lt;=386,"Hoenn",IF(A980&lt;=493,"Sinnoh",IF(A980&lt;=649,"Unova",IF(A980&lt;=721,"Kalos",IF(A980&lt;=809,"Alola",IF(A980&lt;=905,"Galar","Paldea"))))))))</f>
        <v>Unova</v>
      </c>
      <c r="F980" t="str">
        <f>IF(G980&gt;=600,"Lendário",IF(G980&gt;=500,"Forte","Normal"))</f>
        <v>Normal</v>
      </c>
      <c r="G980" s="3">
        <v>495</v>
      </c>
      <c r="H980" s="3">
        <v>80</v>
      </c>
      <c r="I980" s="3">
        <v>70</v>
      </c>
      <c r="J980" s="3">
        <v>40</v>
      </c>
      <c r="K980" s="3">
        <v>100</v>
      </c>
      <c r="L980" s="3">
        <v>60</v>
      </c>
      <c r="M980" s="3">
        <v>145</v>
      </c>
      <c r="N980" s="3">
        <f>AVERAGE($I$2:$I$1168)</f>
        <v>78.907455012853475</v>
      </c>
      <c r="O980" s="3" t="str">
        <f>CONCATENATE(A980,"-",B980)</f>
        <v>617-Accelgor</v>
      </c>
    </row>
    <row r="981" spans="1:15">
      <c r="A981" s="63">
        <v>618</v>
      </c>
      <c r="B981" s="2" t="s">
        <v>693</v>
      </c>
      <c r="C981" t="s">
        <v>52</v>
      </c>
      <c r="D981" s="22">
        <f>COUNTIF($C$2:$C$1168,Tabela1[[#This Row],[Type]])</f>
        <v>51</v>
      </c>
      <c r="E981" s="62" t="str">
        <f>IF(A981&lt;=151,"Kanto",IF(A981&lt;=251,"Johto",IF(A981&lt;=386,"Hoenn",IF(A981&lt;=493,"Sinnoh",IF(A981&lt;=649,"Unova",IF(A981&lt;=721,"Kalos",IF(A981&lt;=809,"Alola",IF(A981&lt;=905,"Galar","Paldea"))))))))</f>
        <v>Unova</v>
      </c>
      <c r="F981" t="str">
        <f>IF(G981&gt;=600,"Lendário",IF(G981&gt;=500,"Forte","Normal"))</f>
        <v>Normal</v>
      </c>
      <c r="G981" s="3">
        <v>471</v>
      </c>
      <c r="H981" s="3">
        <v>109</v>
      </c>
      <c r="I981" s="3">
        <v>66</v>
      </c>
      <c r="J981" s="3">
        <v>84</v>
      </c>
      <c r="K981" s="3">
        <v>81</v>
      </c>
      <c r="L981" s="3">
        <v>99</v>
      </c>
      <c r="M981" s="3">
        <v>32</v>
      </c>
      <c r="N981" s="3">
        <f>AVERAGE($I$2:$I$1168)</f>
        <v>78.907455012853475</v>
      </c>
      <c r="O981" s="3" t="str">
        <f>CONCATENATE(A981,"-",B981)</f>
        <v>618-Stunfisk</v>
      </c>
    </row>
    <row r="982" spans="1:15">
      <c r="A982" s="63">
        <v>618</v>
      </c>
      <c r="B982" s="2" t="str">
        <f>B981</f>
        <v>Stunfisk</v>
      </c>
      <c r="C982" t="s">
        <v>55</v>
      </c>
      <c r="D982" s="22">
        <f>COUNTIF($C$2:$C$1168,Tabela1[[#This Row],[Type]])</f>
        <v>62</v>
      </c>
      <c r="E982" s="62" t="str">
        <f>IF(A982&lt;=151,"Kanto",IF(A982&lt;=251,"Johto",IF(A982&lt;=386,"Hoenn",IF(A982&lt;=493,"Sinnoh",IF(A982&lt;=649,"Unova",IF(A982&lt;=721,"Kalos",IF(A982&lt;=809,"Alola",IF(A982&lt;=905,"Galar","Paldea"))))))))</f>
        <v>Unova</v>
      </c>
      <c r="F982" t="str">
        <f>IF(G982&gt;=600,"Lendário",IF(G982&gt;=500,"Forte","Normal"))</f>
        <v>Normal</v>
      </c>
      <c r="G982" s="3">
        <f>G981</f>
        <v>471</v>
      </c>
      <c r="H982" s="3">
        <f>H981</f>
        <v>109</v>
      </c>
      <c r="I982" s="3">
        <f>I981</f>
        <v>66</v>
      </c>
      <c r="J982" s="3">
        <f>J981</f>
        <v>84</v>
      </c>
      <c r="K982" s="3">
        <f>K981</f>
        <v>81</v>
      </c>
      <c r="L982" s="3">
        <f>L981</f>
        <v>99</v>
      </c>
      <c r="M982" s="3">
        <f>M981</f>
        <v>32</v>
      </c>
      <c r="N982" s="3">
        <f>AVERAGE($I$2:$I$1168)</f>
        <v>78.907455012853475</v>
      </c>
      <c r="O982" s="3" t="str">
        <f>CONCATENATE(A982,"-",B982)</f>
        <v>618-Stunfisk</v>
      </c>
    </row>
    <row r="983" spans="1:15">
      <c r="A983" s="63">
        <v>619</v>
      </c>
      <c r="B983" s="2" t="s">
        <v>694</v>
      </c>
      <c r="C983" t="s">
        <v>86</v>
      </c>
      <c r="D983" s="22">
        <f>COUNTIF($C$2:$C$1168,Tabela1[[#This Row],[Type]])</f>
        <v>51</v>
      </c>
      <c r="E983" s="62" t="str">
        <f>IF(A983&lt;=151,"Kanto",IF(A983&lt;=251,"Johto",IF(A983&lt;=386,"Hoenn",IF(A983&lt;=493,"Sinnoh",IF(A983&lt;=649,"Unova",IF(A983&lt;=721,"Kalos",IF(A983&lt;=809,"Alola",IF(A983&lt;=905,"Galar","Paldea"))))))))</f>
        <v>Unova</v>
      </c>
      <c r="F983" t="str">
        <f>IF(G983&gt;=600,"Lendário",IF(G983&gt;=500,"Forte","Normal"))</f>
        <v>Normal</v>
      </c>
      <c r="G983" s="3">
        <v>350</v>
      </c>
      <c r="H983" s="3">
        <v>45</v>
      </c>
      <c r="I983" s="3">
        <v>85</v>
      </c>
      <c r="J983" s="3">
        <v>50</v>
      </c>
      <c r="K983" s="3">
        <v>55</v>
      </c>
      <c r="L983" s="3">
        <v>50</v>
      </c>
      <c r="M983" s="3">
        <v>65</v>
      </c>
      <c r="N983" s="3">
        <f>AVERAGE($I$2:$I$1168)</f>
        <v>78.907455012853475</v>
      </c>
      <c r="O983" s="3" t="str">
        <f>CONCATENATE(A983,"-",B983)</f>
        <v>619-Mienfoo</v>
      </c>
    </row>
    <row r="984" spans="1:15">
      <c r="A984" s="63">
        <v>620</v>
      </c>
      <c r="B984" s="2" t="s">
        <v>695</v>
      </c>
      <c r="C984" t="s">
        <v>86</v>
      </c>
      <c r="D984" s="22">
        <f>COUNTIF($C$2:$C$1168,Tabela1[[#This Row],[Type]])</f>
        <v>51</v>
      </c>
      <c r="E984" s="62" t="str">
        <f>IF(A984&lt;=151,"Kanto",IF(A984&lt;=251,"Johto",IF(A984&lt;=386,"Hoenn",IF(A984&lt;=493,"Sinnoh",IF(A984&lt;=649,"Unova",IF(A984&lt;=721,"Kalos",IF(A984&lt;=809,"Alola",IF(A984&lt;=905,"Galar","Paldea"))))))))</f>
        <v>Unova</v>
      </c>
      <c r="F984" t="str">
        <f>IF(G984&gt;=600,"Lendário",IF(G984&gt;=500,"Forte","Normal"))</f>
        <v>Forte</v>
      </c>
      <c r="G984" s="3">
        <v>510</v>
      </c>
      <c r="H984" s="3">
        <v>65</v>
      </c>
      <c r="I984" s="3">
        <v>125</v>
      </c>
      <c r="J984" s="3">
        <v>60</v>
      </c>
      <c r="K984" s="3">
        <v>95</v>
      </c>
      <c r="L984" s="3">
        <v>60</v>
      </c>
      <c r="M984" s="3">
        <v>105</v>
      </c>
      <c r="N984" s="3">
        <f>AVERAGE($I$2:$I$1168)</f>
        <v>78.907455012853475</v>
      </c>
      <c r="O984" s="3" t="str">
        <f>CONCATENATE(A984,"-",B984)</f>
        <v>620-Mienshao</v>
      </c>
    </row>
    <row r="985" spans="1:15">
      <c r="A985" s="63">
        <v>621</v>
      </c>
      <c r="B985" s="2" t="s">
        <v>696</v>
      </c>
      <c r="C985" t="s">
        <v>27</v>
      </c>
      <c r="D985" s="22">
        <f>COUNTIF($C$2:$C$1168,Tabela1[[#This Row],[Type]])</f>
        <v>44</v>
      </c>
      <c r="E985" s="62" t="str">
        <f>IF(A985&lt;=151,"Kanto",IF(A985&lt;=251,"Johto",IF(A985&lt;=386,"Hoenn",IF(A985&lt;=493,"Sinnoh",IF(A985&lt;=649,"Unova",IF(A985&lt;=721,"Kalos",IF(A985&lt;=809,"Alola",IF(A985&lt;=905,"Galar","Paldea"))))))))</f>
        <v>Unova</v>
      </c>
      <c r="F985" t="str">
        <f>IF(G985&gt;=600,"Lendário",IF(G985&gt;=500,"Forte","Normal"))</f>
        <v>Normal</v>
      </c>
      <c r="G985" s="3">
        <v>485</v>
      </c>
      <c r="H985" s="3">
        <v>77</v>
      </c>
      <c r="I985" s="3">
        <v>120</v>
      </c>
      <c r="J985" s="3">
        <v>90</v>
      </c>
      <c r="K985" s="3">
        <v>60</v>
      </c>
      <c r="L985" s="3">
        <v>90</v>
      </c>
      <c r="M985" s="3">
        <v>48</v>
      </c>
      <c r="N985" s="3">
        <f>AVERAGE($I$2:$I$1168)</f>
        <v>78.907455012853475</v>
      </c>
      <c r="O985" s="3" t="str">
        <f>CONCATENATE(A985,"-",B985)</f>
        <v>621-Druddigon</v>
      </c>
    </row>
    <row r="986" spans="1:15">
      <c r="A986" s="63">
        <v>622</v>
      </c>
      <c r="B986" s="2" t="s">
        <v>697</v>
      </c>
      <c r="C986" t="s">
        <v>55</v>
      </c>
      <c r="D986" s="22">
        <f>COUNTIF($C$2:$C$1168,Tabela1[[#This Row],[Type]])</f>
        <v>62</v>
      </c>
      <c r="E986" s="62" t="str">
        <f>IF(A986&lt;=151,"Kanto",IF(A986&lt;=251,"Johto",IF(A986&lt;=386,"Hoenn",IF(A986&lt;=493,"Sinnoh",IF(A986&lt;=649,"Unova",IF(A986&lt;=721,"Kalos",IF(A986&lt;=809,"Alola",IF(A986&lt;=905,"Galar","Paldea"))))))))</f>
        <v>Unova</v>
      </c>
      <c r="F986" t="str">
        <f>IF(G986&gt;=600,"Lendário",IF(G986&gt;=500,"Forte","Normal"))</f>
        <v>Normal</v>
      </c>
      <c r="G986" s="3">
        <v>303</v>
      </c>
      <c r="H986" s="3">
        <v>59</v>
      </c>
      <c r="I986" s="3">
        <v>74</v>
      </c>
      <c r="J986" s="3">
        <v>50</v>
      </c>
      <c r="K986" s="3">
        <v>35</v>
      </c>
      <c r="L986" s="3">
        <v>50</v>
      </c>
      <c r="M986" s="3">
        <v>35</v>
      </c>
      <c r="N986" s="3">
        <f>AVERAGE($I$2:$I$1168)</f>
        <v>78.907455012853475</v>
      </c>
      <c r="O986" s="3" t="str">
        <f>CONCATENATE(A986,"-",B986)</f>
        <v>622-Golett</v>
      </c>
    </row>
    <row r="987" spans="1:15">
      <c r="A987" s="63">
        <v>622</v>
      </c>
      <c r="B987" s="2" t="str">
        <f>B986</f>
        <v>Golett</v>
      </c>
      <c r="C987" t="s">
        <v>128</v>
      </c>
      <c r="D987" s="22">
        <f>COUNTIF($C$2:$C$1168,Tabela1[[#This Row],[Type]])</f>
        <v>45</v>
      </c>
      <c r="E987" s="62" t="str">
        <f>IF(A987&lt;=151,"Kanto",IF(A987&lt;=251,"Johto",IF(A987&lt;=386,"Hoenn",IF(A987&lt;=493,"Sinnoh",IF(A987&lt;=649,"Unova",IF(A987&lt;=721,"Kalos",IF(A987&lt;=809,"Alola",IF(A987&lt;=905,"Galar","Paldea"))))))))</f>
        <v>Unova</v>
      </c>
      <c r="F987" t="str">
        <f>IF(G987&gt;=600,"Lendário",IF(G987&gt;=500,"Forte","Normal"))</f>
        <v>Normal</v>
      </c>
      <c r="G987" s="3">
        <f>G986</f>
        <v>303</v>
      </c>
      <c r="H987" s="3">
        <f>H986</f>
        <v>59</v>
      </c>
      <c r="I987" s="3">
        <f>I986</f>
        <v>74</v>
      </c>
      <c r="J987" s="3">
        <f>J986</f>
        <v>50</v>
      </c>
      <c r="K987" s="3">
        <f>K986</f>
        <v>35</v>
      </c>
      <c r="L987" s="3">
        <f>L986</f>
        <v>50</v>
      </c>
      <c r="M987" s="3">
        <f>M986</f>
        <v>35</v>
      </c>
      <c r="N987" s="3">
        <f>AVERAGE($I$2:$I$1168)</f>
        <v>78.907455012853475</v>
      </c>
      <c r="O987" s="3" t="str">
        <f>CONCATENATE(A987,"-",B987)</f>
        <v>622-Golett</v>
      </c>
    </row>
    <row r="988" spans="1:15">
      <c r="A988" s="63">
        <v>623</v>
      </c>
      <c r="B988" s="2" t="s">
        <v>698</v>
      </c>
      <c r="C988" t="s">
        <v>55</v>
      </c>
      <c r="D988" s="22">
        <f>COUNTIF($C$2:$C$1168,Tabela1[[#This Row],[Type]])</f>
        <v>62</v>
      </c>
      <c r="E988" s="62" t="str">
        <f>IF(A988&lt;=151,"Kanto",IF(A988&lt;=251,"Johto",IF(A988&lt;=386,"Hoenn",IF(A988&lt;=493,"Sinnoh",IF(A988&lt;=649,"Unova",IF(A988&lt;=721,"Kalos",IF(A988&lt;=809,"Alola",IF(A988&lt;=905,"Galar","Paldea"))))))))</f>
        <v>Unova</v>
      </c>
      <c r="F988" t="str">
        <f>IF(G988&gt;=600,"Lendário",IF(G988&gt;=500,"Forte","Normal"))</f>
        <v>Normal</v>
      </c>
      <c r="G988" s="3">
        <v>483</v>
      </c>
      <c r="H988" s="3">
        <v>89</v>
      </c>
      <c r="I988" s="3">
        <v>124</v>
      </c>
      <c r="J988" s="3">
        <v>80</v>
      </c>
      <c r="K988" s="3">
        <v>55</v>
      </c>
      <c r="L988" s="3">
        <v>80</v>
      </c>
      <c r="M988" s="3">
        <v>55</v>
      </c>
      <c r="N988" s="3">
        <f>AVERAGE($I$2:$I$1168)</f>
        <v>78.907455012853475</v>
      </c>
      <c r="O988" s="3" t="str">
        <f>CONCATENATE(A988,"-",B988)</f>
        <v>623-Golurk</v>
      </c>
    </row>
    <row r="989" spans="1:15">
      <c r="A989" s="63">
        <v>623</v>
      </c>
      <c r="B989" s="2" t="str">
        <f>B988</f>
        <v>Golurk</v>
      </c>
      <c r="C989" t="s">
        <v>128</v>
      </c>
      <c r="D989" s="22">
        <f>COUNTIF($C$2:$C$1168,Tabela1[[#This Row],[Type]])</f>
        <v>45</v>
      </c>
      <c r="E989" s="62" t="str">
        <f>IF(A989&lt;=151,"Kanto",IF(A989&lt;=251,"Johto",IF(A989&lt;=386,"Hoenn",IF(A989&lt;=493,"Sinnoh",IF(A989&lt;=649,"Unova",IF(A989&lt;=721,"Kalos",IF(A989&lt;=809,"Alola",IF(A989&lt;=905,"Galar","Paldea"))))))))</f>
        <v>Unova</v>
      </c>
      <c r="F989" t="str">
        <f>IF(G989&gt;=600,"Lendário",IF(G989&gt;=500,"Forte","Normal"))</f>
        <v>Normal</v>
      </c>
      <c r="G989" s="3">
        <f>G988</f>
        <v>483</v>
      </c>
      <c r="H989" s="3">
        <f>H988</f>
        <v>89</v>
      </c>
      <c r="I989" s="3">
        <f>I988</f>
        <v>124</v>
      </c>
      <c r="J989" s="3">
        <f>J988</f>
        <v>80</v>
      </c>
      <c r="K989" s="3">
        <f>K988</f>
        <v>55</v>
      </c>
      <c r="L989" s="3">
        <f>L988</f>
        <v>80</v>
      </c>
      <c r="M989" s="3">
        <f>M988</f>
        <v>55</v>
      </c>
      <c r="N989" s="3">
        <f>AVERAGE($I$2:$I$1168)</f>
        <v>78.907455012853475</v>
      </c>
      <c r="O989" s="3" t="str">
        <f>CONCATENATE(A989,"-",B989)</f>
        <v>623-Golurk</v>
      </c>
    </row>
    <row r="990" spans="1:15">
      <c r="A990" s="63">
        <v>624</v>
      </c>
      <c r="B990" s="2" t="s">
        <v>699</v>
      </c>
      <c r="C990" t="s">
        <v>170</v>
      </c>
      <c r="D990" s="22">
        <f>COUNTIF($C$2:$C$1168,Tabela1[[#This Row],[Type]])</f>
        <v>49</v>
      </c>
      <c r="E990" s="62" t="str">
        <f>IF(A990&lt;=151,"Kanto",IF(A990&lt;=251,"Johto",IF(A990&lt;=386,"Hoenn",IF(A990&lt;=493,"Sinnoh",IF(A990&lt;=649,"Unova",IF(A990&lt;=721,"Kalos",IF(A990&lt;=809,"Alola",IF(A990&lt;=905,"Galar","Paldea"))))))))</f>
        <v>Unova</v>
      </c>
      <c r="F990" t="str">
        <f>IF(G990&gt;=600,"Lendário",IF(G990&gt;=500,"Forte","Normal"))</f>
        <v>Normal</v>
      </c>
      <c r="G990" s="3">
        <v>340</v>
      </c>
      <c r="H990" s="3">
        <v>45</v>
      </c>
      <c r="I990" s="3">
        <v>85</v>
      </c>
      <c r="J990" s="3">
        <v>70</v>
      </c>
      <c r="K990" s="3">
        <v>40</v>
      </c>
      <c r="L990" s="3">
        <v>40</v>
      </c>
      <c r="M990" s="3">
        <v>60</v>
      </c>
      <c r="N990" s="3">
        <f>AVERAGE($I$2:$I$1168)</f>
        <v>78.907455012853475</v>
      </c>
      <c r="O990" s="3" t="str">
        <f>CONCATENATE(A990,"-",B990)</f>
        <v>624-Pawniard</v>
      </c>
    </row>
    <row r="991" spans="1:15">
      <c r="A991" s="63">
        <v>624</v>
      </c>
      <c r="B991" s="2" t="str">
        <f>B990</f>
        <v>Pawniard</v>
      </c>
      <c r="C991" t="s">
        <v>115</v>
      </c>
      <c r="D991" s="22">
        <f>COUNTIF($C$2:$C$1168,Tabela1[[#This Row],[Type]])</f>
        <v>48</v>
      </c>
      <c r="E991" s="62" t="str">
        <f>IF(A991&lt;=151,"Kanto",IF(A991&lt;=251,"Johto",IF(A991&lt;=386,"Hoenn",IF(A991&lt;=493,"Sinnoh",IF(A991&lt;=649,"Unova",IF(A991&lt;=721,"Kalos",IF(A991&lt;=809,"Alola",IF(A991&lt;=905,"Galar","Paldea"))))))))</f>
        <v>Unova</v>
      </c>
      <c r="F991" t="str">
        <f>IF(G991&gt;=600,"Lendário",IF(G991&gt;=500,"Forte","Normal"))</f>
        <v>Normal</v>
      </c>
      <c r="G991" s="3">
        <f>G990</f>
        <v>340</v>
      </c>
      <c r="H991" s="3">
        <f>H990</f>
        <v>45</v>
      </c>
      <c r="I991" s="3">
        <f>I990</f>
        <v>85</v>
      </c>
      <c r="J991" s="3">
        <f>J990</f>
        <v>70</v>
      </c>
      <c r="K991" s="3">
        <f>K990</f>
        <v>40</v>
      </c>
      <c r="L991" s="3">
        <f>L990</f>
        <v>40</v>
      </c>
      <c r="M991" s="3">
        <f>M990</f>
        <v>60</v>
      </c>
      <c r="N991" s="3">
        <f>AVERAGE($I$2:$I$1168)</f>
        <v>78.907455012853475</v>
      </c>
      <c r="O991" s="3" t="str">
        <f>CONCATENATE(A991,"-",B991)</f>
        <v>624-Pawniard</v>
      </c>
    </row>
    <row r="992" spans="1:15">
      <c r="A992" s="63">
        <v>625</v>
      </c>
      <c r="B992" s="2" t="s">
        <v>700</v>
      </c>
      <c r="C992" t="s">
        <v>170</v>
      </c>
      <c r="D992" s="22">
        <f>COUNTIF($C$2:$C$1168,Tabela1[[#This Row],[Type]])</f>
        <v>49</v>
      </c>
      <c r="E992" s="62" t="str">
        <f>IF(A992&lt;=151,"Kanto",IF(A992&lt;=251,"Johto",IF(A992&lt;=386,"Hoenn",IF(A992&lt;=493,"Sinnoh",IF(A992&lt;=649,"Unova",IF(A992&lt;=721,"Kalos",IF(A992&lt;=809,"Alola",IF(A992&lt;=905,"Galar","Paldea"))))))))</f>
        <v>Unova</v>
      </c>
      <c r="F992" t="str">
        <f>IF(G992&gt;=600,"Lendário",IF(G992&gt;=500,"Forte","Normal"))</f>
        <v>Normal</v>
      </c>
      <c r="G992" s="3">
        <v>490</v>
      </c>
      <c r="H992" s="3">
        <v>65</v>
      </c>
      <c r="I992" s="3">
        <v>125</v>
      </c>
      <c r="J992" s="3">
        <v>100</v>
      </c>
      <c r="K992" s="3">
        <v>60</v>
      </c>
      <c r="L992" s="3">
        <v>70</v>
      </c>
      <c r="M992" s="3">
        <v>70</v>
      </c>
      <c r="N992" s="3">
        <f>AVERAGE($I$2:$I$1168)</f>
        <v>78.907455012853475</v>
      </c>
      <c r="O992" s="3" t="str">
        <f>CONCATENATE(A992,"-",B992)</f>
        <v>625-Bisharp</v>
      </c>
    </row>
    <row r="993" spans="1:15">
      <c r="A993" s="63">
        <v>625</v>
      </c>
      <c r="B993" s="2" t="str">
        <f>B992</f>
        <v>Bisharp</v>
      </c>
      <c r="C993" t="s">
        <v>115</v>
      </c>
      <c r="D993" s="22">
        <f>COUNTIF($C$2:$C$1168,Tabela1[[#This Row],[Type]])</f>
        <v>48</v>
      </c>
      <c r="E993" s="62" t="str">
        <f>IF(A993&lt;=151,"Kanto",IF(A993&lt;=251,"Johto",IF(A993&lt;=386,"Hoenn",IF(A993&lt;=493,"Sinnoh",IF(A993&lt;=649,"Unova",IF(A993&lt;=721,"Kalos",IF(A993&lt;=809,"Alola",IF(A993&lt;=905,"Galar","Paldea"))))))))</f>
        <v>Unova</v>
      </c>
      <c r="F993" t="str">
        <f>IF(G993&gt;=600,"Lendário",IF(G993&gt;=500,"Forte","Normal"))</f>
        <v>Normal</v>
      </c>
      <c r="G993" s="3">
        <f>G992</f>
        <v>490</v>
      </c>
      <c r="H993" s="3">
        <f>H992</f>
        <v>65</v>
      </c>
      <c r="I993" s="3">
        <f>I992</f>
        <v>125</v>
      </c>
      <c r="J993" s="3">
        <f>J992</f>
        <v>100</v>
      </c>
      <c r="K993" s="3">
        <f>K992</f>
        <v>60</v>
      </c>
      <c r="L993" s="3">
        <f>L992</f>
        <v>70</v>
      </c>
      <c r="M993" s="3">
        <f>M992</f>
        <v>70</v>
      </c>
      <c r="N993" s="3">
        <f>AVERAGE($I$2:$I$1168)</f>
        <v>78.907455012853475</v>
      </c>
      <c r="O993" s="3" t="str">
        <f>CONCATENATE(A993,"-",B993)</f>
        <v>625-Bisharp</v>
      </c>
    </row>
    <row r="994" spans="1:15">
      <c r="A994" s="63">
        <v>626</v>
      </c>
      <c r="B994" s="2" t="s">
        <v>701</v>
      </c>
      <c r="C994" t="s">
        <v>42</v>
      </c>
      <c r="D994" s="22">
        <f>COUNTIF($C$2:$C$1168,Tabela1[[#This Row],[Type]])</f>
        <v>99</v>
      </c>
      <c r="E994" s="62" t="str">
        <f>IF(A994&lt;=151,"Kanto",IF(A994&lt;=251,"Johto",IF(A994&lt;=386,"Hoenn",IF(A994&lt;=493,"Sinnoh",IF(A994&lt;=649,"Unova",IF(A994&lt;=721,"Kalos",IF(A994&lt;=809,"Alola",IF(A994&lt;=905,"Galar","Paldea"))))))))</f>
        <v>Unova</v>
      </c>
      <c r="F994" t="str">
        <f>IF(G994&gt;=600,"Lendário",IF(G994&gt;=500,"Forte","Normal"))</f>
        <v>Normal</v>
      </c>
      <c r="G994" s="3">
        <v>490</v>
      </c>
      <c r="H994" s="3">
        <v>95</v>
      </c>
      <c r="I994" s="3">
        <v>110</v>
      </c>
      <c r="J994" s="3">
        <v>95</v>
      </c>
      <c r="K994" s="3">
        <v>40</v>
      </c>
      <c r="L994" s="3">
        <v>95</v>
      </c>
      <c r="M994" s="3">
        <v>55</v>
      </c>
      <c r="N994" s="3">
        <f>AVERAGE($I$2:$I$1168)</f>
        <v>78.907455012853475</v>
      </c>
      <c r="O994" s="3" t="str">
        <f>CONCATENATE(A994,"-",B994)</f>
        <v>626-Bouffalant</v>
      </c>
    </row>
    <row r="995" spans="1:15">
      <c r="A995" s="63">
        <v>627</v>
      </c>
      <c r="B995" s="2" t="s">
        <v>702</v>
      </c>
      <c r="C995" t="s">
        <v>42</v>
      </c>
      <c r="D995" s="22">
        <f>COUNTIF($C$2:$C$1168,Tabela1[[#This Row],[Type]])</f>
        <v>99</v>
      </c>
      <c r="E995" s="62" t="str">
        <f>IF(A995&lt;=151,"Kanto",IF(A995&lt;=251,"Johto",IF(A995&lt;=386,"Hoenn",IF(A995&lt;=493,"Sinnoh",IF(A995&lt;=649,"Unova",IF(A995&lt;=721,"Kalos",IF(A995&lt;=809,"Alola",IF(A995&lt;=905,"Galar","Paldea"))))))))</f>
        <v>Unova</v>
      </c>
      <c r="F995" t="str">
        <f>IF(G995&gt;=600,"Lendário",IF(G995&gt;=500,"Forte","Normal"))</f>
        <v>Normal</v>
      </c>
      <c r="G995" s="3">
        <v>350</v>
      </c>
      <c r="H995" s="3">
        <v>70</v>
      </c>
      <c r="I995" s="3">
        <v>83</v>
      </c>
      <c r="J995" s="3">
        <v>50</v>
      </c>
      <c r="K995" s="3">
        <v>37</v>
      </c>
      <c r="L995" s="3">
        <v>50</v>
      </c>
      <c r="M995" s="3">
        <v>60</v>
      </c>
      <c r="N995" s="3">
        <f>AVERAGE($I$2:$I$1168)</f>
        <v>78.907455012853475</v>
      </c>
      <c r="O995" s="3" t="str">
        <f>CONCATENATE(A995,"-",B995)</f>
        <v>627-Rufflet</v>
      </c>
    </row>
    <row r="996" spans="1:15">
      <c r="A996" s="63">
        <v>628</v>
      </c>
      <c r="B996" s="2" t="s">
        <v>703</v>
      </c>
      <c r="C996" t="s">
        <v>42</v>
      </c>
      <c r="D996" s="22">
        <f>COUNTIF($C$2:$C$1168,Tabela1[[#This Row],[Type]])</f>
        <v>99</v>
      </c>
      <c r="E996" s="62" t="str">
        <f>IF(A996&lt;=151,"Kanto",IF(A996&lt;=251,"Johto",IF(A996&lt;=386,"Hoenn",IF(A996&lt;=493,"Sinnoh",IF(A996&lt;=649,"Unova",IF(A996&lt;=721,"Kalos",IF(A996&lt;=809,"Alola",IF(A996&lt;=905,"Galar","Paldea"))))))))</f>
        <v>Unova</v>
      </c>
      <c r="F996" t="str">
        <f>IF(G996&gt;=600,"Lendário",IF(G996&gt;=500,"Forte","Normal"))</f>
        <v>Forte</v>
      </c>
      <c r="G996" s="3">
        <v>510</v>
      </c>
      <c r="H996" s="3">
        <v>100</v>
      </c>
      <c r="I996" s="3">
        <v>123</v>
      </c>
      <c r="J996" s="3">
        <v>75</v>
      </c>
      <c r="K996" s="3">
        <v>57</v>
      </c>
      <c r="L996" s="3">
        <v>75</v>
      </c>
      <c r="M996" s="3">
        <v>80</v>
      </c>
      <c r="N996" s="3">
        <f>AVERAGE($I$2:$I$1168)</f>
        <v>78.907455012853475</v>
      </c>
      <c r="O996" s="3" t="str">
        <f>CONCATENATE(A996,"-",B996)</f>
        <v>628-Braviary</v>
      </c>
    </row>
    <row r="997" spans="1:15">
      <c r="A997" s="63">
        <v>629</v>
      </c>
      <c r="B997" s="2" t="s">
        <v>704</v>
      </c>
      <c r="C997" t="s">
        <v>170</v>
      </c>
      <c r="D997" s="22">
        <f>COUNTIF($C$2:$C$1168,Tabela1[[#This Row],[Type]])</f>
        <v>49</v>
      </c>
      <c r="E997" s="62" t="str">
        <f>IF(A997&lt;=151,"Kanto",IF(A997&lt;=251,"Johto",IF(A997&lt;=386,"Hoenn",IF(A997&lt;=493,"Sinnoh",IF(A997&lt;=649,"Unova",IF(A997&lt;=721,"Kalos",IF(A997&lt;=809,"Alola",IF(A997&lt;=905,"Galar","Paldea"))))))))</f>
        <v>Unova</v>
      </c>
      <c r="F997" t="str">
        <f>IF(G997&gt;=600,"Lendário",IF(G997&gt;=500,"Forte","Normal"))</f>
        <v>Normal</v>
      </c>
      <c r="G997" s="3">
        <v>370</v>
      </c>
      <c r="H997" s="3">
        <v>70</v>
      </c>
      <c r="I997" s="3">
        <v>55</v>
      </c>
      <c r="J997" s="3">
        <v>75</v>
      </c>
      <c r="K997" s="3">
        <v>45</v>
      </c>
      <c r="L997" s="3">
        <v>65</v>
      </c>
      <c r="M997" s="3">
        <v>60</v>
      </c>
      <c r="N997" s="3">
        <f>AVERAGE($I$2:$I$1168)</f>
        <v>78.907455012853475</v>
      </c>
      <c r="O997" s="3" t="str">
        <f>CONCATENATE(A997,"-",B997)</f>
        <v>629-Vullaby</v>
      </c>
    </row>
    <row r="998" spans="1:15">
      <c r="A998" s="63">
        <v>629</v>
      </c>
      <c r="B998" s="2" t="str">
        <f>B997</f>
        <v>Vullaby</v>
      </c>
      <c r="C998" t="s">
        <v>25</v>
      </c>
      <c r="D998" s="22">
        <f>COUNTIF($C$2:$C$1168,Tabela1[[#This Row],[Type]])</f>
        <v>100</v>
      </c>
      <c r="E998" s="62" t="str">
        <f>IF(A998&lt;=151,"Kanto",IF(A998&lt;=251,"Johto",IF(A998&lt;=386,"Hoenn",IF(A998&lt;=493,"Sinnoh",IF(A998&lt;=649,"Unova",IF(A998&lt;=721,"Kalos",IF(A998&lt;=809,"Alola",IF(A998&lt;=905,"Galar","Paldea"))))))))</f>
        <v>Unova</v>
      </c>
      <c r="F998" t="str">
        <f>IF(G998&gt;=600,"Lendário",IF(G998&gt;=500,"Forte","Normal"))</f>
        <v>Normal</v>
      </c>
      <c r="G998" s="3">
        <f>G997</f>
        <v>370</v>
      </c>
      <c r="H998" s="3">
        <f>H997</f>
        <v>70</v>
      </c>
      <c r="I998" s="3">
        <f>I997</f>
        <v>55</v>
      </c>
      <c r="J998" s="3">
        <f>J997</f>
        <v>75</v>
      </c>
      <c r="K998" s="3">
        <f>K997</f>
        <v>45</v>
      </c>
      <c r="L998" s="3">
        <f>L997</f>
        <v>65</v>
      </c>
      <c r="M998" s="3">
        <f>M997</f>
        <v>60</v>
      </c>
      <c r="N998" s="3">
        <f>AVERAGE($I$2:$I$1168)</f>
        <v>78.907455012853475</v>
      </c>
      <c r="O998" s="3" t="str">
        <f>CONCATENATE(A998,"-",B998)</f>
        <v>629-Vullaby</v>
      </c>
    </row>
    <row r="999" spans="1:15">
      <c r="A999" s="63">
        <v>630</v>
      </c>
      <c r="B999" s="2" t="s">
        <v>705</v>
      </c>
      <c r="C999" t="s">
        <v>170</v>
      </c>
      <c r="D999" s="22">
        <f>COUNTIF($C$2:$C$1168,Tabela1[[#This Row],[Type]])</f>
        <v>49</v>
      </c>
      <c r="E999" s="62" t="str">
        <f>IF(A999&lt;=151,"Kanto",IF(A999&lt;=251,"Johto",IF(A999&lt;=386,"Hoenn",IF(A999&lt;=493,"Sinnoh",IF(A999&lt;=649,"Unova",IF(A999&lt;=721,"Kalos",IF(A999&lt;=809,"Alola",IF(A999&lt;=905,"Galar","Paldea"))))))))</f>
        <v>Unova</v>
      </c>
      <c r="F999" t="str">
        <f>IF(G999&gt;=600,"Lendário",IF(G999&gt;=500,"Forte","Normal"))</f>
        <v>Forte</v>
      </c>
      <c r="G999" s="3">
        <v>510</v>
      </c>
      <c r="H999" s="3">
        <v>110</v>
      </c>
      <c r="I999" s="3">
        <v>65</v>
      </c>
      <c r="J999" s="3">
        <v>105</v>
      </c>
      <c r="K999" s="3">
        <v>55</v>
      </c>
      <c r="L999" s="3">
        <v>95</v>
      </c>
      <c r="M999" s="3">
        <v>80</v>
      </c>
      <c r="N999" s="3">
        <f>AVERAGE($I$2:$I$1168)</f>
        <v>78.907455012853475</v>
      </c>
      <c r="O999" s="3" t="str">
        <f>CONCATENATE(A999,"-",B999)</f>
        <v>630-Mandibuzz</v>
      </c>
    </row>
    <row r="1000" spans="1:15">
      <c r="A1000" s="63">
        <v>630</v>
      </c>
      <c r="B1000" s="2" t="str">
        <f>B999</f>
        <v>Mandibuzz</v>
      </c>
      <c r="C1000" t="s">
        <v>25</v>
      </c>
      <c r="D1000" s="22">
        <f>COUNTIF($C$2:$C$1168,Tabela1[[#This Row],[Type]])</f>
        <v>100</v>
      </c>
      <c r="E1000" s="62" t="str">
        <f>IF(A1000&lt;=151,"Kanto",IF(A1000&lt;=251,"Johto",IF(A1000&lt;=386,"Hoenn",IF(A1000&lt;=493,"Sinnoh",IF(A1000&lt;=649,"Unova",IF(A1000&lt;=721,"Kalos",IF(A1000&lt;=809,"Alola",IF(A1000&lt;=905,"Galar","Paldea"))))))))</f>
        <v>Unova</v>
      </c>
      <c r="F1000" t="str">
        <f>IF(G1000&gt;=600,"Lendário",IF(G1000&gt;=500,"Forte","Normal"))</f>
        <v>Forte</v>
      </c>
      <c r="G1000" s="3">
        <f>G999</f>
        <v>510</v>
      </c>
      <c r="H1000" s="3">
        <f>H999</f>
        <v>110</v>
      </c>
      <c r="I1000" s="3">
        <f>I999</f>
        <v>65</v>
      </c>
      <c r="J1000" s="3">
        <f>J999</f>
        <v>105</v>
      </c>
      <c r="K1000" s="3">
        <f>K999</f>
        <v>55</v>
      </c>
      <c r="L1000" s="3">
        <f>L999</f>
        <v>95</v>
      </c>
      <c r="M1000" s="3">
        <f>M999</f>
        <v>80</v>
      </c>
      <c r="N1000" s="3">
        <f>AVERAGE($I$2:$I$1168)</f>
        <v>78.907455012853475</v>
      </c>
      <c r="O1000" s="3" t="str">
        <f>CONCATENATE(A1000,"-",B1000)</f>
        <v>630-Mandibuzz</v>
      </c>
    </row>
    <row r="1001" spans="1:15">
      <c r="A1001" s="63">
        <v>631</v>
      </c>
      <c r="B1001" s="2" t="s">
        <v>706</v>
      </c>
      <c r="C1001" t="s">
        <v>22</v>
      </c>
      <c r="D1001" s="22">
        <f>COUNTIF($C$2:$C$1168,Tabela1[[#This Row],[Type]])</f>
        <v>62</v>
      </c>
      <c r="E1001" s="62" t="str">
        <f>IF(A1001&lt;=151,"Kanto",IF(A1001&lt;=251,"Johto",IF(A1001&lt;=386,"Hoenn",IF(A1001&lt;=493,"Sinnoh",IF(A1001&lt;=649,"Unova",IF(A1001&lt;=721,"Kalos",IF(A1001&lt;=809,"Alola",IF(A1001&lt;=905,"Galar","Paldea"))))))))</f>
        <v>Unova</v>
      </c>
      <c r="F1001" t="str">
        <f>IF(G1001&gt;=600,"Lendário",IF(G1001&gt;=500,"Forte","Normal"))</f>
        <v>Normal</v>
      </c>
      <c r="G1001" s="3">
        <v>484</v>
      </c>
      <c r="H1001" s="3">
        <v>85</v>
      </c>
      <c r="I1001" s="3">
        <v>97</v>
      </c>
      <c r="J1001" s="3">
        <v>66</v>
      </c>
      <c r="K1001" s="3">
        <v>105</v>
      </c>
      <c r="L1001" s="3">
        <v>66</v>
      </c>
      <c r="M1001" s="3">
        <v>65</v>
      </c>
      <c r="N1001" s="3">
        <f>AVERAGE($I$2:$I$1168)</f>
        <v>78.907455012853475</v>
      </c>
      <c r="O1001" s="3" t="str">
        <f>CONCATENATE(A1001,"-",B1001)</f>
        <v>631-Heatmor</v>
      </c>
    </row>
    <row r="1002" spans="1:15">
      <c r="A1002" s="63">
        <v>632</v>
      </c>
      <c r="B1002" s="2" t="s">
        <v>707</v>
      </c>
      <c r="C1002" t="s">
        <v>35</v>
      </c>
      <c r="D1002" s="22">
        <f>COUNTIF($C$2:$C$1168,Tabela1[[#This Row],[Type]])</f>
        <v>71</v>
      </c>
      <c r="E1002" s="62" t="str">
        <f>IF(A1002&lt;=151,"Kanto",IF(A1002&lt;=251,"Johto",IF(A1002&lt;=386,"Hoenn",IF(A1002&lt;=493,"Sinnoh",IF(A1002&lt;=649,"Unova",IF(A1002&lt;=721,"Kalos",IF(A1002&lt;=809,"Alola",IF(A1002&lt;=905,"Galar","Paldea"))))))))</f>
        <v>Unova</v>
      </c>
      <c r="F1002" t="str">
        <f>IF(G1002&gt;=600,"Lendário",IF(G1002&gt;=500,"Forte","Normal"))</f>
        <v>Normal</v>
      </c>
      <c r="G1002" s="3">
        <v>484</v>
      </c>
      <c r="H1002" s="3">
        <v>58</v>
      </c>
      <c r="I1002" s="3">
        <v>109</v>
      </c>
      <c r="J1002" s="3">
        <v>112</v>
      </c>
      <c r="K1002" s="3">
        <v>48</v>
      </c>
      <c r="L1002" s="3">
        <v>48</v>
      </c>
      <c r="M1002" s="3">
        <v>109</v>
      </c>
      <c r="N1002" s="3">
        <f>AVERAGE($I$2:$I$1168)</f>
        <v>78.907455012853475</v>
      </c>
      <c r="O1002" s="3" t="str">
        <f>CONCATENATE(A1002,"-",B1002)</f>
        <v>632-Durant</v>
      </c>
    </row>
    <row r="1003" spans="1:15">
      <c r="A1003" s="63">
        <v>632</v>
      </c>
      <c r="B1003" s="2" t="str">
        <f>B1002</f>
        <v>Durant</v>
      </c>
      <c r="C1003" t="s">
        <v>115</v>
      </c>
      <c r="D1003" s="22">
        <f>COUNTIF($C$2:$C$1168,Tabela1[[#This Row],[Type]])</f>
        <v>48</v>
      </c>
      <c r="E1003" s="62" t="str">
        <f>IF(A1003&lt;=151,"Kanto",IF(A1003&lt;=251,"Johto",IF(A1003&lt;=386,"Hoenn",IF(A1003&lt;=493,"Sinnoh",IF(A1003&lt;=649,"Unova",IF(A1003&lt;=721,"Kalos",IF(A1003&lt;=809,"Alola",IF(A1003&lt;=905,"Galar","Paldea"))))))))</f>
        <v>Unova</v>
      </c>
      <c r="F1003" t="str">
        <f>IF(G1003&gt;=600,"Lendário",IF(G1003&gt;=500,"Forte","Normal"))</f>
        <v>Normal</v>
      </c>
      <c r="G1003" s="3">
        <f>G1002</f>
        <v>484</v>
      </c>
      <c r="H1003" s="3">
        <f>H1002</f>
        <v>58</v>
      </c>
      <c r="I1003" s="3">
        <f>I1002</f>
        <v>109</v>
      </c>
      <c r="J1003" s="3">
        <f>J1002</f>
        <v>112</v>
      </c>
      <c r="K1003" s="3">
        <f>K1002</f>
        <v>48</v>
      </c>
      <c r="L1003" s="3">
        <f>L1002</f>
        <v>48</v>
      </c>
      <c r="M1003" s="3">
        <f>M1002</f>
        <v>109</v>
      </c>
      <c r="N1003" s="3">
        <f>AVERAGE($I$2:$I$1168)</f>
        <v>78.907455012853475</v>
      </c>
      <c r="O1003" s="3" t="str">
        <f>CONCATENATE(A1003,"-",B1003)</f>
        <v>632-Durant</v>
      </c>
    </row>
    <row r="1004" spans="1:15">
      <c r="A1004" s="63">
        <v>633</v>
      </c>
      <c r="B1004" s="2" t="s">
        <v>708</v>
      </c>
      <c r="C1004" t="s">
        <v>170</v>
      </c>
      <c r="D1004" s="22">
        <f>COUNTIF($C$2:$C$1168,Tabela1[[#This Row],[Type]])</f>
        <v>49</v>
      </c>
      <c r="E1004" s="62" t="str">
        <f>IF(A1004&lt;=151,"Kanto",IF(A1004&lt;=251,"Johto",IF(A1004&lt;=386,"Hoenn",IF(A1004&lt;=493,"Sinnoh",IF(A1004&lt;=649,"Unova",IF(A1004&lt;=721,"Kalos",IF(A1004&lt;=809,"Alola",IF(A1004&lt;=905,"Galar","Paldea"))))))))</f>
        <v>Unova</v>
      </c>
      <c r="F1004" t="str">
        <f>IF(G1004&gt;=600,"Lendário",IF(G1004&gt;=500,"Forte","Normal"))</f>
        <v>Normal</v>
      </c>
      <c r="G1004" s="3">
        <v>300</v>
      </c>
      <c r="H1004" s="3">
        <v>52</v>
      </c>
      <c r="I1004" s="3">
        <v>65</v>
      </c>
      <c r="J1004" s="3">
        <v>50</v>
      </c>
      <c r="K1004" s="3">
        <v>45</v>
      </c>
      <c r="L1004" s="3">
        <v>50</v>
      </c>
      <c r="M1004" s="3">
        <v>38</v>
      </c>
      <c r="N1004" s="3">
        <f>AVERAGE($I$2:$I$1168)</f>
        <v>78.907455012853475</v>
      </c>
      <c r="O1004" s="3" t="str">
        <f>CONCATENATE(A1004,"-",B1004)</f>
        <v>633-Deino</v>
      </c>
    </row>
    <row r="1005" spans="1:15">
      <c r="A1005" s="63">
        <v>633</v>
      </c>
      <c r="B1005" s="2" t="str">
        <f>B1004</f>
        <v>Deino</v>
      </c>
      <c r="C1005" t="s">
        <v>27</v>
      </c>
      <c r="D1005" s="22">
        <f>COUNTIF($C$2:$C$1168,Tabela1[[#This Row],[Type]])</f>
        <v>44</v>
      </c>
      <c r="E1005" s="62" t="str">
        <f>IF(A1005&lt;=151,"Kanto",IF(A1005&lt;=251,"Johto",IF(A1005&lt;=386,"Hoenn",IF(A1005&lt;=493,"Sinnoh",IF(A1005&lt;=649,"Unova",IF(A1005&lt;=721,"Kalos",IF(A1005&lt;=809,"Alola",IF(A1005&lt;=905,"Galar","Paldea"))))))))</f>
        <v>Unova</v>
      </c>
      <c r="F1005" t="str">
        <f>IF(G1005&gt;=600,"Lendário",IF(G1005&gt;=500,"Forte","Normal"))</f>
        <v>Normal</v>
      </c>
      <c r="G1005" s="3">
        <f>G1004</f>
        <v>300</v>
      </c>
      <c r="H1005" s="3">
        <f>H1004</f>
        <v>52</v>
      </c>
      <c r="I1005" s="3">
        <f>I1004</f>
        <v>65</v>
      </c>
      <c r="J1005" s="3">
        <f>J1004</f>
        <v>50</v>
      </c>
      <c r="K1005" s="3">
        <f>K1004</f>
        <v>45</v>
      </c>
      <c r="L1005" s="3">
        <f>L1004</f>
        <v>50</v>
      </c>
      <c r="M1005" s="3">
        <f>M1004</f>
        <v>38</v>
      </c>
      <c r="N1005" s="3">
        <f>AVERAGE($I$2:$I$1168)</f>
        <v>78.907455012853475</v>
      </c>
      <c r="O1005" s="3" t="str">
        <f>CONCATENATE(A1005,"-",B1005)</f>
        <v>633-Deino</v>
      </c>
    </row>
    <row r="1006" spans="1:15">
      <c r="A1006" s="63">
        <v>634</v>
      </c>
      <c r="B1006" s="2" t="s">
        <v>709</v>
      </c>
      <c r="C1006" t="s">
        <v>170</v>
      </c>
      <c r="D1006" s="22">
        <f>COUNTIF($C$2:$C$1168,Tabela1[[#This Row],[Type]])</f>
        <v>49</v>
      </c>
      <c r="E1006" s="62" t="str">
        <f>IF(A1006&lt;=151,"Kanto",IF(A1006&lt;=251,"Johto",IF(A1006&lt;=386,"Hoenn",IF(A1006&lt;=493,"Sinnoh",IF(A1006&lt;=649,"Unova",IF(A1006&lt;=721,"Kalos",IF(A1006&lt;=809,"Alola",IF(A1006&lt;=905,"Galar","Paldea"))))))))</f>
        <v>Unova</v>
      </c>
      <c r="F1006" t="str">
        <f>IF(G1006&gt;=600,"Lendário",IF(G1006&gt;=500,"Forte","Normal"))</f>
        <v>Normal</v>
      </c>
      <c r="G1006" s="3">
        <v>420</v>
      </c>
      <c r="H1006" s="3">
        <v>72</v>
      </c>
      <c r="I1006" s="3">
        <v>85</v>
      </c>
      <c r="J1006" s="3">
        <v>70</v>
      </c>
      <c r="K1006" s="3">
        <v>65</v>
      </c>
      <c r="L1006" s="3">
        <v>70</v>
      </c>
      <c r="M1006" s="3">
        <v>58</v>
      </c>
      <c r="N1006" s="3">
        <f>AVERAGE($I$2:$I$1168)</f>
        <v>78.907455012853475</v>
      </c>
      <c r="O1006" s="3" t="str">
        <f>CONCATENATE(A1006,"-",B1006)</f>
        <v>634-Zweilous</v>
      </c>
    </row>
    <row r="1007" spans="1:15">
      <c r="A1007" s="63">
        <v>634</v>
      </c>
      <c r="B1007" s="2" t="str">
        <f>B1006</f>
        <v>Zweilous</v>
      </c>
      <c r="C1007" t="s">
        <v>27</v>
      </c>
      <c r="D1007" s="22">
        <f>COUNTIF($C$2:$C$1168,Tabela1[[#This Row],[Type]])</f>
        <v>44</v>
      </c>
      <c r="E1007" s="62" t="str">
        <f>IF(A1007&lt;=151,"Kanto",IF(A1007&lt;=251,"Johto",IF(A1007&lt;=386,"Hoenn",IF(A1007&lt;=493,"Sinnoh",IF(A1007&lt;=649,"Unova",IF(A1007&lt;=721,"Kalos",IF(A1007&lt;=809,"Alola",IF(A1007&lt;=905,"Galar","Paldea"))))))))</f>
        <v>Unova</v>
      </c>
      <c r="F1007" t="str">
        <f>IF(G1007&gt;=600,"Lendário",IF(G1007&gt;=500,"Forte","Normal"))</f>
        <v>Normal</v>
      </c>
      <c r="G1007" s="3">
        <f>G1006</f>
        <v>420</v>
      </c>
      <c r="H1007" s="3">
        <f>H1006</f>
        <v>72</v>
      </c>
      <c r="I1007" s="3">
        <f>I1006</f>
        <v>85</v>
      </c>
      <c r="J1007" s="3">
        <f>J1006</f>
        <v>70</v>
      </c>
      <c r="K1007" s="3">
        <f>K1006</f>
        <v>65</v>
      </c>
      <c r="L1007" s="3">
        <f>L1006</f>
        <v>70</v>
      </c>
      <c r="M1007" s="3">
        <f>M1006</f>
        <v>58</v>
      </c>
      <c r="N1007" s="3">
        <f>AVERAGE($I$2:$I$1168)</f>
        <v>78.907455012853475</v>
      </c>
      <c r="O1007" s="3" t="str">
        <f>CONCATENATE(A1007,"-",B1007)</f>
        <v>634-Zweilous</v>
      </c>
    </row>
    <row r="1008" spans="1:15">
      <c r="A1008" s="63">
        <v>635</v>
      </c>
      <c r="B1008" s="2" t="s">
        <v>710</v>
      </c>
      <c r="C1008" t="s">
        <v>170</v>
      </c>
      <c r="D1008" s="22">
        <f>COUNTIF($C$2:$C$1168,Tabela1[[#This Row],[Type]])</f>
        <v>49</v>
      </c>
      <c r="E1008" s="62" t="str">
        <f>IF(A1008&lt;=151,"Kanto",IF(A1008&lt;=251,"Johto",IF(A1008&lt;=386,"Hoenn",IF(A1008&lt;=493,"Sinnoh",IF(A1008&lt;=649,"Unova",IF(A1008&lt;=721,"Kalos",IF(A1008&lt;=809,"Alola",IF(A1008&lt;=905,"Galar","Paldea"))))))))</f>
        <v>Unova</v>
      </c>
      <c r="F1008" t="str">
        <f>IF(G1008&gt;=600,"Lendário",IF(G1008&gt;=500,"Forte","Normal"))</f>
        <v>Lendário</v>
      </c>
      <c r="G1008" s="3">
        <v>600</v>
      </c>
      <c r="H1008" s="3">
        <v>92</v>
      </c>
      <c r="I1008" s="3">
        <v>105</v>
      </c>
      <c r="J1008" s="3">
        <v>90</v>
      </c>
      <c r="K1008" s="3">
        <v>125</v>
      </c>
      <c r="L1008" s="3">
        <v>90</v>
      </c>
      <c r="M1008" s="3">
        <v>98</v>
      </c>
      <c r="N1008" s="3">
        <f>AVERAGE($I$2:$I$1168)</f>
        <v>78.907455012853475</v>
      </c>
      <c r="O1008" s="3" t="str">
        <f>CONCATENATE(A1008,"-",B1008)</f>
        <v>635-Hydreigon</v>
      </c>
    </row>
    <row r="1009" spans="1:15">
      <c r="A1009" s="63">
        <v>635</v>
      </c>
      <c r="B1009" s="2" t="str">
        <f>B1008</f>
        <v>Hydreigon</v>
      </c>
      <c r="C1009" t="s">
        <v>27</v>
      </c>
      <c r="D1009" s="22">
        <f>COUNTIF($C$2:$C$1168,Tabela1[[#This Row],[Type]])</f>
        <v>44</v>
      </c>
      <c r="E1009" s="62" t="str">
        <f>IF(A1009&lt;=151,"Kanto",IF(A1009&lt;=251,"Johto",IF(A1009&lt;=386,"Hoenn",IF(A1009&lt;=493,"Sinnoh",IF(A1009&lt;=649,"Unova",IF(A1009&lt;=721,"Kalos",IF(A1009&lt;=809,"Alola",IF(A1009&lt;=905,"Galar","Paldea"))))))))</f>
        <v>Unova</v>
      </c>
      <c r="F1009" t="str">
        <f>IF(G1009&gt;=600,"Lendário",IF(G1009&gt;=500,"Forte","Normal"))</f>
        <v>Lendário</v>
      </c>
      <c r="G1009" s="3">
        <f>G1008</f>
        <v>600</v>
      </c>
      <c r="H1009" s="3">
        <f>H1008</f>
        <v>92</v>
      </c>
      <c r="I1009" s="3">
        <f>I1008</f>
        <v>105</v>
      </c>
      <c r="J1009" s="3">
        <f>J1008</f>
        <v>90</v>
      </c>
      <c r="K1009" s="3">
        <f>K1008</f>
        <v>125</v>
      </c>
      <c r="L1009" s="3">
        <f>L1008</f>
        <v>90</v>
      </c>
      <c r="M1009" s="3">
        <f>M1008</f>
        <v>98</v>
      </c>
      <c r="N1009" s="3">
        <f>AVERAGE($I$2:$I$1168)</f>
        <v>78.907455012853475</v>
      </c>
      <c r="O1009" s="3" t="str">
        <f>CONCATENATE(A1009,"-",B1009)</f>
        <v>635-Hydreigon</v>
      </c>
    </row>
    <row r="1010" spans="1:15">
      <c r="A1010" s="63">
        <v>636</v>
      </c>
      <c r="B1010" s="2" t="s">
        <v>711</v>
      </c>
      <c r="C1010" t="s">
        <v>35</v>
      </c>
      <c r="D1010" s="22">
        <f>COUNTIF($C$2:$C$1168,Tabela1[[#This Row],[Type]])</f>
        <v>71</v>
      </c>
      <c r="E1010" s="62" t="str">
        <f>IF(A1010&lt;=151,"Kanto",IF(A1010&lt;=251,"Johto",IF(A1010&lt;=386,"Hoenn",IF(A1010&lt;=493,"Sinnoh",IF(A1010&lt;=649,"Unova",IF(A1010&lt;=721,"Kalos",IF(A1010&lt;=809,"Alola",IF(A1010&lt;=905,"Galar","Paldea"))))))))</f>
        <v>Unova</v>
      </c>
      <c r="F1010" t="str">
        <f>IF(G1010&gt;=600,"Lendário",IF(G1010&gt;=500,"Forte","Normal"))</f>
        <v>Normal</v>
      </c>
      <c r="G1010" s="3">
        <v>360</v>
      </c>
      <c r="H1010" s="3">
        <v>55</v>
      </c>
      <c r="I1010" s="3">
        <v>85</v>
      </c>
      <c r="J1010" s="3">
        <v>55</v>
      </c>
      <c r="K1010" s="3">
        <v>50</v>
      </c>
      <c r="L1010" s="3">
        <v>55</v>
      </c>
      <c r="M1010" s="3">
        <v>60</v>
      </c>
      <c r="N1010" s="3">
        <f>AVERAGE($I$2:$I$1168)</f>
        <v>78.907455012853475</v>
      </c>
      <c r="O1010" s="3" t="str">
        <f>CONCATENATE(A1010,"-",B1010)</f>
        <v>636-Larvesta</v>
      </c>
    </row>
    <row r="1011" spans="1:15">
      <c r="A1011" s="63">
        <v>636</v>
      </c>
      <c r="B1011" s="2" t="str">
        <f>B1010</f>
        <v>Larvesta</v>
      </c>
      <c r="C1011" t="s">
        <v>22</v>
      </c>
      <c r="D1011" s="22">
        <f>COUNTIF($C$2:$C$1168,Tabela1[[#This Row],[Type]])</f>
        <v>62</v>
      </c>
      <c r="E1011" s="62" t="str">
        <f>IF(A1011&lt;=151,"Kanto",IF(A1011&lt;=251,"Johto",IF(A1011&lt;=386,"Hoenn",IF(A1011&lt;=493,"Sinnoh",IF(A1011&lt;=649,"Unova",IF(A1011&lt;=721,"Kalos",IF(A1011&lt;=809,"Alola",IF(A1011&lt;=905,"Galar","Paldea"))))))))</f>
        <v>Unova</v>
      </c>
      <c r="F1011" t="str">
        <f>IF(G1011&gt;=600,"Lendário",IF(G1011&gt;=500,"Forte","Normal"))</f>
        <v>Normal</v>
      </c>
      <c r="G1011" s="3">
        <f>G1010</f>
        <v>360</v>
      </c>
      <c r="H1011" s="3">
        <f>H1010</f>
        <v>55</v>
      </c>
      <c r="I1011" s="3">
        <f>I1010</f>
        <v>85</v>
      </c>
      <c r="J1011" s="3">
        <f>J1010</f>
        <v>55</v>
      </c>
      <c r="K1011" s="3">
        <f>K1010</f>
        <v>50</v>
      </c>
      <c r="L1011" s="3">
        <f>L1010</f>
        <v>55</v>
      </c>
      <c r="M1011" s="3">
        <f>M1010</f>
        <v>60</v>
      </c>
      <c r="N1011" s="3">
        <f>AVERAGE($I$2:$I$1168)</f>
        <v>78.907455012853475</v>
      </c>
      <c r="O1011" s="3" t="str">
        <f>CONCATENATE(A1011,"-",B1011)</f>
        <v>636-Larvesta</v>
      </c>
    </row>
    <row r="1012" spans="1:15">
      <c r="A1012" s="63">
        <v>637</v>
      </c>
      <c r="B1012" s="2" t="s">
        <v>712</v>
      </c>
      <c r="C1012" t="s">
        <v>35</v>
      </c>
      <c r="D1012" s="22">
        <f>COUNTIF($C$2:$C$1168,Tabela1[[#This Row],[Type]])</f>
        <v>71</v>
      </c>
      <c r="E1012" s="62" t="str">
        <f>IF(A1012&lt;=151,"Kanto",IF(A1012&lt;=251,"Johto",IF(A1012&lt;=386,"Hoenn",IF(A1012&lt;=493,"Sinnoh",IF(A1012&lt;=649,"Unova",IF(A1012&lt;=721,"Kalos",IF(A1012&lt;=809,"Alola",IF(A1012&lt;=905,"Galar","Paldea"))))))))</f>
        <v>Unova</v>
      </c>
      <c r="F1012" t="str">
        <f>IF(G1012&gt;=600,"Lendário",IF(G1012&gt;=500,"Forte","Normal"))</f>
        <v>Forte</v>
      </c>
      <c r="G1012" s="3">
        <v>550</v>
      </c>
      <c r="H1012" s="3">
        <v>85</v>
      </c>
      <c r="I1012" s="3">
        <v>60</v>
      </c>
      <c r="J1012" s="3">
        <v>65</v>
      </c>
      <c r="K1012" s="3">
        <v>135</v>
      </c>
      <c r="L1012" s="3">
        <v>105</v>
      </c>
      <c r="M1012" s="3">
        <v>100</v>
      </c>
      <c r="N1012" s="3">
        <f>AVERAGE($I$2:$I$1168)</f>
        <v>78.907455012853475</v>
      </c>
      <c r="O1012" s="3" t="str">
        <f>CONCATENATE(A1012,"-",B1012)</f>
        <v>637-Volcarona</v>
      </c>
    </row>
    <row r="1013" spans="1:15">
      <c r="A1013" s="63">
        <v>637</v>
      </c>
      <c r="B1013" s="2" t="str">
        <f>B1012</f>
        <v>Volcarona</v>
      </c>
      <c r="C1013" t="s">
        <v>22</v>
      </c>
      <c r="D1013" s="22">
        <f>COUNTIF($C$2:$C$1168,Tabela1[[#This Row],[Type]])</f>
        <v>62</v>
      </c>
      <c r="E1013" s="62" t="str">
        <f>IF(A1013&lt;=151,"Kanto",IF(A1013&lt;=251,"Johto",IF(A1013&lt;=386,"Hoenn",IF(A1013&lt;=493,"Sinnoh",IF(A1013&lt;=649,"Unova",IF(A1013&lt;=721,"Kalos",IF(A1013&lt;=809,"Alola",IF(A1013&lt;=905,"Galar","Paldea"))))))))</f>
        <v>Unova</v>
      </c>
      <c r="F1013" t="str">
        <f>IF(G1013&gt;=600,"Lendário",IF(G1013&gt;=500,"Forte","Normal"))</f>
        <v>Forte</v>
      </c>
      <c r="G1013" s="3">
        <f>G1012</f>
        <v>550</v>
      </c>
      <c r="H1013" s="3">
        <f>H1012</f>
        <v>85</v>
      </c>
      <c r="I1013" s="3">
        <f>I1012</f>
        <v>60</v>
      </c>
      <c r="J1013" s="3">
        <f>J1012</f>
        <v>65</v>
      </c>
      <c r="K1013" s="3">
        <f>K1012</f>
        <v>135</v>
      </c>
      <c r="L1013" s="3">
        <f>L1012</f>
        <v>105</v>
      </c>
      <c r="M1013" s="3">
        <f>M1012</f>
        <v>100</v>
      </c>
      <c r="N1013" s="3">
        <f>AVERAGE($I$2:$I$1168)</f>
        <v>78.907455012853475</v>
      </c>
      <c r="O1013" s="3" t="str">
        <f>CONCATENATE(A1013,"-",B1013)</f>
        <v>637-Volcarona</v>
      </c>
    </row>
    <row r="1014" spans="1:15">
      <c r="A1014" s="63">
        <v>638</v>
      </c>
      <c r="B1014" s="2" t="s">
        <v>713</v>
      </c>
      <c r="C1014" t="s">
        <v>115</v>
      </c>
      <c r="D1014" s="22">
        <f>COUNTIF($C$2:$C$1168,Tabela1[[#This Row],[Type]])</f>
        <v>48</v>
      </c>
      <c r="E1014" s="62" t="str">
        <f>IF(A1014&lt;=151,"Kanto",IF(A1014&lt;=251,"Johto",IF(A1014&lt;=386,"Hoenn",IF(A1014&lt;=493,"Sinnoh",IF(A1014&lt;=649,"Unova",IF(A1014&lt;=721,"Kalos",IF(A1014&lt;=809,"Alola",IF(A1014&lt;=905,"Galar","Paldea"))))))))</f>
        <v>Unova</v>
      </c>
      <c r="F1014" t="str">
        <f>IF(G1014&gt;=600,"Lendário",IF(G1014&gt;=500,"Forte","Normal"))</f>
        <v>Forte</v>
      </c>
      <c r="G1014" s="3">
        <v>580</v>
      </c>
      <c r="H1014" s="3">
        <v>91</v>
      </c>
      <c r="I1014" s="3">
        <v>90</v>
      </c>
      <c r="J1014" s="3">
        <v>129</v>
      </c>
      <c r="K1014" s="3">
        <v>90</v>
      </c>
      <c r="L1014" s="3">
        <v>72</v>
      </c>
      <c r="M1014" s="3">
        <v>108</v>
      </c>
      <c r="N1014" s="3">
        <f>AVERAGE($I$2:$I$1168)</f>
        <v>78.907455012853475</v>
      </c>
      <c r="O1014" s="3" t="str">
        <f>CONCATENATE(A1014,"-",B1014)</f>
        <v>638-Cobalion</v>
      </c>
    </row>
    <row r="1015" spans="1:15">
      <c r="A1015" s="63">
        <v>638</v>
      </c>
      <c r="B1015" s="2" t="str">
        <f>B1014</f>
        <v>Cobalion</v>
      </c>
      <c r="C1015" t="s">
        <v>86</v>
      </c>
      <c r="D1015" s="22">
        <f>COUNTIF($C$2:$C$1168,Tabela1[[#This Row],[Type]])</f>
        <v>51</v>
      </c>
      <c r="E1015" s="62" t="str">
        <f>IF(A1015&lt;=151,"Kanto",IF(A1015&lt;=251,"Johto",IF(A1015&lt;=386,"Hoenn",IF(A1015&lt;=493,"Sinnoh",IF(A1015&lt;=649,"Unova",IF(A1015&lt;=721,"Kalos",IF(A1015&lt;=809,"Alola",IF(A1015&lt;=905,"Galar","Paldea"))))))))</f>
        <v>Unova</v>
      </c>
      <c r="F1015" t="str">
        <f>IF(G1015&gt;=600,"Lendário",IF(G1015&gt;=500,"Forte","Normal"))</f>
        <v>Forte</v>
      </c>
      <c r="G1015" s="3">
        <f>G1014</f>
        <v>580</v>
      </c>
      <c r="H1015" s="3">
        <f>H1014</f>
        <v>91</v>
      </c>
      <c r="I1015" s="3">
        <f>I1014</f>
        <v>90</v>
      </c>
      <c r="J1015" s="3">
        <f>J1014</f>
        <v>129</v>
      </c>
      <c r="K1015" s="3">
        <f>K1014</f>
        <v>90</v>
      </c>
      <c r="L1015" s="3">
        <f>L1014</f>
        <v>72</v>
      </c>
      <c r="M1015" s="3">
        <f>M1014</f>
        <v>108</v>
      </c>
      <c r="N1015" s="3">
        <f>AVERAGE($I$2:$I$1168)</f>
        <v>78.907455012853475</v>
      </c>
      <c r="O1015" s="3" t="str">
        <f>CONCATENATE(A1015,"-",B1015)</f>
        <v>638-Cobalion</v>
      </c>
    </row>
    <row r="1016" spans="1:15">
      <c r="A1016" s="63">
        <v>639</v>
      </c>
      <c r="B1016" s="2" t="s">
        <v>714</v>
      </c>
      <c r="C1016" t="s">
        <v>107</v>
      </c>
      <c r="D1016" s="22">
        <f>COUNTIF($C$2:$C$1168,Tabela1[[#This Row],[Type]])</f>
        <v>56</v>
      </c>
      <c r="E1016" s="62" t="str">
        <f>IF(A1016&lt;=151,"Kanto",IF(A1016&lt;=251,"Johto",IF(A1016&lt;=386,"Hoenn",IF(A1016&lt;=493,"Sinnoh",IF(A1016&lt;=649,"Unova",IF(A1016&lt;=721,"Kalos",IF(A1016&lt;=809,"Alola",IF(A1016&lt;=905,"Galar","Paldea"))))))))</f>
        <v>Unova</v>
      </c>
      <c r="F1016" t="str">
        <f>IF(G1016&gt;=600,"Lendário",IF(G1016&gt;=500,"Forte","Normal"))</f>
        <v>Forte</v>
      </c>
      <c r="G1016" s="3">
        <v>580</v>
      </c>
      <c r="H1016" s="3">
        <v>91</v>
      </c>
      <c r="I1016" s="3">
        <v>129</v>
      </c>
      <c r="J1016" s="3">
        <v>90</v>
      </c>
      <c r="K1016" s="3">
        <v>72</v>
      </c>
      <c r="L1016" s="3">
        <v>90</v>
      </c>
      <c r="M1016" s="3">
        <v>108</v>
      </c>
      <c r="N1016" s="3">
        <f>AVERAGE($I$2:$I$1168)</f>
        <v>78.907455012853475</v>
      </c>
      <c r="O1016" s="3" t="str">
        <f>CONCATENATE(A1016,"-",B1016)</f>
        <v>639-Terrakion</v>
      </c>
    </row>
    <row r="1017" spans="1:15">
      <c r="A1017" s="63">
        <v>639</v>
      </c>
      <c r="B1017" s="2" t="str">
        <f>B1016</f>
        <v>Terrakion</v>
      </c>
      <c r="C1017" t="s">
        <v>86</v>
      </c>
      <c r="D1017" s="22">
        <f>COUNTIF($C$2:$C$1168,Tabela1[[#This Row],[Type]])</f>
        <v>51</v>
      </c>
      <c r="E1017" s="62" t="str">
        <f>IF(A1017&lt;=151,"Kanto",IF(A1017&lt;=251,"Johto",IF(A1017&lt;=386,"Hoenn",IF(A1017&lt;=493,"Sinnoh",IF(A1017&lt;=649,"Unova",IF(A1017&lt;=721,"Kalos",IF(A1017&lt;=809,"Alola",IF(A1017&lt;=905,"Galar","Paldea"))))))))</f>
        <v>Unova</v>
      </c>
      <c r="F1017" t="str">
        <f>IF(G1017&gt;=600,"Lendário",IF(G1017&gt;=500,"Forte","Normal"))</f>
        <v>Forte</v>
      </c>
      <c r="G1017" s="3">
        <f>G1016</f>
        <v>580</v>
      </c>
      <c r="H1017" s="3">
        <f>H1016</f>
        <v>91</v>
      </c>
      <c r="I1017" s="3">
        <f>I1016</f>
        <v>129</v>
      </c>
      <c r="J1017" s="3">
        <f>J1016</f>
        <v>90</v>
      </c>
      <c r="K1017" s="3">
        <f>K1016</f>
        <v>72</v>
      </c>
      <c r="L1017" s="3">
        <f>L1016</f>
        <v>90</v>
      </c>
      <c r="M1017" s="3">
        <f>M1016</f>
        <v>108</v>
      </c>
      <c r="N1017" s="3">
        <f>AVERAGE($I$2:$I$1168)</f>
        <v>78.907455012853475</v>
      </c>
      <c r="O1017" s="3" t="str">
        <f>CONCATENATE(A1017,"-",B1017)</f>
        <v>639-Terrakion</v>
      </c>
    </row>
    <row r="1018" spans="1:15">
      <c r="A1018" s="63">
        <v>640</v>
      </c>
      <c r="B1018" s="2" t="s">
        <v>715</v>
      </c>
      <c r="C1018" t="s">
        <v>16</v>
      </c>
      <c r="D1018" s="22">
        <f>COUNTIF($C$2:$C$1168,Tabela1[[#This Row],[Type]])</f>
        <v>93</v>
      </c>
      <c r="E1018" s="62" t="str">
        <f>IF(A1018&lt;=151,"Kanto",IF(A1018&lt;=251,"Johto",IF(A1018&lt;=386,"Hoenn",IF(A1018&lt;=493,"Sinnoh",IF(A1018&lt;=649,"Unova",IF(A1018&lt;=721,"Kalos",IF(A1018&lt;=809,"Alola",IF(A1018&lt;=905,"Galar","Paldea"))))))))</f>
        <v>Unova</v>
      </c>
      <c r="F1018" t="str">
        <f>IF(G1018&gt;=600,"Lendário",IF(G1018&gt;=500,"Forte","Normal"))</f>
        <v>Forte</v>
      </c>
      <c r="G1018" s="3">
        <v>580</v>
      </c>
      <c r="H1018" s="3">
        <v>91</v>
      </c>
      <c r="I1018" s="3">
        <v>90</v>
      </c>
      <c r="J1018" s="3">
        <v>72</v>
      </c>
      <c r="K1018" s="3">
        <v>90</v>
      </c>
      <c r="L1018" s="3">
        <v>129</v>
      </c>
      <c r="M1018" s="3">
        <v>108</v>
      </c>
      <c r="N1018" s="3">
        <f>AVERAGE($I$2:$I$1168)</f>
        <v>78.907455012853475</v>
      </c>
      <c r="O1018" s="3" t="str">
        <f>CONCATENATE(A1018,"-",B1018)</f>
        <v>640-Virizion</v>
      </c>
    </row>
    <row r="1019" spans="1:15">
      <c r="A1019" s="63">
        <v>640</v>
      </c>
      <c r="B1019" s="2" t="str">
        <f>B1018</f>
        <v>Virizion</v>
      </c>
      <c r="C1019" t="s">
        <v>86</v>
      </c>
      <c r="D1019" s="22">
        <f>COUNTIF($C$2:$C$1168,Tabela1[[#This Row],[Type]])</f>
        <v>51</v>
      </c>
      <c r="E1019" s="62" t="str">
        <f>IF(A1019&lt;=151,"Kanto",IF(A1019&lt;=251,"Johto",IF(A1019&lt;=386,"Hoenn",IF(A1019&lt;=493,"Sinnoh",IF(A1019&lt;=649,"Unova",IF(A1019&lt;=721,"Kalos",IF(A1019&lt;=809,"Alola",IF(A1019&lt;=905,"Galar","Paldea"))))))))</f>
        <v>Unova</v>
      </c>
      <c r="F1019" t="str">
        <f>IF(G1019&gt;=600,"Lendário",IF(G1019&gt;=500,"Forte","Normal"))</f>
        <v>Forte</v>
      </c>
      <c r="G1019" s="3">
        <f>G1018</f>
        <v>580</v>
      </c>
      <c r="H1019" s="3">
        <f>H1018</f>
        <v>91</v>
      </c>
      <c r="I1019" s="3">
        <f>I1018</f>
        <v>90</v>
      </c>
      <c r="J1019" s="3">
        <f>J1018</f>
        <v>72</v>
      </c>
      <c r="K1019" s="3">
        <f>K1018</f>
        <v>90</v>
      </c>
      <c r="L1019" s="3">
        <f>L1018</f>
        <v>129</v>
      </c>
      <c r="M1019" s="3">
        <f>M1018</f>
        <v>108</v>
      </c>
      <c r="N1019" s="3">
        <f>AVERAGE($I$2:$I$1168)</f>
        <v>78.907455012853475</v>
      </c>
      <c r="O1019" s="3" t="str">
        <f>CONCATENATE(A1019,"-",B1019)</f>
        <v>640-Virizion</v>
      </c>
    </row>
    <row r="1020" spans="1:15">
      <c r="A1020" s="63">
        <v>641</v>
      </c>
      <c r="B1020" s="2" t="s">
        <v>716</v>
      </c>
      <c r="C1020" t="s">
        <v>25</v>
      </c>
      <c r="D1020" s="22">
        <f>COUNTIF($C$2:$C$1168,Tabela1[[#This Row],[Type]])</f>
        <v>100</v>
      </c>
      <c r="E1020" s="62" t="str">
        <f>IF(A1020&lt;=151,"Kanto",IF(A1020&lt;=251,"Johto",IF(A1020&lt;=386,"Hoenn",IF(A1020&lt;=493,"Sinnoh",IF(A1020&lt;=649,"Unova",IF(A1020&lt;=721,"Kalos",IF(A1020&lt;=809,"Alola",IF(A1020&lt;=905,"Galar","Paldea"))))))))</f>
        <v>Unova</v>
      </c>
      <c r="F1020" t="str">
        <f>IF(G1020&gt;=600,"Lendário",IF(G1020&gt;=500,"Forte","Normal"))</f>
        <v>Forte</v>
      </c>
      <c r="G1020" s="3">
        <v>580</v>
      </c>
      <c r="H1020" s="3">
        <v>79</v>
      </c>
      <c r="I1020" s="3">
        <v>115</v>
      </c>
      <c r="J1020" s="3">
        <v>70</v>
      </c>
      <c r="K1020" s="3">
        <v>125</v>
      </c>
      <c r="L1020" s="3">
        <v>80</v>
      </c>
      <c r="M1020" s="3">
        <v>111</v>
      </c>
      <c r="N1020" s="3">
        <f>AVERAGE($I$2:$I$1168)</f>
        <v>78.907455012853475</v>
      </c>
      <c r="O1020" s="3" t="str">
        <f>CONCATENATE(A1020,"-",B1020)</f>
        <v>641-Tornadus- Incarnate Forme</v>
      </c>
    </row>
    <row r="1021" spans="1:15">
      <c r="A1021" s="63">
        <v>641</v>
      </c>
      <c r="B1021" s="2" t="s">
        <v>716</v>
      </c>
      <c r="C1021" t="str">
        <f>C1020</f>
        <v>FLYING</v>
      </c>
      <c r="D1021" s="22">
        <f>COUNTIF($C$2:$C$1168,Tabela1[[#This Row],[Type]])</f>
        <v>100</v>
      </c>
      <c r="E1021" s="62" t="str">
        <f>IF(A1021&lt;=151,"Kanto",IF(A1021&lt;=251,"Johto",IF(A1021&lt;=386,"Hoenn",IF(A1021&lt;=493,"Sinnoh",IF(A1021&lt;=649,"Unova",IF(A1021&lt;=721,"Kalos",IF(A1021&lt;=809,"Alola",IF(A1021&lt;=905,"Galar","Paldea"))))))))</f>
        <v>Unova</v>
      </c>
      <c r="F1021" t="str">
        <f>IF(G1021&gt;=600,"Lendário",IF(G1021&gt;=500,"Forte","Normal"))</f>
        <v>Forte</v>
      </c>
      <c r="G1021" s="3">
        <f>G1020</f>
        <v>580</v>
      </c>
      <c r="H1021" s="3">
        <f>H1020</f>
        <v>79</v>
      </c>
      <c r="I1021" s="3">
        <f>I1020</f>
        <v>115</v>
      </c>
      <c r="J1021" s="3">
        <f>J1020</f>
        <v>70</v>
      </c>
      <c r="K1021" s="3">
        <f>K1020</f>
        <v>125</v>
      </c>
      <c r="L1021" s="3">
        <f>L1020</f>
        <v>80</v>
      </c>
      <c r="M1021" s="3">
        <f>M1020</f>
        <v>111</v>
      </c>
      <c r="N1021" s="3">
        <f>AVERAGE($I$2:$I$1168)</f>
        <v>78.907455012853475</v>
      </c>
      <c r="O1021" s="3" t="str">
        <f>CONCATENATE(A1021,"-",B1021)</f>
        <v>641-Tornadus- Incarnate Forme</v>
      </c>
    </row>
    <row r="1022" spans="1:15">
      <c r="A1022" s="63">
        <v>641.1</v>
      </c>
      <c r="B1022" s="2" t="s">
        <v>717</v>
      </c>
      <c r="C1022" t="s">
        <v>25</v>
      </c>
      <c r="D1022" s="22">
        <f>COUNTIF($C$2:$C$1168,Tabela1[[#This Row],[Type]])</f>
        <v>100</v>
      </c>
      <c r="E1022" s="62" t="str">
        <f>IF(A1022&lt;=151,"Kanto",IF(A1022&lt;=251,"Johto",IF(A1022&lt;=386,"Hoenn",IF(A1022&lt;=493,"Sinnoh",IF(A1022&lt;=649,"Unova",IF(A1022&lt;=721,"Kalos",IF(A1022&lt;=809,"Alola",IF(A1022&lt;=905,"Galar","Paldea"))))))))</f>
        <v>Unova</v>
      </c>
      <c r="F1022" t="str">
        <f>IF(G1022&gt;=600,"Lendário",IF(G1022&gt;=500,"Forte","Normal"))</f>
        <v>Forte</v>
      </c>
      <c r="G1022" s="3">
        <v>580</v>
      </c>
      <c r="H1022" s="3">
        <v>79</v>
      </c>
      <c r="I1022" s="3">
        <v>100</v>
      </c>
      <c r="J1022" s="3">
        <v>80</v>
      </c>
      <c r="K1022" s="3">
        <v>110</v>
      </c>
      <c r="L1022" s="3">
        <v>90</v>
      </c>
      <c r="M1022" s="3">
        <v>121</v>
      </c>
      <c r="N1022" s="3">
        <f>AVERAGE($I$2:$I$1168)</f>
        <v>78.907455012853475</v>
      </c>
      <c r="O1022" s="3" t="str">
        <f>CONCATENATE(A1022,"-",B1022)</f>
        <v>641,1-Tornadus- Therian Forme</v>
      </c>
    </row>
    <row r="1023" spans="1:15">
      <c r="A1023" s="63">
        <v>641.1</v>
      </c>
      <c r="B1023" s="2" t="s">
        <v>717</v>
      </c>
      <c r="C1023" t="str">
        <f>C1022</f>
        <v>FLYING</v>
      </c>
      <c r="D1023" s="22">
        <f>COUNTIF($C$2:$C$1168,Tabela1[[#This Row],[Type]])</f>
        <v>100</v>
      </c>
      <c r="E1023" s="62" t="str">
        <f>IF(A1023&lt;=151,"Kanto",IF(A1023&lt;=251,"Johto",IF(A1023&lt;=386,"Hoenn",IF(A1023&lt;=493,"Sinnoh",IF(A1023&lt;=649,"Unova",IF(A1023&lt;=721,"Kalos",IF(A1023&lt;=809,"Alola",IF(A1023&lt;=905,"Galar","Paldea"))))))))</f>
        <v>Unova</v>
      </c>
      <c r="F1023" t="str">
        <f>IF(G1023&gt;=600,"Lendário",IF(G1023&gt;=500,"Forte","Normal"))</f>
        <v>Forte</v>
      </c>
      <c r="G1023" s="3">
        <f>G1022</f>
        <v>580</v>
      </c>
      <c r="H1023" s="3">
        <f>H1022</f>
        <v>79</v>
      </c>
      <c r="I1023" s="3">
        <f>I1022</f>
        <v>100</v>
      </c>
      <c r="J1023" s="3">
        <f>J1022</f>
        <v>80</v>
      </c>
      <c r="K1023" s="3">
        <f>K1022</f>
        <v>110</v>
      </c>
      <c r="L1023" s="3">
        <f>L1022</f>
        <v>90</v>
      </c>
      <c r="M1023" s="3">
        <f>M1022</f>
        <v>121</v>
      </c>
      <c r="N1023" s="3">
        <f>AVERAGE($I$2:$I$1168)</f>
        <v>78.907455012853475</v>
      </c>
      <c r="O1023" s="3" t="str">
        <f>CONCATENATE(A1023,"-",B1023)</f>
        <v>641,1-Tornadus- Therian Forme</v>
      </c>
    </row>
    <row r="1024" spans="1:15">
      <c r="A1024" s="63">
        <v>642</v>
      </c>
      <c r="B1024" s="2" t="s">
        <v>718</v>
      </c>
      <c r="C1024" t="s">
        <v>52</v>
      </c>
      <c r="D1024" s="22">
        <f>COUNTIF($C$2:$C$1168,Tabela1[[#This Row],[Type]])</f>
        <v>51</v>
      </c>
      <c r="E1024" s="62" t="str">
        <f>IF(A1024&lt;=151,"Kanto",IF(A1024&lt;=251,"Johto",IF(A1024&lt;=386,"Hoenn",IF(A1024&lt;=493,"Sinnoh",IF(A1024&lt;=649,"Unova",IF(A1024&lt;=721,"Kalos",IF(A1024&lt;=809,"Alola",IF(A1024&lt;=905,"Galar","Paldea"))))))))</f>
        <v>Unova</v>
      </c>
      <c r="F1024" t="str">
        <f>IF(G1024&gt;=600,"Lendário",IF(G1024&gt;=500,"Forte","Normal"))</f>
        <v>Forte</v>
      </c>
      <c r="G1024" s="3">
        <v>580</v>
      </c>
      <c r="H1024" s="3">
        <v>79</v>
      </c>
      <c r="I1024" s="3">
        <v>115</v>
      </c>
      <c r="J1024" s="3">
        <v>70</v>
      </c>
      <c r="K1024" s="3">
        <v>125</v>
      </c>
      <c r="L1024" s="3">
        <v>80</v>
      </c>
      <c r="M1024" s="3">
        <v>111</v>
      </c>
      <c r="N1024" s="3">
        <f>AVERAGE($I$2:$I$1168)</f>
        <v>78.907455012853475</v>
      </c>
      <c r="O1024" s="3" t="str">
        <f>CONCATENATE(A1024,"-",B1024)</f>
        <v>642-Thundurus- Incarnate Forme</v>
      </c>
    </row>
    <row r="1025" spans="1:15">
      <c r="A1025" s="63">
        <v>642</v>
      </c>
      <c r="B1025" s="2" t="s">
        <v>718</v>
      </c>
      <c r="C1025" t="s">
        <v>25</v>
      </c>
      <c r="D1025" s="22">
        <f>COUNTIF($C$2:$C$1168,Tabela1[[#This Row],[Type]])</f>
        <v>100</v>
      </c>
      <c r="E1025" s="62" t="str">
        <f>IF(A1025&lt;=151,"Kanto",IF(A1025&lt;=251,"Johto",IF(A1025&lt;=386,"Hoenn",IF(A1025&lt;=493,"Sinnoh",IF(A1025&lt;=649,"Unova",IF(A1025&lt;=721,"Kalos",IF(A1025&lt;=809,"Alola",IF(A1025&lt;=905,"Galar","Paldea"))))))))</f>
        <v>Unova</v>
      </c>
      <c r="F1025" t="str">
        <f>IF(G1025&gt;=600,"Lendário",IF(G1025&gt;=500,"Forte","Normal"))</f>
        <v>Forte</v>
      </c>
      <c r="G1025" s="3">
        <f>G1024</f>
        <v>580</v>
      </c>
      <c r="H1025" s="3">
        <f>H1024</f>
        <v>79</v>
      </c>
      <c r="I1025" s="3">
        <f>I1024</f>
        <v>115</v>
      </c>
      <c r="J1025" s="3">
        <f>J1024</f>
        <v>70</v>
      </c>
      <c r="K1025" s="3">
        <f>K1024</f>
        <v>125</v>
      </c>
      <c r="L1025" s="3">
        <f>L1024</f>
        <v>80</v>
      </c>
      <c r="M1025" s="3">
        <f>M1024</f>
        <v>111</v>
      </c>
      <c r="N1025" s="3">
        <f>AVERAGE($I$2:$I$1168)</f>
        <v>78.907455012853475</v>
      </c>
      <c r="O1025" s="3" t="str">
        <f>CONCATENATE(A1025,"-",B1025)</f>
        <v>642-Thundurus- Incarnate Forme</v>
      </c>
    </row>
    <row r="1026" spans="1:15">
      <c r="A1026" s="63">
        <v>642.1</v>
      </c>
      <c r="B1026" s="2" t="s">
        <v>719</v>
      </c>
      <c r="C1026" t="s">
        <v>52</v>
      </c>
      <c r="D1026" s="22">
        <f>COUNTIF($C$2:$C$1168,Tabela1[[#This Row],[Type]])</f>
        <v>51</v>
      </c>
      <c r="E1026" s="62" t="str">
        <f>IF(A1026&lt;=151,"Kanto",IF(A1026&lt;=251,"Johto",IF(A1026&lt;=386,"Hoenn",IF(A1026&lt;=493,"Sinnoh",IF(A1026&lt;=649,"Unova",IF(A1026&lt;=721,"Kalos",IF(A1026&lt;=809,"Alola",IF(A1026&lt;=905,"Galar","Paldea"))))))))</f>
        <v>Unova</v>
      </c>
      <c r="F1026" t="str">
        <f>IF(G1026&gt;=600,"Lendário",IF(G1026&gt;=500,"Forte","Normal"))</f>
        <v>Forte</v>
      </c>
      <c r="G1026" s="3">
        <v>580</v>
      </c>
      <c r="H1026" s="3">
        <v>79</v>
      </c>
      <c r="I1026" s="3">
        <v>105</v>
      </c>
      <c r="J1026" s="3">
        <v>70</v>
      </c>
      <c r="K1026" s="3">
        <v>145</v>
      </c>
      <c r="L1026" s="3">
        <v>80</v>
      </c>
      <c r="M1026" s="3">
        <v>101</v>
      </c>
      <c r="N1026" s="3">
        <f>AVERAGE($I$2:$I$1168)</f>
        <v>78.907455012853475</v>
      </c>
      <c r="O1026" s="3" t="str">
        <f>CONCATENATE(A1026,"-",B1026)</f>
        <v>642,1-Thundurus- Therian Forme</v>
      </c>
    </row>
    <row r="1027" spans="1:15">
      <c r="A1027" s="63">
        <v>642.1</v>
      </c>
      <c r="B1027" s="2" t="s">
        <v>719</v>
      </c>
      <c r="C1027" t="s">
        <v>25</v>
      </c>
      <c r="D1027" s="22">
        <f>COUNTIF($C$2:$C$1168,Tabela1[[#This Row],[Type]])</f>
        <v>100</v>
      </c>
      <c r="E1027" s="62" t="str">
        <f>IF(A1027&lt;=151,"Kanto",IF(A1027&lt;=251,"Johto",IF(A1027&lt;=386,"Hoenn",IF(A1027&lt;=493,"Sinnoh",IF(A1027&lt;=649,"Unova",IF(A1027&lt;=721,"Kalos",IF(A1027&lt;=809,"Alola",IF(A1027&lt;=905,"Galar","Paldea"))))))))</f>
        <v>Unova</v>
      </c>
      <c r="F1027" t="str">
        <f>IF(G1027&gt;=600,"Lendário",IF(G1027&gt;=500,"Forte","Normal"))</f>
        <v>Forte</v>
      </c>
      <c r="G1027" s="3">
        <f>G1026</f>
        <v>580</v>
      </c>
      <c r="H1027" s="3">
        <f>H1026</f>
        <v>79</v>
      </c>
      <c r="I1027" s="3">
        <f>I1026</f>
        <v>105</v>
      </c>
      <c r="J1027" s="3">
        <f>J1026</f>
        <v>70</v>
      </c>
      <c r="K1027" s="3">
        <f>K1026</f>
        <v>145</v>
      </c>
      <c r="L1027" s="3">
        <f>L1026</f>
        <v>80</v>
      </c>
      <c r="M1027" s="3">
        <f>M1026</f>
        <v>101</v>
      </c>
      <c r="N1027" s="3">
        <f>AVERAGE($I$2:$I$1168)</f>
        <v>78.907455012853475</v>
      </c>
      <c r="O1027" s="3" t="str">
        <f>CONCATENATE(A1027,"-",B1027)</f>
        <v>642,1-Thundurus- Therian Forme</v>
      </c>
    </row>
    <row r="1028" spans="1:15">
      <c r="A1028" s="63">
        <v>643</v>
      </c>
      <c r="B1028" s="2" t="s">
        <v>720</v>
      </c>
      <c r="C1028" t="s">
        <v>27</v>
      </c>
      <c r="D1028" s="22">
        <f>COUNTIF($C$2:$C$1168,Tabela1[[#This Row],[Type]])</f>
        <v>44</v>
      </c>
      <c r="E1028" s="62" t="str">
        <f>IF(A1028&lt;=151,"Kanto",IF(A1028&lt;=251,"Johto",IF(A1028&lt;=386,"Hoenn",IF(A1028&lt;=493,"Sinnoh",IF(A1028&lt;=649,"Unova",IF(A1028&lt;=721,"Kalos",IF(A1028&lt;=809,"Alola",IF(A1028&lt;=905,"Galar","Paldea"))))))))</f>
        <v>Unova</v>
      </c>
      <c r="F1028" t="str">
        <f>IF(G1028&gt;=600,"Lendário",IF(G1028&gt;=500,"Forte","Normal"))</f>
        <v>Lendário</v>
      </c>
      <c r="G1028" s="3">
        <v>680</v>
      </c>
      <c r="H1028" s="3">
        <v>100</v>
      </c>
      <c r="I1028" s="3">
        <v>120</v>
      </c>
      <c r="J1028" s="3">
        <v>100</v>
      </c>
      <c r="K1028" s="3">
        <v>150</v>
      </c>
      <c r="L1028" s="3">
        <v>120</v>
      </c>
      <c r="M1028" s="3">
        <v>90</v>
      </c>
      <c r="N1028" s="3">
        <f>AVERAGE($I$2:$I$1168)</f>
        <v>78.907455012853475</v>
      </c>
      <c r="O1028" s="3" t="str">
        <f>CONCATENATE(A1028,"-",B1028)</f>
        <v>643-Reshiram</v>
      </c>
    </row>
    <row r="1029" spans="1:15">
      <c r="A1029" s="63">
        <v>643</v>
      </c>
      <c r="B1029" s="2" t="str">
        <f>B1028</f>
        <v>Reshiram</v>
      </c>
      <c r="C1029" t="s">
        <v>22</v>
      </c>
      <c r="D1029" s="22">
        <f>COUNTIF($C$2:$C$1168,Tabela1[[#This Row],[Type]])</f>
        <v>62</v>
      </c>
      <c r="E1029" s="62" t="str">
        <f>IF(A1029&lt;=151,"Kanto",IF(A1029&lt;=251,"Johto",IF(A1029&lt;=386,"Hoenn",IF(A1029&lt;=493,"Sinnoh",IF(A1029&lt;=649,"Unova",IF(A1029&lt;=721,"Kalos",IF(A1029&lt;=809,"Alola",IF(A1029&lt;=905,"Galar","Paldea"))))))))</f>
        <v>Unova</v>
      </c>
      <c r="F1029" t="str">
        <f>IF(G1029&gt;=600,"Lendário",IF(G1029&gt;=500,"Forte","Normal"))</f>
        <v>Lendário</v>
      </c>
      <c r="G1029" s="3">
        <f>G1028</f>
        <v>680</v>
      </c>
      <c r="H1029" s="3">
        <f>H1028</f>
        <v>100</v>
      </c>
      <c r="I1029" s="3">
        <f>I1028</f>
        <v>120</v>
      </c>
      <c r="J1029" s="3">
        <f>J1028</f>
        <v>100</v>
      </c>
      <c r="K1029" s="3">
        <f>K1028</f>
        <v>150</v>
      </c>
      <c r="L1029" s="3">
        <f>L1028</f>
        <v>120</v>
      </c>
      <c r="M1029" s="3">
        <f>M1028</f>
        <v>90</v>
      </c>
      <c r="N1029" s="3">
        <f>AVERAGE($I$2:$I$1168)</f>
        <v>78.907455012853475</v>
      </c>
      <c r="O1029" s="3" t="str">
        <f>CONCATENATE(A1029,"-",B1029)</f>
        <v>643-Reshiram</v>
      </c>
    </row>
    <row r="1030" spans="1:15">
      <c r="A1030" s="63">
        <v>644</v>
      </c>
      <c r="B1030" s="2" t="s">
        <v>721</v>
      </c>
      <c r="C1030" t="s">
        <v>27</v>
      </c>
      <c r="D1030" s="22">
        <f>COUNTIF($C$2:$C$1168,Tabela1[[#This Row],[Type]])</f>
        <v>44</v>
      </c>
      <c r="E1030" s="62" t="str">
        <f>IF(A1030&lt;=151,"Kanto",IF(A1030&lt;=251,"Johto",IF(A1030&lt;=386,"Hoenn",IF(A1030&lt;=493,"Sinnoh",IF(A1030&lt;=649,"Unova",IF(A1030&lt;=721,"Kalos",IF(A1030&lt;=809,"Alola",IF(A1030&lt;=905,"Galar","Paldea"))))))))</f>
        <v>Unova</v>
      </c>
      <c r="F1030" t="str">
        <f>IF(G1030&gt;=600,"Lendário",IF(G1030&gt;=500,"Forte","Normal"))</f>
        <v>Lendário</v>
      </c>
      <c r="G1030" s="3">
        <v>680</v>
      </c>
      <c r="H1030" s="3">
        <v>100</v>
      </c>
      <c r="I1030" s="3">
        <v>150</v>
      </c>
      <c r="J1030" s="3">
        <v>120</v>
      </c>
      <c r="K1030" s="3">
        <v>120</v>
      </c>
      <c r="L1030" s="3">
        <v>100</v>
      </c>
      <c r="M1030" s="3">
        <v>90</v>
      </c>
      <c r="N1030" s="3">
        <f>AVERAGE($I$2:$I$1168)</f>
        <v>78.907455012853475</v>
      </c>
      <c r="O1030" s="3" t="str">
        <f>CONCATENATE(A1030,"-",B1030)</f>
        <v>644-Zekrom</v>
      </c>
    </row>
    <row r="1031" spans="1:15">
      <c r="A1031" s="63">
        <v>644</v>
      </c>
      <c r="B1031" s="2" t="str">
        <f>B1030</f>
        <v>Zekrom</v>
      </c>
      <c r="C1031" t="s">
        <v>52</v>
      </c>
      <c r="D1031" s="22">
        <f>COUNTIF($C$2:$C$1168,Tabela1[[#This Row],[Type]])</f>
        <v>51</v>
      </c>
      <c r="E1031" s="62" t="str">
        <f>IF(A1031&lt;=151,"Kanto",IF(A1031&lt;=251,"Johto",IF(A1031&lt;=386,"Hoenn",IF(A1031&lt;=493,"Sinnoh",IF(A1031&lt;=649,"Unova",IF(A1031&lt;=721,"Kalos",IF(A1031&lt;=809,"Alola",IF(A1031&lt;=905,"Galar","Paldea"))))))))</f>
        <v>Unova</v>
      </c>
      <c r="F1031" t="str">
        <f>IF(G1031&gt;=600,"Lendário",IF(G1031&gt;=500,"Forte","Normal"))</f>
        <v>Lendário</v>
      </c>
      <c r="G1031" s="3">
        <f>G1030</f>
        <v>680</v>
      </c>
      <c r="H1031" s="3">
        <f>H1030</f>
        <v>100</v>
      </c>
      <c r="I1031" s="3">
        <f>I1030</f>
        <v>150</v>
      </c>
      <c r="J1031" s="3">
        <f>J1030</f>
        <v>120</v>
      </c>
      <c r="K1031" s="3">
        <f>K1030</f>
        <v>120</v>
      </c>
      <c r="L1031" s="3">
        <f>L1030</f>
        <v>100</v>
      </c>
      <c r="M1031" s="3">
        <f>M1030</f>
        <v>90</v>
      </c>
      <c r="N1031" s="3">
        <f>AVERAGE($I$2:$I$1168)</f>
        <v>78.907455012853475</v>
      </c>
      <c r="O1031" s="3" t="str">
        <f>CONCATENATE(A1031,"-",B1031)</f>
        <v>644-Zekrom</v>
      </c>
    </row>
    <row r="1032" spans="1:15">
      <c r="A1032" s="63">
        <v>645</v>
      </c>
      <c r="B1032" s="2" t="s">
        <v>722</v>
      </c>
      <c r="C1032" t="s">
        <v>55</v>
      </c>
      <c r="D1032" s="22">
        <f>COUNTIF($C$2:$C$1168,Tabela1[[#This Row],[Type]])</f>
        <v>62</v>
      </c>
      <c r="E1032" s="62" t="str">
        <f>IF(A1032&lt;=151,"Kanto",IF(A1032&lt;=251,"Johto",IF(A1032&lt;=386,"Hoenn",IF(A1032&lt;=493,"Sinnoh",IF(A1032&lt;=649,"Unova",IF(A1032&lt;=721,"Kalos",IF(A1032&lt;=809,"Alola",IF(A1032&lt;=905,"Galar","Paldea"))))))))</f>
        <v>Unova</v>
      </c>
      <c r="F1032" t="str">
        <f>IF(G1032&gt;=600,"Lendário",IF(G1032&gt;=500,"Forte","Normal"))</f>
        <v>Lendário</v>
      </c>
      <c r="G1032" s="3">
        <v>600</v>
      </c>
      <c r="H1032" s="3">
        <v>89</v>
      </c>
      <c r="I1032" s="3">
        <v>125</v>
      </c>
      <c r="J1032" s="3">
        <v>90</v>
      </c>
      <c r="K1032" s="3">
        <v>115</v>
      </c>
      <c r="L1032" s="3">
        <v>80</v>
      </c>
      <c r="M1032" s="3">
        <v>101</v>
      </c>
      <c r="N1032" s="3">
        <f>AVERAGE($I$2:$I$1168)</f>
        <v>78.907455012853475</v>
      </c>
      <c r="O1032" s="3" t="str">
        <f>CONCATENATE(A1032,"-",B1032)</f>
        <v>645-Landorus- Incarnate Forme</v>
      </c>
    </row>
    <row r="1033" spans="1:15">
      <c r="A1033" s="63">
        <v>645</v>
      </c>
      <c r="B1033" s="2" t="s">
        <v>722</v>
      </c>
      <c r="C1033" t="s">
        <v>25</v>
      </c>
      <c r="D1033" s="22">
        <f>COUNTIF($C$2:$C$1168,Tabela1[[#This Row],[Type]])</f>
        <v>100</v>
      </c>
      <c r="E1033" s="62" t="str">
        <f>IF(A1033&lt;=151,"Kanto",IF(A1033&lt;=251,"Johto",IF(A1033&lt;=386,"Hoenn",IF(A1033&lt;=493,"Sinnoh",IF(A1033&lt;=649,"Unova",IF(A1033&lt;=721,"Kalos",IF(A1033&lt;=809,"Alola",IF(A1033&lt;=905,"Galar","Paldea"))))))))</f>
        <v>Unova</v>
      </c>
      <c r="F1033" t="str">
        <f>IF(G1033&gt;=600,"Lendário",IF(G1033&gt;=500,"Forte","Normal"))</f>
        <v>Lendário</v>
      </c>
      <c r="G1033" s="3">
        <f>G1032</f>
        <v>600</v>
      </c>
      <c r="H1033" s="3">
        <f>H1032</f>
        <v>89</v>
      </c>
      <c r="I1033" s="3">
        <f>I1032</f>
        <v>125</v>
      </c>
      <c r="J1033" s="3">
        <f>J1032</f>
        <v>90</v>
      </c>
      <c r="K1033" s="3">
        <f>K1032</f>
        <v>115</v>
      </c>
      <c r="L1033" s="3">
        <f>L1032</f>
        <v>80</v>
      </c>
      <c r="M1033" s="3">
        <f>M1032</f>
        <v>101</v>
      </c>
      <c r="N1033" s="3">
        <f>AVERAGE($I$2:$I$1168)</f>
        <v>78.907455012853475</v>
      </c>
      <c r="O1033" s="3" t="str">
        <f>CONCATENATE(A1033,"-",B1033)</f>
        <v>645-Landorus- Incarnate Forme</v>
      </c>
    </row>
    <row r="1034" spans="1:15">
      <c r="A1034" s="63">
        <v>645.1</v>
      </c>
      <c r="B1034" s="2" t="s">
        <v>723</v>
      </c>
      <c r="C1034" t="s">
        <v>55</v>
      </c>
      <c r="D1034" s="22">
        <f>COUNTIF($C$2:$C$1168,Tabela1[[#This Row],[Type]])</f>
        <v>62</v>
      </c>
      <c r="E1034" s="62" t="str">
        <f>IF(A1034&lt;=151,"Kanto",IF(A1034&lt;=251,"Johto",IF(A1034&lt;=386,"Hoenn",IF(A1034&lt;=493,"Sinnoh",IF(A1034&lt;=649,"Unova",IF(A1034&lt;=721,"Kalos",IF(A1034&lt;=809,"Alola",IF(A1034&lt;=905,"Galar","Paldea"))))))))</f>
        <v>Unova</v>
      </c>
      <c r="F1034" t="str">
        <f>IF(G1034&gt;=600,"Lendário",IF(G1034&gt;=500,"Forte","Normal"))</f>
        <v>Lendário</v>
      </c>
      <c r="G1034" s="3">
        <v>600</v>
      </c>
      <c r="H1034" s="3">
        <v>89</v>
      </c>
      <c r="I1034" s="3">
        <v>145</v>
      </c>
      <c r="J1034" s="3">
        <v>90</v>
      </c>
      <c r="K1034" s="3">
        <v>105</v>
      </c>
      <c r="L1034" s="3">
        <v>80</v>
      </c>
      <c r="M1034" s="3">
        <v>91</v>
      </c>
      <c r="N1034" s="3">
        <f>AVERAGE($I$2:$I$1168)</f>
        <v>78.907455012853475</v>
      </c>
      <c r="O1034" s="3" t="str">
        <f>CONCATENATE(A1034,"-",B1034)</f>
        <v>645,1-Landorus- Therian Forme</v>
      </c>
    </row>
    <row r="1035" spans="1:15">
      <c r="A1035" s="63">
        <v>645.1</v>
      </c>
      <c r="B1035" s="2" t="s">
        <v>723</v>
      </c>
      <c r="C1035" t="s">
        <v>25</v>
      </c>
      <c r="D1035" s="22">
        <f>COUNTIF($C$2:$C$1168,Tabela1[[#This Row],[Type]])</f>
        <v>100</v>
      </c>
      <c r="E1035" s="62" t="str">
        <f>IF(A1035&lt;=151,"Kanto",IF(A1035&lt;=251,"Johto",IF(A1035&lt;=386,"Hoenn",IF(A1035&lt;=493,"Sinnoh",IF(A1035&lt;=649,"Unova",IF(A1035&lt;=721,"Kalos",IF(A1035&lt;=809,"Alola",IF(A1035&lt;=905,"Galar","Paldea"))))))))</f>
        <v>Unova</v>
      </c>
      <c r="F1035" t="str">
        <f>IF(G1035&gt;=600,"Lendário",IF(G1035&gt;=500,"Forte","Normal"))</f>
        <v>Lendário</v>
      </c>
      <c r="G1035" s="3">
        <f>G1034</f>
        <v>600</v>
      </c>
      <c r="H1035" s="3">
        <f>H1034</f>
        <v>89</v>
      </c>
      <c r="I1035" s="3">
        <f>I1034</f>
        <v>145</v>
      </c>
      <c r="J1035" s="3">
        <f>J1034</f>
        <v>90</v>
      </c>
      <c r="K1035" s="3">
        <f>K1034</f>
        <v>105</v>
      </c>
      <c r="L1035" s="3">
        <f>L1034</f>
        <v>80</v>
      </c>
      <c r="M1035" s="3">
        <f>M1034</f>
        <v>91</v>
      </c>
      <c r="N1035" s="3">
        <f>AVERAGE($I$2:$I$1168)</f>
        <v>78.907455012853475</v>
      </c>
      <c r="O1035" s="3" t="str">
        <f>CONCATENATE(A1035,"-",B1035)</f>
        <v>645,1-Landorus- Therian Forme</v>
      </c>
    </row>
    <row r="1036" spans="1:15">
      <c r="A1036" s="63">
        <v>646</v>
      </c>
      <c r="B1036" s="2" t="s">
        <v>724</v>
      </c>
      <c r="C1036" t="s">
        <v>27</v>
      </c>
      <c r="D1036" s="22">
        <f>COUNTIF($C$2:$C$1168,Tabela1[[#This Row],[Type]])</f>
        <v>44</v>
      </c>
      <c r="E1036" s="62" t="str">
        <f>IF(A1036&lt;=151,"Kanto",IF(A1036&lt;=251,"Johto",IF(A1036&lt;=386,"Hoenn",IF(A1036&lt;=493,"Sinnoh",IF(A1036&lt;=649,"Unova",IF(A1036&lt;=721,"Kalos",IF(A1036&lt;=809,"Alola",IF(A1036&lt;=905,"Galar","Paldea"))))))))</f>
        <v>Unova</v>
      </c>
      <c r="F1036" t="str">
        <f>IF(G1036&gt;=600,"Lendário",IF(G1036&gt;=500,"Forte","Normal"))</f>
        <v>Lendário</v>
      </c>
      <c r="G1036" s="3">
        <v>660</v>
      </c>
      <c r="H1036" s="3">
        <v>125</v>
      </c>
      <c r="I1036" s="3">
        <v>130</v>
      </c>
      <c r="J1036" s="3">
        <v>90</v>
      </c>
      <c r="K1036" s="3">
        <v>130</v>
      </c>
      <c r="L1036" s="3">
        <v>90</v>
      </c>
      <c r="M1036" s="3">
        <v>95</v>
      </c>
      <c r="N1036" s="3">
        <f>AVERAGE($I$2:$I$1168)</f>
        <v>78.907455012853475</v>
      </c>
      <c r="O1036" s="3" t="str">
        <f>CONCATENATE(A1036,"-",B1036)</f>
        <v>646-Kyurem</v>
      </c>
    </row>
    <row r="1037" spans="1:15">
      <c r="A1037" s="63">
        <v>646</v>
      </c>
      <c r="B1037" s="2" t="s">
        <v>724</v>
      </c>
      <c r="C1037" t="s">
        <v>122</v>
      </c>
      <c r="D1037" s="22">
        <f>COUNTIF($C$2:$C$1168,Tabela1[[#This Row],[Type]])</f>
        <v>37</v>
      </c>
      <c r="E1037" s="62" t="str">
        <f>IF(A1037&lt;=151,"Kanto",IF(A1037&lt;=251,"Johto",IF(A1037&lt;=386,"Hoenn",IF(A1037&lt;=493,"Sinnoh",IF(A1037&lt;=649,"Unova",IF(A1037&lt;=721,"Kalos",IF(A1037&lt;=809,"Alola",IF(A1037&lt;=905,"Galar","Paldea"))))))))</f>
        <v>Unova</v>
      </c>
      <c r="F1037" t="str">
        <f>IF(G1037&gt;=600,"Lendário",IF(G1037&gt;=500,"Forte","Normal"))</f>
        <v>Lendário</v>
      </c>
      <c r="G1037" s="3">
        <f>G1036</f>
        <v>660</v>
      </c>
      <c r="H1037" s="3">
        <f>H1036</f>
        <v>125</v>
      </c>
      <c r="I1037" s="3">
        <f>I1036</f>
        <v>130</v>
      </c>
      <c r="J1037" s="3">
        <f>J1036</f>
        <v>90</v>
      </c>
      <c r="K1037" s="3">
        <f>K1036</f>
        <v>130</v>
      </c>
      <c r="L1037" s="3">
        <f>L1036</f>
        <v>90</v>
      </c>
      <c r="M1037" s="3">
        <f>M1036</f>
        <v>95</v>
      </c>
      <c r="N1037" s="3">
        <f>AVERAGE($I$2:$I$1168)</f>
        <v>78.907455012853475</v>
      </c>
      <c r="O1037" s="3" t="str">
        <f>CONCATENATE(A1037,"-",B1037)</f>
        <v>646-Kyurem</v>
      </c>
    </row>
    <row r="1038" spans="1:15">
      <c r="A1038" s="63">
        <v>646.1</v>
      </c>
      <c r="B1038" s="2" t="s">
        <v>725</v>
      </c>
      <c r="C1038" t="s">
        <v>27</v>
      </c>
      <c r="D1038" s="22">
        <f>COUNTIF($C$2:$C$1168,Tabela1[[#This Row],[Type]])</f>
        <v>44</v>
      </c>
      <c r="E1038" s="62" t="str">
        <f>IF(A1038&lt;=151,"Kanto",IF(A1038&lt;=251,"Johto",IF(A1038&lt;=386,"Hoenn",IF(A1038&lt;=493,"Sinnoh",IF(A1038&lt;=649,"Unova",IF(A1038&lt;=721,"Kalos",IF(A1038&lt;=809,"Alola",IF(A1038&lt;=905,"Galar","Paldea"))))))))</f>
        <v>Unova</v>
      </c>
      <c r="F1038" t="str">
        <f>IF(G1038&gt;=600,"Lendário",IF(G1038&gt;=500,"Forte","Normal"))</f>
        <v>Lendário</v>
      </c>
      <c r="G1038" s="3">
        <v>700</v>
      </c>
      <c r="H1038" s="3">
        <v>125</v>
      </c>
      <c r="I1038" s="3">
        <v>120</v>
      </c>
      <c r="J1038" s="3">
        <v>90</v>
      </c>
      <c r="K1038" s="3">
        <v>170</v>
      </c>
      <c r="L1038" s="3">
        <v>100</v>
      </c>
      <c r="M1038" s="3">
        <v>95</v>
      </c>
      <c r="N1038" s="3">
        <f>AVERAGE($I$2:$I$1168)</f>
        <v>78.907455012853475</v>
      </c>
      <c r="O1038" s="3" t="str">
        <f>CONCATENATE(A1038,"-",B1038)</f>
        <v>646,1-White Kyurem</v>
      </c>
    </row>
    <row r="1039" spans="1:15">
      <c r="A1039" s="63">
        <v>646.1</v>
      </c>
      <c r="B1039" s="2" t="s">
        <v>725</v>
      </c>
      <c r="C1039" t="s">
        <v>122</v>
      </c>
      <c r="D1039" s="22">
        <f>COUNTIF($C$2:$C$1168,Tabela1[[#This Row],[Type]])</f>
        <v>37</v>
      </c>
      <c r="E1039" s="62" t="str">
        <f>IF(A1039&lt;=151,"Kanto",IF(A1039&lt;=251,"Johto",IF(A1039&lt;=386,"Hoenn",IF(A1039&lt;=493,"Sinnoh",IF(A1039&lt;=649,"Unova",IF(A1039&lt;=721,"Kalos",IF(A1039&lt;=809,"Alola",IF(A1039&lt;=905,"Galar","Paldea"))))))))</f>
        <v>Unova</v>
      </c>
      <c r="F1039" t="str">
        <f>IF(G1039&gt;=600,"Lendário",IF(G1039&gt;=500,"Forte","Normal"))</f>
        <v>Lendário</v>
      </c>
      <c r="G1039" s="3">
        <f>G1038</f>
        <v>700</v>
      </c>
      <c r="H1039" s="3">
        <f>H1038</f>
        <v>125</v>
      </c>
      <c r="I1039" s="3">
        <f>I1038</f>
        <v>120</v>
      </c>
      <c r="J1039" s="3">
        <f>J1038</f>
        <v>90</v>
      </c>
      <c r="K1039" s="3">
        <f>K1038</f>
        <v>170</v>
      </c>
      <c r="L1039" s="3">
        <f>L1038</f>
        <v>100</v>
      </c>
      <c r="M1039" s="3">
        <f>M1038</f>
        <v>95</v>
      </c>
      <c r="N1039" s="3">
        <f>AVERAGE($I$2:$I$1168)</f>
        <v>78.907455012853475</v>
      </c>
      <c r="O1039" s="3" t="str">
        <f>CONCATENATE(A1039,"-",B1039)</f>
        <v>646,1-White Kyurem</v>
      </c>
    </row>
    <row r="1040" spans="1:15">
      <c r="A1040" s="63">
        <v>646.20000000000005</v>
      </c>
      <c r="B1040" s="2" t="s">
        <v>726</v>
      </c>
      <c r="C1040" t="s">
        <v>27</v>
      </c>
      <c r="D1040" s="22">
        <f>COUNTIF($C$2:$C$1168,Tabela1[[#This Row],[Type]])</f>
        <v>44</v>
      </c>
      <c r="E1040" s="62" t="str">
        <f>IF(A1040&lt;=151,"Kanto",IF(A1040&lt;=251,"Johto",IF(A1040&lt;=386,"Hoenn",IF(A1040&lt;=493,"Sinnoh",IF(A1040&lt;=649,"Unova",IF(A1040&lt;=721,"Kalos",IF(A1040&lt;=809,"Alola",IF(A1040&lt;=905,"Galar","Paldea"))))))))</f>
        <v>Unova</v>
      </c>
      <c r="F1040" t="str">
        <f>IF(G1040&gt;=600,"Lendário",IF(G1040&gt;=500,"Forte","Normal"))</f>
        <v>Lendário</v>
      </c>
      <c r="G1040" s="3">
        <v>700</v>
      </c>
      <c r="H1040" s="3">
        <v>125</v>
      </c>
      <c r="I1040" s="3">
        <v>170</v>
      </c>
      <c r="J1040" s="3">
        <v>100</v>
      </c>
      <c r="K1040" s="3">
        <v>120</v>
      </c>
      <c r="L1040" s="3">
        <v>90</v>
      </c>
      <c r="M1040" s="3">
        <v>95</v>
      </c>
      <c r="N1040" s="3">
        <f>AVERAGE($I$2:$I$1168)</f>
        <v>78.907455012853475</v>
      </c>
      <c r="O1040" s="3" t="str">
        <f>CONCATENATE(A1040,"-",B1040)</f>
        <v>646,2-Black Kyurem</v>
      </c>
    </row>
    <row r="1041" spans="1:15">
      <c r="A1041" s="63">
        <v>646.29999999999995</v>
      </c>
      <c r="B1041" s="2" t="s">
        <v>726</v>
      </c>
      <c r="C1041" t="s">
        <v>122</v>
      </c>
      <c r="D1041" s="22">
        <f>COUNTIF($C$2:$C$1168,Tabela1[[#This Row],[Type]])</f>
        <v>37</v>
      </c>
      <c r="E1041" s="62" t="str">
        <f>IF(A1041&lt;=151,"Kanto",IF(A1041&lt;=251,"Johto",IF(A1041&lt;=386,"Hoenn",IF(A1041&lt;=493,"Sinnoh",IF(A1041&lt;=649,"Unova",IF(A1041&lt;=721,"Kalos",IF(A1041&lt;=809,"Alola",IF(A1041&lt;=905,"Galar","Paldea"))))))))</f>
        <v>Unova</v>
      </c>
      <c r="F1041" t="str">
        <f>IF(G1041&gt;=600,"Lendário",IF(G1041&gt;=500,"Forte","Normal"))</f>
        <v>Lendário</v>
      </c>
      <c r="G1041" s="3">
        <f>G1040</f>
        <v>700</v>
      </c>
      <c r="H1041" s="3">
        <f>H1040</f>
        <v>125</v>
      </c>
      <c r="I1041" s="3">
        <f>I1040</f>
        <v>170</v>
      </c>
      <c r="J1041" s="3">
        <f>J1040</f>
        <v>100</v>
      </c>
      <c r="K1041" s="3">
        <f>K1040</f>
        <v>120</v>
      </c>
      <c r="L1041" s="3">
        <f>L1040</f>
        <v>90</v>
      </c>
      <c r="M1041" s="3">
        <f>M1040</f>
        <v>95</v>
      </c>
      <c r="N1041" s="3">
        <f>AVERAGE($I$2:$I$1168)</f>
        <v>78.907455012853475</v>
      </c>
      <c r="O1041" s="3" t="str">
        <f>CONCATENATE(A1041,"-",B1041)</f>
        <v>646,3-Black Kyurem</v>
      </c>
    </row>
    <row r="1042" spans="1:15">
      <c r="A1042" s="63">
        <v>647</v>
      </c>
      <c r="B1042" s="2" t="s">
        <v>727</v>
      </c>
      <c r="C1042" t="s">
        <v>30</v>
      </c>
      <c r="D1042" s="22">
        <f>COUNTIF($C$2:$C$1168,Tabela1[[#This Row],[Type]])</f>
        <v>121</v>
      </c>
      <c r="E1042" s="62" t="str">
        <f>IF(A1042&lt;=151,"Kanto",IF(A1042&lt;=251,"Johto",IF(A1042&lt;=386,"Hoenn",IF(A1042&lt;=493,"Sinnoh",IF(A1042&lt;=649,"Unova",IF(A1042&lt;=721,"Kalos",IF(A1042&lt;=809,"Alola",IF(A1042&lt;=905,"Galar","Paldea"))))))))</f>
        <v>Unova</v>
      </c>
      <c r="F1042" t="str">
        <f>IF(G1042&gt;=600,"Lendário",IF(G1042&gt;=500,"Forte","Normal"))</f>
        <v>Forte</v>
      </c>
      <c r="G1042" s="3">
        <v>580</v>
      </c>
      <c r="H1042" s="3">
        <v>91</v>
      </c>
      <c r="I1042" s="3">
        <v>72</v>
      </c>
      <c r="J1042" s="3">
        <v>90</v>
      </c>
      <c r="K1042" s="3">
        <v>129</v>
      </c>
      <c r="L1042" s="3">
        <v>90</v>
      </c>
      <c r="M1042" s="3">
        <v>108</v>
      </c>
      <c r="N1042" s="3">
        <f>AVERAGE($I$2:$I$1168)</f>
        <v>78.907455012853475</v>
      </c>
      <c r="O1042" s="3" t="str">
        <f>CONCATENATE(A1042,"-",B1042)</f>
        <v>647-Keldeo- Ordinary Forme</v>
      </c>
    </row>
    <row r="1043" spans="1:15">
      <c r="A1043" s="63">
        <v>647</v>
      </c>
      <c r="B1043" s="2" t="s">
        <v>727</v>
      </c>
      <c r="C1043" t="s">
        <v>86</v>
      </c>
      <c r="D1043" s="22">
        <f>COUNTIF($C$2:$C$1168,Tabela1[[#This Row],[Type]])</f>
        <v>51</v>
      </c>
      <c r="E1043" s="62" t="str">
        <f>IF(A1043&lt;=151,"Kanto",IF(A1043&lt;=251,"Johto",IF(A1043&lt;=386,"Hoenn",IF(A1043&lt;=493,"Sinnoh",IF(A1043&lt;=649,"Unova",IF(A1043&lt;=721,"Kalos",IF(A1043&lt;=809,"Alola",IF(A1043&lt;=905,"Galar","Paldea"))))))))</f>
        <v>Unova</v>
      </c>
      <c r="F1043" t="str">
        <f>IF(G1043&gt;=600,"Lendário",IF(G1043&gt;=500,"Forte","Normal"))</f>
        <v>Forte</v>
      </c>
      <c r="G1043" s="3">
        <f>G1042</f>
        <v>580</v>
      </c>
      <c r="H1043" s="3">
        <f>H1042</f>
        <v>91</v>
      </c>
      <c r="I1043" s="3">
        <f>I1042</f>
        <v>72</v>
      </c>
      <c r="J1043" s="3">
        <f>J1042</f>
        <v>90</v>
      </c>
      <c r="K1043" s="3">
        <f>K1042</f>
        <v>129</v>
      </c>
      <c r="L1043" s="3">
        <f>L1042</f>
        <v>90</v>
      </c>
      <c r="M1043" s="3">
        <f>M1042</f>
        <v>108</v>
      </c>
      <c r="N1043" s="3">
        <f>AVERAGE($I$2:$I$1168)</f>
        <v>78.907455012853475</v>
      </c>
      <c r="O1043" s="3" t="str">
        <f>CONCATENATE(A1043,"-",B1043)</f>
        <v>647-Keldeo- Ordinary Forme</v>
      </c>
    </row>
    <row r="1044" spans="1:15">
      <c r="A1044" s="63">
        <v>647.1</v>
      </c>
      <c r="B1044" s="2" t="s">
        <v>728</v>
      </c>
      <c r="C1044" t="s">
        <v>30</v>
      </c>
      <c r="D1044" s="22">
        <f>COUNTIF($C$2:$C$1168,Tabela1[[#This Row],[Type]])</f>
        <v>121</v>
      </c>
      <c r="E1044" s="62" t="str">
        <f>IF(A1044&lt;=151,"Kanto",IF(A1044&lt;=251,"Johto",IF(A1044&lt;=386,"Hoenn",IF(A1044&lt;=493,"Sinnoh",IF(A1044&lt;=649,"Unova",IF(A1044&lt;=721,"Kalos",IF(A1044&lt;=809,"Alola",IF(A1044&lt;=905,"Galar","Paldea"))))))))</f>
        <v>Unova</v>
      </c>
      <c r="F1044" t="str">
        <f>IF(G1044&gt;=600,"Lendário",IF(G1044&gt;=500,"Forte","Normal"))</f>
        <v>Forte</v>
      </c>
      <c r="G1044" s="3">
        <v>580</v>
      </c>
      <c r="H1044" s="3">
        <v>91</v>
      </c>
      <c r="I1044" s="3">
        <v>72</v>
      </c>
      <c r="J1044" s="3">
        <v>90</v>
      </c>
      <c r="K1044" s="3">
        <v>129</v>
      </c>
      <c r="L1044" s="3">
        <v>90</v>
      </c>
      <c r="M1044" s="3">
        <v>108</v>
      </c>
      <c r="N1044" s="3">
        <f>AVERAGE($I$2:$I$1168)</f>
        <v>78.907455012853475</v>
      </c>
      <c r="O1044" s="3" t="str">
        <f>CONCATENATE(A1044,"-",B1044)</f>
        <v>647,1-Keldeo- Resolute Forme</v>
      </c>
    </row>
    <row r="1045" spans="1:15">
      <c r="A1045" s="63">
        <v>647.1</v>
      </c>
      <c r="B1045" s="2" t="s">
        <v>728</v>
      </c>
      <c r="C1045" t="s">
        <v>86</v>
      </c>
      <c r="D1045" s="22">
        <f>COUNTIF($C$2:$C$1168,Tabela1[[#This Row],[Type]])</f>
        <v>51</v>
      </c>
      <c r="E1045" s="62" t="str">
        <f>IF(A1045&lt;=151,"Kanto",IF(A1045&lt;=251,"Johto",IF(A1045&lt;=386,"Hoenn",IF(A1045&lt;=493,"Sinnoh",IF(A1045&lt;=649,"Unova",IF(A1045&lt;=721,"Kalos",IF(A1045&lt;=809,"Alola",IF(A1045&lt;=905,"Galar","Paldea"))))))))</f>
        <v>Unova</v>
      </c>
      <c r="F1045" t="str">
        <f>IF(G1045&gt;=600,"Lendário",IF(G1045&gt;=500,"Forte","Normal"))</f>
        <v>Forte</v>
      </c>
      <c r="G1045" s="3">
        <f>G1044</f>
        <v>580</v>
      </c>
      <c r="H1045" s="3">
        <f>H1044</f>
        <v>91</v>
      </c>
      <c r="I1045" s="3">
        <f>I1044</f>
        <v>72</v>
      </c>
      <c r="J1045" s="3">
        <f>J1044</f>
        <v>90</v>
      </c>
      <c r="K1045" s="3">
        <f>K1044</f>
        <v>129</v>
      </c>
      <c r="L1045" s="3">
        <f>L1044</f>
        <v>90</v>
      </c>
      <c r="M1045" s="3">
        <f>M1044</f>
        <v>108</v>
      </c>
      <c r="N1045" s="3">
        <f>AVERAGE($I$2:$I$1168)</f>
        <v>78.907455012853475</v>
      </c>
      <c r="O1045" s="3" t="str">
        <f>CONCATENATE(A1045,"-",B1045)</f>
        <v>647,1-Keldeo- Resolute Forme</v>
      </c>
    </row>
    <row r="1046" spans="1:15">
      <c r="A1046" s="63">
        <v>648</v>
      </c>
      <c r="B1046" s="2" t="s">
        <v>582</v>
      </c>
      <c r="C1046" t="s">
        <v>42</v>
      </c>
      <c r="D1046" s="22">
        <f>COUNTIF($C$2:$C$1168,Tabela1[[#This Row],[Type]])</f>
        <v>99</v>
      </c>
      <c r="E1046" s="62" t="str">
        <f>IF(A1046&lt;=151,"Kanto",IF(A1046&lt;=251,"Johto",IF(A1046&lt;=386,"Hoenn",IF(A1046&lt;=493,"Sinnoh",IF(A1046&lt;=649,"Unova",IF(A1046&lt;=721,"Kalos",IF(A1046&lt;=809,"Alola",IF(A1046&lt;=905,"Galar","Paldea"))))))))</f>
        <v>Unova</v>
      </c>
      <c r="F1046" t="str">
        <f>IF(G1046&gt;=600,"Lendário",IF(G1046&gt;=500,"Forte","Normal"))</f>
        <v>Lendário</v>
      </c>
      <c r="G1046" s="3">
        <v>600</v>
      </c>
      <c r="H1046" s="3">
        <v>100</v>
      </c>
      <c r="I1046" s="3">
        <v>77</v>
      </c>
      <c r="J1046" s="3">
        <v>77</v>
      </c>
      <c r="K1046" s="3">
        <v>128</v>
      </c>
      <c r="L1046" s="3">
        <v>128</v>
      </c>
      <c r="M1046" s="3">
        <v>90</v>
      </c>
      <c r="N1046" s="3">
        <f>AVERAGE($I$2:$I$1168)</f>
        <v>78.907455012853475</v>
      </c>
      <c r="O1046" s="3" t="str">
        <f>CONCATENATE(A1046,"-",B1046)</f>
        <v>648-Meloetta- Aria Forme</v>
      </c>
    </row>
    <row r="1047" spans="1:15">
      <c r="A1047" s="63">
        <v>648.1</v>
      </c>
      <c r="B1047" s="2" t="s">
        <v>389</v>
      </c>
      <c r="C1047" t="s">
        <v>42</v>
      </c>
      <c r="D1047" s="22">
        <f>COUNTIF($C$2:$C$1168,Tabela1[[#This Row],[Type]])</f>
        <v>99</v>
      </c>
      <c r="E1047" s="62" t="str">
        <f>IF(A1047&lt;=151,"Kanto",IF(A1047&lt;=251,"Johto",IF(A1047&lt;=386,"Hoenn",IF(A1047&lt;=493,"Sinnoh",IF(A1047&lt;=649,"Unova",IF(A1047&lt;=721,"Kalos",IF(A1047&lt;=809,"Alola",IF(A1047&lt;=905,"Galar","Paldea"))))))))</f>
        <v>Unova</v>
      </c>
      <c r="F1047" t="str">
        <f>IF(G1047&gt;=600,"Lendário",IF(G1047&gt;=500,"Forte","Normal"))</f>
        <v>Lendário</v>
      </c>
      <c r="G1047" s="3">
        <v>600</v>
      </c>
      <c r="H1047" s="3">
        <v>100</v>
      </c>
      <c r="I1047" s="3">
        <v>128</v>
      </c>
      <c r="J1047" s="3">
        <v>90</v>
      </c>
      <c r="K1047" s="3">
        <v>77</v>
      </c>
      <c r="L1047" s="3">
        <v>77</v>
      </c>
      <c r="M1047" s="3">
        <v>128</v>
      </c>
      <c r="N1047" s="3">
        <f>AVERAGE($I$2:$I$1168)</f>
        <v>78.907455012853475</v>
      </c>
      <c r="O1047" s="3" t="str">
        <f>CONCATENATE(A1047,"-",B1047)</f>
        <v>648,1-Meloetta- Pirouette Forme</v>
      </c>
    </row>
    <row r="1048" spans="1:15">
      <c r="A1048" s="63">
        <v>648.1</v>
      </c>
      <c r="B1048" s="2" t="str">
        <f>B1047</f>
        <v>Meloetta- Pirouette Forme</v>
      </c>
      <c r="C1048" t="s">
        <v>25</v>
      </c>
      <c r="D1048" s="22">
        <f>COUNTIF($C$2:$C$1168,Tabela1[[#This Row],[Type]])</f>
        <v>100</v>
      </c>
      <c r="E1048" s="62" t="str">
        <f>IF(A1048&lt;=151,"Kanto",IF(A1048&lt;=251,"Johto",IF(A1048&lt;=386,"Hoenn",IF(A1048&lt;=493,"Sinnoh",IF(A1048&lt;=649,"Unova",IF(A1048&lt;=721,"Kalos",IF(A1048&lt;=809,"Alola",IF(A1048&lt;=905,"Galar","Paldea"))))))))</f>
        <v>Unova</v>
      </c>
      <c r="F1048" t="str">
        <f>IF(G1048&gt;=600,"Lendário",IF(G1048&gt;=500,"Forte","Normal"))</f>
        <v>Lendário</v>
      </c>
      <c r="G1048" s="3">
        <f>G1047</f>
        <v>600</v>
      </c>
      <c r="H1048" s="3">
        <f>H1047</f>
        <v>100</v>
      </c>
      <c r="I1048" s="3">
        <f>I1047</f>
        <v>128</v>
      </c>
      <c r="J1048" s="3">
        <f>J1047</f>
        <v>90</v>
      </c>
      <c r="K1048" s="3">
        <f>K1047</f>
        <v>77</v>
      </c>
      <c r="L1048" s="3">
        <f>L1047</f>
        <v>77</v>
      </c>
      <c r="M1048" s="3">
        <f>M1047</f>
        <v>128</v>
      </c>
      <c r="N1048" s="3">
        <f>AVERAGE($I$2:$I$1168)</f>
        <v>78.907455012853475</v>
      </c>
      <c r="O1048" s="3" t="str">
        <f>CONCATENATE(A1048,"-",B1048)</f>
        <v>648,1-Meloetta- Pirouette Forme</v>
      </c>
    </row>
    <row r="1049" spans="1:15">
      <c r="A1049" s="63">
        <v>649</v>
      </c>
      <c r="B1049" s="2" t="s">
        <v>729</v>
      </c>
      <c r="C1049" t="s">
        <v>35</v>
      </c>
      <c r="D1049" s="22">
        <f>COUNTIF($C$2:$C$1168,Tabela1[[#This Row],[Type]])</f>
        <v>71</v>
      </c>
      <c r="E1049" s="62" t="str">
        <f>IF(A1049&lt;=151,"Kanto",IF(A1049&lt;=251,"Johto",IF(A1049&lt;=386,"Hoenn",IF(A1049&lt;=493,"Sinnoh",IF(A1049&lt;=649,"Unova",IF(A1049&lt;=721,"Kalos",IF(A1049&lt;=809,"Alola",IF(A1049&lt;=905,"Galar","Paldea"))))))))</f>
        <v>Unova</v>
      </c>
      <c r="F1049" t="str">
        <f>IF(G1049&gt;=600,"Lendário",IF(G1049&gt;=500,"Forte","Normal"))</f>
        <v>Lendário</v>
      </c>
      <c r="G1049" s="3">
        <v>600</v>
      </c>
      <c r="H1049" s="3">
        <v>71</v>
      </c>
      <c r="I1049" s="3">
        <v>120</v>
      </c>
      <c r="J1049" s="3">
        <v>95</v>
      </c>
      <c r="K1049" s="3">
        <v>120</v>
      </c>
      <c r="L1049" s="3">
        <v>95</v>
      </c>
      <c r="M1049" s="3">
        <v>99</v>
      </c>
      <c r="N1049" s="3">
        <f>AVERAGE($I$2:$I$1168)</f>
        <v>78.907455012853475</v>
      </c>
      <c r="O1049" s="3" t="str">
        <f>CONCATENATE(A1049,"-",B1049)</f>
        <v>649-Genesect</v>
      </c>
    </row>
    <row r="1050" spans="1:15">
      <c r="A1050" s="63">
        <v>649</v>
      </c>
      <c r="B1050" s="2" t="str">
        <f>B1049</f>
        <v>Genesect</v>
      </c>
      <c r="C1050" t="s">
        <v>115</v>
      </c>
      <c r="D1050" s="22">
        <f>COUNTIF($C$2:$C$1168,Tabela1[[#This Row],[Type]])</f>
        <v>48</v>
      </c>
      <c r="E1050" s="62" t="str">
        <f>IF(A1050&lt;=151,"Kanto",IF(A1050&lt;=251,"Johto",IF(A1050&lt;=386,"Hoenn",IF(A1050&lt;=493,"Sinnoh",IF(A1050&lt;=649,"Unova",IF(A1050&lt;=721,"Kalos",IF(A1050&lt;=809,"Alola",IF(A1050&lt;=905,"Galar","Paldea"))))))))</f>
        <v>Unova</v>
      </c>
      <c r="F1050" t="str">
        <f>IF(G1050&gt;=600,"Lendário",IF(G1050&gt;=500,"Forte","Normal"))</f>
        <v>Lendário</v>
      </c>
      <c r="G1050" s="3">
        <f>G1049</f>
        <v>600</v>
      </c>
      <c r="H1050" s="3">
        <f>H1049</f>
        <v>71</v>
      </c>
      <c r="I1050" s="3">
        <f>I1049</f>
        <v>120</v>
      </c>
      <c r="J1050" s="3">
        <f>J1049</f>
        <v>95</v>
      </c>
      <c r="K1050" s="3">
        <f>K1049</f>
        <v>120</v>
      </c>
      <c r="L1050" s="3">
        <f>L1049</f>
        <v>95</v>
      </c>
      <c r="M1050" s="3">
        <f>M1049</f>
        <v>99</v>
      </c>
      <c r="N1050" s="3">
        <f>AVERAGE($I$2:$I$1168)</f>
        <v>78.907455012853475</v>
      </c>
      <c r="O1050" s="3" t="str">
        <f>CONCATENATE(A1050,"-",B1050)</f>
        <v>649-Genesect</v>
      </c>
    </row>
    <row r="1051" spans="1:15">
      <c r="A1051" s="63">
        <v>650</v>
      </c>
      <c r="B1051" s="2" t="s">
        <v>730</v>
      </c>
      <c r="C1051" t="s">
        <v>16</v>
      </c>
      <c r="D1051" s="22">
        <f>COUNTIF($C$2:$C$1168,Tabela1[[#This Row],[Type]])</f>
        <v>93</v>
      </c>
      <c r="E1051" s="62" t="str">
        <f>IF(A1051&lt;=151,"Kanto",IF(A1051&lt;=251,"Johto",IF(A1051&lt;=386,"Hoenn",IF(A1051&lt;=493,"Sinnoh",IF(A1051&lt;=649,"Unova",IF(A1051&lt;=721,"Kalos",IF(A1051&lt;=809,"Alola",IF(A1051&lt;=905,"Galar","Paldea"))))))))</f>
        <v>Kalos</v>
      </c>
      <c r="F1051" t="str">
        <f>IF(G1051&gt;=600,"Lendário",IF(G1051&gt;=500,"Forte","Normal"))</f>
        <v>Normal</v>
      </c>
      <c r="G1051" s="3">
        <v>313</v>
      </c>
      <c r="H1051" s="3">
        <v>56</v>
      </c>
      <c r="I1051" s="3">
        <v>61</v>
      </c>
      <c r="J1051" s="3">
        <v>65</v>
      </c>
      <c r="K1051" s="3">
        <v>48</v>
      </c>
      <c r="L1051" s="3">
        <v>45</v>
      </c>
      <c r="M1051" s="3">
        <v>38</v>
      </c>
      <c r="N1051" s="3">
        <f>AVERAGE($I$2:$I$1168)</f>
        <v>78.907455012853475</v>
      </c>
      <c r="O1051" s="3" t="str">
        <f>CONCATENATE(A1051,"-",B1051)</f>
        <v>650-Chespin</v>
      </c>
    </row>
    <row r="1052" spans="1:15">
      <c r="A1052" s="63">
        <v>651</v>
      </c>
      <c r="B1052" s="2" t="s">
        <v>731</v>
      </c>
      <c r="C1052" t="s">
        <v>16</v>
      </c>
      <c r="D1052" s="22">
        <f>COUNTIF($C$2:$C$1168,Tabela1[[#This Row],[Type]])</f>
        <v>93</v>
      </c>
      <c r="E1052" s="62" t="str">
        <f>IF(A1052&lt;=151,"Kanto",IF(A1052&lt;=251,"Johto",IF(A1052&lt;=386,"Hoenn",IF(A1052&lt;=493,"Sinnoh",IF(A1052&lt;=649,"Unova",IF(A1052&lt;=721,"Kalos",IF(A1052&lt;=809,"Alola",IF(A1052&lt;=905,"Galar","Paldea"))))))))</f>
        <v>Kalos</v>
      </c>
      <c r="F1052" t="str">
        <f>IF(G1052&gt;=600,"Lendário",IF(G1052&gt;=500,"Forte","Normal"))</f>
        <v>Normal</v>
      </c>
      <c r="G1052" s="3">
        <v>405</v>
      </c>
      <c r="H1052" s="3">
        <v>61</v>
      </c>
      <c r="I1052" s="3">
        <v>78</v>
      </c>
      <c r="J1052" s="3">
        <v>95</v>
      </c>
      <c r="K1052" s="3">
        <v>56</v>
      </c>
      <c r="L1052" s="3">
        <v>58</v>
      </c>
      <c r="M1052" s="3">
        <v>57</v>
      </c>
      <c r="N1052" s="3">
        <f>AVERAGE($I$2:$I$1168)</f>
        <v>78.907455012853475</v>
      </c>
      <c r="O1052" s="3" t="str">
        <f>CONCATENATE(A1052,"-",B1052)</f>
        <v>651-Quilladin</v>
      </c>
    </row>
    <row r="1053" spans="1:15">
      <c r="A1053" s="63">
        <v>652</v>
      </c>
      <c r="B1053" s="2" t="s">
        <v>732</v>
      </c>
      <c r="C1053" t="s">
        <v>16</v>
      </c>
      <c r="D1053" s="22">
        <f>COUNTIF($C$2:$C$1168,Tabela1[[#This Row],[Type]])</f>
        <v>93</v>
      </c>
      <c r="E1053" s="62" t="str">
        <f>IF(A1053&lt;=151,"Kanto",IF(A1053&lt;=251,"Johto",IF(A1053&lt;=386,"Hoenn",IF(A1053&lt;=493,"Sinnoh",IF(A1053&lt;=649,"Unova",IF(A1053&lt;=721,"Kalos",IF(A1053&lt;=809,"Alola",IF(A1053&lt;=905,"Galar","Paldea"))))))))</f>
        <v>Kalos</v>
      </c>
      <c r="F1053" t="str">
        <f>IF(G1053&gt;=600,"Lendário",IF(G1053&gt;=500,"Forte","Normal"))</f>
        <v>Forte</v>
      </c>
      <c r="G1053" s="3">
        <v>530</v>
      </c>
      <c r="H1053" s="3">
        <v>88</v>
      </c>
      <c r="I1053" s="3">
        <v>107</v>
      </c>
      <c r="J1053" s="3">
        <v>122</v>
      </c>
      <c r="K1053" s="3">
        <v>74</v>
      </c>
      <c r="L1053" s="3">
        <v>75</v>
      </c>
      <c r="M1053" s="3">
        <v>64</v>
      </c>
      <c r="N1053" s="3">
        <f>AVERAGE($I$2:$I$1168)</f>
        <v>78.907455012853475</v>
      </c>
      <c r="O1053" s="3" t="str">
        <f>CONCATENATE(A1053,"-",B1053)</f>
        <v>652-Chesnaught</v>
      </c>
    </row>
    <row r="1054" spans="1:15">
      <c r="A1054" s="63">
        <v>652</v>
      </c>
      <c r="B1054" s="2" t="str">
        <f>B1053</f>
        <v>Chesnaught</v>
      </c>
      <c r="C1054" t="s">
        <v>86</v>
      </c>
      <c r="D1054" s="22">
        <f>COUNTIF($C$2:$C$1168,Tabela1[[#This Row],[Type]])</f>
        <v>51</v>
      </c>
      <c r="E1054" s="62" t="str">
        <f>IF(A1054&lt;=151,"Kanto",IF(A1054&lt;=251,"Johto",IF(A1054&lt;=386,"Hoenn",IF(A1054&lt;=493,"Sinnoh",IF(A1054&lt;=649,"Unova",IF(A1054&lt;=721,"Kalos",IF(A1054&lt;=809,"Alola",IF(A1054&lt;=905,"Galar","Paldea"))))))))</f>
        <v>Kalos</v>
      </c>
      <c r="F1054" t="str">
        <f>IF(G1054&gt;=600,"Lendário",IF(G1054&gt;=500,"Forte","Normal"))</f>
        <v>Forte</v>
      </c>
      <c r="G1054" s="3">
        <f>G1053</f>
        <v>530</v>
      </c>
      <c r="H1054" s="3">
        <f>H1053</f>
        <v>88</v>
      </c>
      <c r="I1054" s="3">
        <f>I1053</f>
        <v>107</v>
      </c>
      <c r="J1054" s="3">
        <f>J1053</f>
        <v>122</v>
      </c>
      <c r="K1054" s="3">
        <f>K1053</f>
        <v>74</v>
      </c>
      <c r="L1054" s="3">
        <f>L1053</f>
        <v>75</v>
      </c>
      <c r="M1054" s="3">
        <f>M1053</f>
        <v>64</v>
      </c>
      <c r="N1054" s="3">
        <f>AVERAGE($I$2:$I$1168)</f>
        <v>78.907455012853475</v>
      </c>
      <c r="O1054" s="3" t="str">
        <f>CONCATENATE(A1054,"-",B1054)</f>
        <v>652-Chesnaught</v>
      </c>
    </row>
    <row r="1055" spans="1:15">
      <c r="A1055" s="63">
        <v>653</v>
      </c>
      <c r="B1055" s="2" t="s">
        <v>733</v>
      </c>
      <c r="C1055" t="s">
        <v>22</v>
      </c>
      <c r="D1055" s="22">
        <f>COUNTIF($C$2:$C$1168,Tabela1[[#This Row],[Type]])</f>
        <v>62</v>
      </c>
      <c r="E1055" s="62" t="str">
        <f>IF(A1055&lt;=151,"Kanto",IF(A1055&lt;=251,"Johto",IF(A1055&lt;=386,"Hoenn",IF(A1055&lt;=493,"Sinnoh",IF(A1055&lt;=649,"Unova",IF(A1055&lt;=721,"Kalos",IF(A1055&lt;=809,"Alola",IF(A1055&lt;=905,"Galar","Paldea"))))))))</f>
        <v>Kalos</v>
      </c>
      <c r="F1055" t="str">
        <f>IF(G1055&gt;=600,"Lendário",IF(G1055&gt;=500,"Forte","Normal"))</f>
        <v>Normal</v>
      </c>
      <c r="G1055" s="3">
        <v>307</v>
      </c>
      <c r="H1055" s="3">
        <v>40</v>
      </c>
      <c r="I1055" s="3">
        <v>45</v>
      </c>
      <c r="J1055" s="3">
        <v>40</v>
      </c>
      <c r="K1055" s="3">
        <v>62</v>
      </c>
      <c r="L1055" s="3">
        <v>60</v>
      </c>
      <c r="M1055" s="3">
        <v>60</v>
      </c>
      <c r="N1055" s="3">
        <f>AVERAGE($I$2:$I$1168)</f>
        <v>78.907455012853475</v>
      </c>
      <c r="O1055" s="3" t="str">
        <f>CONCATENATE(A1055,"-",B1055)</f>
        <v>653-Fennekin</v>
      </c>
    </row>
    <row r="1056" spans="1:15">
      <c r="A1056" s="63">
        <v>654</v>
      </c>
      <c r="B1056" s="2" t="s">
        <v>734</v>
      </c>
      <c r="C1056" t="s">
        <v>22</v>
      </c>
      <c r="D1056" s="22">
        <f>COUNTIF($C$2:$C$1168,Tabela1[[#This Row],[Type]])</f>
        <v>62</v>
      </c>
      <c r="E1056" s="62" t="str">
        <f>IF(A1056&lt;=151,"Kanto",IF(A1056&lt;=251,"Johto",IF(A1056&lt;=386,"Hoenn",IF(A1056&lt;=493,"Sinnoh",IF(A1056&lt;=649,"Unova",IF(A1056&lt;=721,"Kalos",IF(A1056&lt;=809,"Alola",IF(A1056&lt;=905,"Galar","Paldea"))))))))</f>
        <v>Kalos</v>
      </c>
      <c r="F1056" t="str">
        <f>IF(G1056&gt;=600,"Lendário",IF(G1056&gt;=500,"Forte","Normal"))</f>
        <v>Normal</v>
      </c>
      <c r="G1056" s="3">
        <v>409</v>
      </c>
      <c r="H1056" s="3">
        <v>59</v>
      </c>
      <c r="I1056" s="3">
        <v>59</v>
      </c>
      <c r="J1056" s="3">
        <v>58</v>
      </c>
      <c r="K1056" s="3">
        <v>90</v>
      </c>
      <c r="L1056" s="3">
        <v>70</v>
      </c>
      <c r="M1056" s="3">
        <v>73</v>
      </c>
      <c r="N1056" s="3">
        <f>AVERAGE($I$2:$I$1168)</f>
        <v>78.907455012853475</v>
      </c>
      <c r="O1056" s="3" t="str">
        <f>CONCATENATE(A1056,"-",B1056)</f>
        <v>654-Braixen</v>
      </c>
    </row>
    <row r="1057" spans="1:15">
      <c r="A1057" s="63">
        <v>655</v>
      </c>
      <c r="B1057" s="2" t="s">
        <v>735</v>
      </c>
      <c r="C1057" t="s">
        <v>22</v>
      </c>
      <c r="D1057" s="22">
        <f>COUNTIF($C$2:$C$1168,Tabela1[[#This Row],[Type]])</f>
        <v>62</v>
      </c>
      <c r="E1057" s="62" t="str">
        <f>IF(A1057&lt;=151,"Kanto",IF(A1057&lt;=251,"Johto",IF(A1057&lt;=386,"Hoenn",IF(A1057&lt;=493,"Sinnoh",IF(A1057&lt;=649,"Unova",IF(A1057&lt;=721,"Kalos",IF(A1057&lt;=809,"Alola",IF(A1057&lt;=905,"Galar","Paldea"))))))))</f>
        <v>Kalos</v>
      </c>
      <c r="F1057" t="str">
        <f>IF(G1057&gt;=600,"Lendário",IF(G1057&gt;=500,"Forte","Normal"))</f>
        <v>Forte</v>
      </c>
      <c r="G1057" s="3">
        <v>534</v>
      </c>
      <c r="H1057" s="3">
        <v>75</v>
      </c>
      <c r="I1057" s="3">
        <v>69</v>
      </c>
      <c r="J1057" s="3">
        <v>72</v>
      </c>
      <c r="K1057" s="3">
        <v>114</v>
      </c>
      <c r="L1057" s="3">
        <v>100</v>
      </c>
      <c r="M1057" s="3">
        <v>104</v>
      </c>
      <c r="N1057" s="3">
        <f>AVERAGE($I$2:$I$1168)</f>
        <v>78.907455012853475</v>
      </c>
      <c r="O1057" s="3" t="str">
        <f>CONCATENATE(A1057,"-",B1057)</f>
        <v>655-Delphox</v>
      </c>
    </row>
    <row r="1058" spans="1:15">
      <c r="A1058" s="63">
        <v>655</v>
      </c>
      <c r="B1058" s="2" t="str">
        <f>B1057</f>
        <v>Delphox</v>
      </c>
      <c r="C1058" t="s">
        <v>94</v>
      </c>
      <c r="D1058" s="22">
        <f>COUNTIF($C$2:$C$1168,Tabela1[[#This Row],[Type]])</f>
        <v>83</v>
      </c>
      <c r="E1058" s="62" t="str">
        <f>IF(A1058&lt;=151,"Kanto",IF(A1058&lt;=251,"Johto",IF(A1058&lt;=386,"Hoenn",IF(A1058&lt;=493,"Sinnoh",IF(A1058&lt;=649,"Unova",IF(A1058&lt;=721,"Kalos",IF(A1058&lt;=809,"Alola",IF(A1058&lt;=905,"Galar","Paldea"))))))))</f>
        <v>Kalos</v>
      </c>
      <c r="F1058" t="str">
        <f>IF(G1058&gt;=600,"Lendário",IF(G1058&gt;=500,"Forte","Normal"))</f>
        <v>Forte</v>
      </c>
      <c r="G1058" s="3">
        <f>G1057</f>
        <v>534</v>
      </c>
      <c r="H1058" s="3">
        <f>H1057</f>
        <v>75</v>
      </c>
      <c r="I1058" s="3">
        <f>I1057</f>
        <v>69</v>
      </c>
      <c r="J1058" s="3">
        <f>J1057</f>
        <v>72</v>
      </c>
      <c r="K1058" s="3">
        <f>K1057</f>
        <v>114</v>
      </c>
      <c r="L1058" s="3">
        <f>L1057</f>
        <v>100</v>
      </c>
      <c r="M1058" s="3">
        <f>M1057</f>
        <v>104</v>
      </c>
      <c r="N1058" s="3">
        <f>AVERAGE($I$2:$I$1168)</f>
        <v>78.907455012853475</v>
      </c>
      <c r="O1058" s="3" t="str">
        <f>CONCATENATE(A1058,"-",B1058)</f>
        <v>655-Delphox</v>
      </c>
    </row>
    <row r="1059" spans="1:15">
      <c r="A1059" s="63">
        <v>656</v>
      </c>
      <c r="B1059" s="2" t="s">
        <v>736</v>
      </c>
      <c r="C1059" t="s">
        <v>30</v>
      </c>
      <c r="D1059" s="22">
        <f>COUNTIF($C$2:$C$1168,Tabela1[[#This Row],[Type]])</f>
        <v>121</v>
      </c>
      <c r="E1059" s="62" t="str">
        <f>IF(A1059&lt;=151,"Kanto",IF(A1059&lt;=251,"Johto",IF(A1059&lt;=386,"Hoenn",IF(A1059&lt;=493,"Sinnoh",IF(A1059&lt;=649,"Unova",IF(A1059&lt;=721,"Kalos",IF(A1059&lt;=809,"Alola",IF(A1059&lt;=905,"Galar","Paldea"))))))))</f>
        <v>Kalos</v>
      </c>
      <c r="F1059" t="str">
        <f>IF(G1059&gt;=600,"Lendário",IF(G1059&gt;=500,"Forte","Normal"))</f>
        <v>Normal</v>
      </c>
      <c r="G1059" s="3">
        <v>314</v>
      </c>
      <c r="H1059" s="3">
        <v>41</v>
      </c>
      <c r="I1059" s="3">
        <v>56</v>
      </c>
      <c r="J1059" s="3">
        <v>40</v>
      </c>
      <c r="K1059" s="3">
        <v>62</v>
      </c>
      <c r="L1059" s="3">
        <v>44</v>
      </c>
      <c r="M1059" s="3">
        <v>71</v>
      </c>
      <c r="N1059" s="3">
        <f>AVERAGE($I$2:$I$1168)</f>
        <v>78.907455012853475</v>
      </c>
      <c r="O1059" s="3" t="str">
        <f>CONCATENATE(A1059,"-",B1059)</f>
        <v>656-Froakie</v>
      </c>
    </row>
    <row r="1060" spans="1:15">
      <c r="A1060" s="63">
        <v>657</v>
      </c>
      <c r="B1060" s="2" t="s">
        <v>737</v>
      </c>
      <c r="C1060" t="s">
        <v>30</v>
      </c>
      <c r="D1060" s="22">
        <f>COUNTIF($C$2:$C$1168,Tabela1[[#This Row],[Type]])</f>
        <v>121</v>
      </c>
      <c r="E1060" s="62" t="str">
        <f>IF(A1060&lt;=151,"Kanto",IF(A1060&lt;=251,"Johto",IF(A1060&lt;=386,"Hoenn",IF(A1060&lt;=493,"Sinnoh",IF(A1060&lt;=649,"Unova",IF(A1060&lt;=721,"Kalos",IF(A1060&lt;=809,"Alola",IF(A1060&lt;=905,"Galar","Paldea"))))))))</f>
        <v>Kalos</v>
      </c>
      <c r="F1060" t="str">
        <f>IF(G1060&gt;=600,"Lendário",IF(G1060&gt;=500,"Forte","Normal"))</f>
        <v>Normal</v>
      </c>
      <c r="G1060" s="3">
        <v>405</v>
      </c>
      <c r="H1060" s="3">
        <v>54</v>
      </c>
      <c r="I1060" s="3">
        <v>63</v>
      </c>
      <c r="J1060" s="3">
        <v>52</v>
      </c>
      <c r="K1060" s="3">
        <v>83</v>
      </c>
      <c r="L1060" s="3">
        <v>56</v>
      </c>
      <c r="M1060" s="3">
        <v>97</v>
      </c>
      <c r="N1060" s="3">
        <f>AVERAGE($I$2:$I$1168)</f>
        <v>78.907455012853475</v>
      </c>
      <c r="O1060" s="3" t="str">
        <f>CONCATENATE(A1060,"-",B1060)</f>
        <v>657-Frogadier</v>
      </c>
    </row>
    <row r="1061" spans="1:15">
      <c r="A1061" s="63">
        <v>658</v>
      </c>
      <c r="B1061" s="2" t="s">
        <v>738</v>
      </c>
      <c r="C1061" t="s">
        <v>30</v>
      </c>
      <c r="D1061" s="22">
        <f>COUNTIF($C$2:$C$1168,Tabela1[[#This Row],[Type]])</f>
        <v>121</v>
      </c>
      <c r="E1061" s="62" t="str">
        <f>IF(A1061&lt;=151,"Kanto",IF(A1061&lt;=251,"Johto",IF(A1061&lt;=386,"Hoenn",IF(A1061&lt;=493,"Sinnoh",IF(A1061&lt;=649,"Unova",IF(A1061&lt;=721,"Kalos",IF(A1061&lt;=809,"Alola",IF(A1061&lt;=905,"Galar","Paldea"))))))))</f>
        <v>Kalos</v>
      </c>
      <c r="F1061" t="str">
        <f>IF(G1061&gt;=600,"Lendário",IF(G1061&gt;=500,"Forte","Normal"))</f>
        <v>Forte</v>
      </c>
      <c r="G1061" s="3">
        <v>530</v>
      </c>
      <c r="H1061" s="3">
        <v>72</v>
      </c>
      <c r="I1061" s="3">
        <v>95</v>
      </c>
      <c r="J1061" s="3">
        <v>67</v>
      </c>
      <c r="K1061" s="3">
        <v>103</v>
      </c>
      <c r="L1061" s="3">
        <v>71</v>
      </c>
      <c r="M1061" s="3">
        <v>122</v>
      </c>
      <c r="N1061" s="3">
        <f>AVERAGE($I$2:$I$1168)</f>
        <v>78.907455012853475</v>
      </c>
      <c r="O1061" s="3" t="str">
        <f>CONCATENATE(A1061,"-",B1061)</f>
        <v>658-Greninja</v>
      </c>
    </row>
    <row r="1062" spans="1:15">
      <c r="A1062" s="63">
        <v>658</v>
      </c>
      <c r="B1062" s="2" t="str">
        <f>B1061</f>
        <v>Greninja</v>
      </c>
      <c r="C1062" t="s">
        <v>170</v>
      </c>
      <c r="D1062" s="22">
        <f>COUNTIF($C$2:$C$1168,Tabela1[[#This Row],[Type]])</f>
        <v>49</v>
      </c>
      <c r="E1062" s="62" t="str">
        <f>IF(A1062&lt;=151,"Kanto",IF(A1062&lt;=251,"Johto",IF(A1062&lt;=386,"Hoenn",IF(A1062&lt;=493,"Sinnoh",IF(A1062&lt;=649,"Unova",IF(A1062&lt;=721,"Kalos",IF(A1062&lt;=809,"Alola",IF(A1062&lt;=905,"Galar","Paldea"))))))))</f>
        <v>Kalos</v>
      </c>
      <c r="F1062" t="str">
        <f>IF(G1062&gt;=600,"Lendário",IF(G1062&gt;=500,"Forte","Normal"))</f>
        <v>Forte</v>
      </c>
      <c r="G1062" s="3">
        <f>G1061</f>
        <v>530</v>
      </c>
      <c r="H1062" s="3">
        <f>H1061</f>
        <v>72</v>
      </c>
      <c r="I1062" s="3">
        <f>I1061</f>
        <v>95</v>
      </c>
      <c r="J1062" s="3">
        <f>J1061</f>
        <v>67</v>
      </c>
      <c r="K1062" s="3">
        <f>K1061</f>
        <v>103</v>
      </c>
      <c r="L1062" s="3">
        <f>L1061</f>
        <v>71</v>
      </c>
      <c r="M1062" s="3">
        <f>M1061</f>
        <v>122</v>
      </c>
      <c r="N1062" s="3">
        <f>AVERAGE($I$2:$I$1168)</f>
        <v>78.907455012853475</v>
      </c>
      <c r="O1062" s="3" t="str">
        <f>CONCATENATE(A1062,"-",B1062)</f>
        <v>658-Greninja</v>
      </c>
    </row>
    <row r="1063" spans="1:15">
      <c r="A1063" s="63">
        <v>659</v>
      </c>
      <c r="B1063" s="2" t="s">
        <v>739</v>
      </c>
      <c r="C1063" t="s">
        <v>42</v>
      </c>
      <c r="D1063" s="22">
        <f>COUNTIF($C$2:$C$1168,Tabela1[[#This Row],[Type]])</f>
        <v>99</v>
      </c>
      <c r="E1063" s="62" t="str">
        <f>IF(A1063&lt;=151,"Kanto",IF(A1063&lt;=251,"Johto",IF(A1063&lt;=386,"Hoenn",IF(A1063&lt;=493,"Sinnoh",IF(A1063&lt;=649,"Unova",IF(A1063&lt;=721,"Kalos",IF(A1063&lt;=809,"Alola",IF(A1063&lt;=905,"Galar","Paldea"))))))))</f>
        <v>Kalos</v>
      </c>
      <c r="F1063" t="str">
        <f>IF(G1063&gt;=600,"Lendário",IF(G1063&gt;=500,"Forte","Normal"))</f>
        <v>Normal</v>
      </c>
      <c r="G1063" s="3">
        <v>237</v>
      </c>
      <c r="H1063" s="3">
        <v>38</v>
      </c>
      <c r="I1063" s="3">
        <v>36</v>
      </c>
      <c r="J1063" s="3">
        <v>38</v>
      </c>
      <c r="K1063" s="3">
        <v>32</v>
      </c>
      <c r="L1063" s="3">
        <v>36</v>
      </c>
      <c r="M1063" s="3">
        <v>57</v>
      </c>
      <c r="N1063" s="3">
        <f>AVERAGE($I$2:$I$1168)</f>
        <v>78.907455012853475</v>
      </c>
      <c r="O1063" s="3" t="str">
        <f>CONCATENATE(A1063,"-",B1063)</f>
        <v>659-Bunnelby</v>
      </c>
    </row>
    <row r="1064" spans="1:15">
      <c r="A1064" s="63">
        <v>659</v>
      </c>
      <c r="B1064" s="2" t="str">
        <f>B1063</f>
        <v>Bunnelby</v>
      </c>
      <c r="C1064" t="s">
        <v>42</v>
      </c>
      <c r="D1064" s="22">
        <f>COUNTIF($C$2:$C$1168,Tabela1[[#This Row],[Type]])</f>
        <v>99</v>
      </c>
      <c r="E1064" s="62" t="str">
        <f>IF(A1064&lt;=151,"Kanto",IF(A1064&lt;=251,"Johto",IF(A1064&lt;=386,"Hoenn",IF(A1064&lt;=493,"Sinnoh",IF(A1064&lt;=649,"Unova",IF(A1064&lt;=721,"Kalos",IF(A1064&lt;=809,"Alola",IF(A1064&lt;=905,"Galar","Paldea"))))))))</f>
        <v>Kalos</v>
      </c>
      <c r="F1064" t="str">
        <f>IF(G1064&gt;=600,"Lendário",IF(G1064&gt;=500,"Forte","Normal"))</f>
        <v>Normal</v>
      </c>
      <c r="G1064" s="3">
        <f>G1063</f>
        <v>237</v>
      </c>
      <c r="H1064" s="3">
        <f>H1063</f>
        <v>38</v>
      </c>
      <c r="I1064" s="3">
        <f>I1063</f>
        <v>36</v>
      </c>
      <c r="J1064" s="3">
        <f>J1063</f>
        <v>38</v>
      </c>
      <c r="K1064" s="3">
        <f>K1063</f>
        <v>32</v>
      </c>
      <c r="L1064" s="3">
        <f>L1063</f>
        <v>36</v>
      </c>
      <c r="M1064" s="3">
        <f>M1063</f>
        <v>57</v>
      </c>
      <c r="N1064" s="3">
        <f>AVERAGE($I$2:$I$1168)</f>
        <v>78.907455012853475</v>
      </c>
      <c r="O1064" s="3" t="str">
        <f>CONCATENATE(A1064,"-",B1064)</f>
        <v>659-Bunnelby</v>
      </c>
    </row>
    <row r="1065" spans="1:15">
      <c r="A1065" s="63">
        <v>660</v>
      </c>
      <c r="B1065" s="2" t="s">
        <v>740</v>
      </c>
      <c r="C1065" t="s">
        <v>42</v>
      </c>
      <c r="D1065" s="22">
        <f>COUNTIF($C$2:$C$1168,Tabela1[[#This Row],[Type]])</f>
        <v>99</v>
      </c>
      <c r="E1065" s="62" t="str">
        <f>IF(A1065&lt;=151,"Kanto",IF(A1065&lt;=251,"Johto",IF(A1065&lt;=386,"Hoenn",IF(A1065&lt;=493,"Sinnoh",IF(A1065&lt;=649,"Unova",IF(A1065&lt;=721,"Kalos",IF(A1065&lt;=809,"Alola",IF(A1065&lt;=905,"Galar","Paldea"))))))))</f>
        <v>Kalos</v>
      </c>
      <c r="F1065" t="str">
        <f>IF(G1065&gt;=600,"Lendário",IF(G1065&gt;=500,"Forte","Normal"))</f>
        <v>Normal</v>
      </c>
      <c r="G1065" s="3">
        <v>423</v>
      </c>
      <c r="H1065" s="3">
        <v>85</v>
      </c>
      <c r="I1065" s="3">
        <v>56</v>
      </c>
      <c r="J1065" s="3">
        <v>77</v>
      </c>
      <c r="K1065" s="3">
        <v>50</v>
      </c>
      <c r="L1065" s="3">
        <v>77</v>
      </c>
      <c r="M1065" s="3">
        <v>78</v>
      </c>
      <c r="N1065" s="3">
        <f>AVERAGE($I$2:$I$1168)</f>
        <v>78.907455012853475</v>
      </c>
      <c r="O1065" s="3" t="str">
        <f>CONCATENATE(A1065,"-",B1065)</f>
        <v>660-Diggersby</v>
      </c>
    </row>
    <row r="1066" spans="1:15">
      <c r="A1066" s="63">
        <v>661</v>
      </c>
      <c r="B1066" s="2" t="s">
        <v>741</v>
      </c>
      <c r="C1066" t="s">
        <v>42</v>
      </c>
      <c r="D1066" s="22">
        <f>COUNTIF($C$2:$C$1168,Tabela1[[#This Row],[Type]])</f>
        <v>99</v>
      </c>
      <c r="E1066" s="62" t="str">
        <f>IF(A1066&lt;=151,"Kanto",IF(A1066&lt;=251,"Johto",IF(A1066&lt;=386,"Hoenn",IF(A1066&lt;=493,"Sinnoh",IF(A1066&lt;=649,"Unova",IF(A1066&lt;=721,"Kalos",IF(A1066&lt;=809,"Alola",IF(A1066&lt;=905,"Galar","Paldea"))))))))</f>
        <v>Kalos</v>
      </c>
      <c r="F1066" t="str">
        <f>IF(G1066&gt;=600,"Lendário",IF(G1066&gt;=500,"Forte","Normal"))</f>
        <v>Normal</v>
      </c>
      <c r="G1066" s="3">
        <v>278</v>
      </c>
      <c r="H1066" s="3">
        <v>45</v>
      </c>
      <c r="I1066" s="3">
        <v>50</v>
      </c>
      <c r="J1066" s="3">
        <v>43</v>
      </c>
      <c r="K1066" s="3">
        <v>40</v>
      </c>
      <c r="L1066" s="3">
        <v>38</v>
      </c>
      <c r="M1066" s="3">
        <v>62</v>
      </c>
      <c r="N1066" s="3">
        <f>AVERAGE($I$2:$I$1168)</f>
        <v>78.907455012853475</v>
      </c>
      <c r="O1066" s="3" t="str">
        <f>CONCATENATE(A1066,"-",B1066)</f>
        <v>661-Fletchling</v>
      </c>
    </row>
    <row r="1067" spans="1:15">
      <c r="A1067" s="63">
        <v>662</v>
      </c>
      <c r="B1067" s="2" t="s">
        <v>742</v>
      </c>
      <c r="C1067" t="s">
        <v>22</v>
      </c>
      <c r="D1067" s="22">
        <f>COUNTIF($C$2:$C$1168,Tabela1[[#This Row],[Type]])</f>
        <v>62</v>
      </c>
      <c r="E1067" s="62" t="str">
        <f>IF(A1067&lt;=151,"Kanto",IF(A1067&lt;=251,"Johto",IF(A1067&lt;=386,"Hoenn",IF(A1067&lt;=493,"Sinnoh",IF(A1067&lt;=649,"Unova",IF(A1067&lt;=721,"Kalos",IF(A1067&lt;=809,"Alola",IF(A1067&lt;=905,"Galar","Paldea"))))))))</f>
        <v>Kalos</v>
      </c>
      <c r="F1067" t="str">
        <f>IF(G1067&gt;=600,"Lendário",IF(G1067&gt;=500,"Forte","Normal"))</f>
        <v>Normal</v>
      </c>
      <c r="G1067" s="3">
        <v>382</v>
      </c>
      <c r="H1067" s="3">
        <v>62</v>
      </c>
      <c r="I1067" s="3">
        <v>73</v>
      </c>
      <c r="J1067" s="3">
        <v>55</v>
      </c>
      <c r="K1067" s="3">
        <v>56</v>
      </c>
      <c r="L1067" s="3">
        <v>52</v>
      </c>
      <c r="M1067" s="3">
        <v>84</v>
      </c>
      <c r="N1067" s="3">
        <f>AVERAGE($I$2:$I$1168)</f>
        <v>78.907455012853475</v>
      </c>
      <c r="O1067" s="3" t="str">
        <f>CONCATENATE(A1067,"-",B1067)</f>
        <v>662-Fletchinder</v>
      </c>
    </row>
    <row r="1068" spans="1:15">
      <c r="A1068" s="63">
        <v>662</v>
      </c>
      <c r="B1068" s="2" t="str">
        <f>B1067</f>
        <v>Fletchinder</v>
      </c>
      <c r="C1068" t="s">
        <v>25</v>
      </c>
      <c r="D1068" s="22">
        <f>COUNTIF($C$2:$C$1168,Tabela1[[#This Row],[Type]])</f>
        <v>100</v>
      </c>
      <c r="E1068" s="62" t="str">
        <f>IF(A1068&lt;=151,"Kanto",IF(A1068&lt;=251,"Johto",IF(A1068&lt;=386,"Hoenn",IF(A1068&lt;=493,"Sinnoh",IF(A1068&lt;=649,"Unova",IF(A1068&lt;=721,"Kalos",IF(A1068&lt;=809,"Alola",IF(A1068&lt;=905,"Galar","Paldea"))))))))</f>
        <v>Kalos</v>
      </c>
      <c r="F1068" t="str">
        <f>IF(G1068&gt;=600,"Lendário",IF(G1068&gt;=500,"Forte","Normal"))</f>
        <v>Normal</v>
      </c>
      <c r="G1068" s="3">
        <f>G1067</f>
        <v>382</v>
      </c>
      <c r="H1068" s="3">
        <f>H1067</f>
        <v>62</v>
      </c>
      <c r="I1068" s="3">
        <f>I1067</f>
        <v>73</v>
      </c>
      <c r="J1068" s="3">
        <f>J1067</f>
        <v>55</v>
      </c>
      <c r="K1068" s="3">
        <f>K1067</f>
        <v>56</v>
      </c>
      <c r="L1068" s="3">
        <f>L1067</f>
        <v>52</v>
      </c>
      <c r="M1068" s="3">
        <f>M1067</f>
        <v>84</v>
      </c>
      <c r="N1068" s="3">
        <f>AVERAGE($I$2:$I$1168)</f>
        <v>78.907455012853475</v>
      </c>
      <c r="O1068" s="3" t="str">
        <f>CONCATENATE(A1068,"-",B1068)</f>
        <v>662-Fletchinder</v>
      </c>
    </row>
    <row r="1069" spans="1:15">
      <c r="A1069" s="63">
        <v>663</v>
      </c>
      <c r="B1069" s="2" t="s">
        <v>743</v>
      </c>
      <c r="C1069" t="s">
        <v>22</v>
      </c>
      <c r="D1069" s="22">
        <f>COUNTIF($C$2:$C$1168,Tabela1[[#This Row],[Type]])</f>
        <v>62</v>
      </c>
      <c r="E1069" s="62" t="str">
        <f>IF(A1069&lt;=151,"Kanto",IF(A1069&lt;=251,"Johto",IF(A1069&lt;=386,"Hoenn",IF(A1069&lt;=493,"Sinnoh",IF(A1069&lt;=649,"Unova",IF(A1069&lt;=721,"Kalos",IF(A1069&lt;=809,"Alola",IF(A1069&lt;=905,"Galar","Paldea"))))))))</f>
        <v>Kalos</v>
      </c>
      <c r="F1069" t="str">
        <f>IF(G1069&gt;=600,"Lendário",IF(G1069&gt;=500,"Forte","Normal"))</f>
        <v>Normal</v>
      </c>
      <c r="G1069" s="3">
        <v>499</v>
      </c>
      <c r="H1069" s="3">
        <v>78</v>
      </c>
      <c r="I1069" s="3">
        <v>81</v>
      </c>
      <c r="J1069" s="3">
        <v>71</v>
      </c>
      <c r="K1069" s="3">
        <v>74</v>
      </c>
      <c r="L1069" s="3">
        <v>69</v>
      </c>
      <c r="M1069" s="3">
        <v>126</v>
      </c>
      <c r="N1069" s="3">
        <f>AVERAGE($I$2:$I$1168)</f>
        <v>78.907455012853475</v>
      </c>
      <c r="O1069" s="3" t="str">
        <f>CONCATENATE(A1069,"-",B1069)</f>
        <v>663-Talonflame</v>
      </c>
    </row>
    <row r="1070" spans="1:15">
      <c r="A1070" s="63">
        <v>663</v>
      </c>
      <c r="B1070" s="2" t="str">
        <f>B1069</f>
        <v>Talonflame</v>
      </c>
      <c r="C1070" t="s">
        <v>25</v>
      </c>
      <c r="D1070" s="22">
        <f>COUNTIF($C$2:$C$1168,Tabela1[[#This Row],[Type]])</f>
        <v>100</v>
      </c>
      <c r="E1070" s="62" t="str">
        <f>IF(A1070&lt;=151,"Kanto",IF(A1070&lt;=251,"Johto",IF(A1070&lt;=386,"Hoenn",IF(A1070&lt;=493,"Sinnoh",IF(A1070&lt;=649,"Unova",IF(A1070&lt;=721,"Kalos",IF(A1070&lt;=809,"Alola",IF(A1070&lt;=905,"Galar","Paldea"))))))))</f>
        <v>Kalos</v>
      </c>
      <c r="F1070" t="str">
        <f>IF(G1070&gt;=600,"Lendário",IF(G1070&gt;=500,"Forte","Normal"))</f>
        <v>Normal</v>
      </c>
      <c r="G1070" s="3">
        <f>G1069</f>
        <v>499</v>
      </c>
      <c r="H1070" s="3">
        <f>H1069</f>
        <v>78</v>
      </c>
      <c r="I1070" s="3">
        <f>I1069</f>
        <v>81</v>
      </c>
      <c r="J1070" s="3">
        <f>J1069</f>
        <v>71</v>
      </c>
      <c r="K1070" s="3">
        <f>K1069</f>
        <v>74</v>
      </c>
      <c r="L1070" s="3">
        <f>L1069</f>
        <v>69</v>
      </c>
      <c r="M1070" s="3">
        <f>M1069</f>
        <v>126</v>
      </c>
      <c r="N1070" s="3">
        <f>AVERAGE($I$2:$I$1168)</f>
        <v>78.907455012853475</v>
      </c>
      <c r="O1070" s="3" t="str">
        <f>CONCATENATE(A1070,"-",B1070)</f>
        <v>663-Talonflame</v>
      </c>
    </row>
    <row r="1071" spans="1:15">
      <c r="A1071" s="63">
        <v>664</v>
      </c>
      <c r="B1071" s="2" t="s">
        <v>744</v>
      </c>
      <c r="C1071" t="s">
        <v>35</v>
      </c>
      <c r="D1071" s="22">
        <f>COUNTIF($C$2:$C$1168,Tabela1[[#This Row],[Type]])</f>
        <v>71</v>
      </c>
      <c r="E1071" s="62" t="str">
        <f>IF(A1071&lt;=151,"Kanto",IF(A1071&lt;=251,"Johto",IF(A1071&lt;=386,"Hoenn",IF(A1071&lt;=493,"Sinnoh",IF(A1071&lt;=649,"Unova",IF(A1071&lt;=721,"Kalos",IF(A1071&lt;=809,"Alola",IF(A1071&lt;=905,"Galar","Paldea"))))))))</f>
        <v>Kalos</v>
      </c>
      <c r="F1071" t="str">
        <f>IF(G1071&gt;=600,"Lendário",IF(G1071&gt;=500,"Forte","Normal"))</f>
        <v>Normal</v>
      </c>
      <c r="G1071" s="3">
        <v>200</v>
      </c>
      <c r="H1071" s="3">
        <v>38</v>
      </c>
      <c r="I1071" s="3">
        <v>35</v>
      </c>
      <c r="J1071" s="3">
        <v>40</v>
      </c>
      <c r="K1071" s="3">
        <v>27</v>
      </c>
      <c r="L1071" s="3">
        <v>25</v>
      </c>
      <c r="M1071" s="3">
        <v>35</v>
      </c>
      <c r="N1071" s="3">
        <f>AVERAGE($I$2:$I$1168)</f>
        <v>78.907455012853475</v>
      </c>
      <c r="O1071" s="3" t="str">
        <f>CONCATENATE(A1071,"-",B1071)</f>
        <v>664-Scatterbug</v>
      </c>
    </row>
    <row r="1072" spans="1:15">
      <c r="A1072" s="63">
        <v>665</v>
      </c>
      <c r="B1072" s="2" t="s">
        <v>745</v>
      </c>
      <c r="C1072" t="s">
        <v>35</v>
      </c>
      <c r="D1072" s="22">
        <f>COUNTIF($C$2:$C$1168,Tabela1[[#This Row],[Type]])</f>
        <v>71</v>
      </c>
      <c r="E1072" s="62" t="str">
        <f>IF(A1072&lt;=151,"Kanto",IF(A1072&lt;=251,"Johto",IF(A1072&lt;=386,"Hoenn",IF(A1072&lt;=493,"Sinnoh",IF(A1072&lt;=649,"Unova",IF(A1072&lt;=721,"Kalos",IF(A1072&lt;=809,"Alola",IF(A1072&lt;=905,"Galar","Paldea"))))))))</f>
        <v>Kalos</v>
      </c>
      <c r="F1072" t="str">
        <f>IF(G1072&gt;=600,"Lendário",IF(G1072&gt;=500,"Forte","Normal"))</f>
        <v>Normal</v>
      </c>
      <c r="G1072" s="3">
        <v>213</v>
      </c>
      <c r="H1072" s="3">
        <v>45</v>
      </c>
      <c r="I1072" s="3">
        <v>22</v>
      </c>
      <c r="J1072" s="3">
        <v>60</v>
      </c>
      <c r="K1072" s="3">
        <v>27</v>
      </c>
      <c r="L1072" s="3">
        <v>30</v>
      </c>
      <c r="M1072" s="3">
        <v>29</v>
      </c>
      <c r="N1072" s="3">
        <f>AVERAGE($I$2:$I$1168)</f>
        <v>78.907455012853475</v>
      </c>
      <c r="O1072" s="3" t="str">
        <f>CONCATENATE(A1072,"-",B1072)</f>
        <v>665-Spewpa</v>
      </c>
    </row>
    <row r="1073" spans="1:15">
      <c r="A1073" s="63">
        <v>666</v>
      </c>
      <c r="B1073" s="2" t="s">
        <v>746</v>
      </c>
      <c r="C1073" t="s">
        <v>35</v>
      </c>
      <c r="D1073" s="22">
        <f>COUNTIF($C$2:$C$1168,Tabela1[[#This Row],[Type]])</f>
        <v>71</v>
      </c>
      <c r="E1073" s="62" t="str">
        <f>IF(A1073&lt;=151,"Kanto",IF(A1073&lt;=251,"Johto",IF(A1073&lt;=386,"Hoenn",IF(A1073&lt;=493,"Sinnoh",IF(A1073&lt;=649,"Unova",IF(A1073&lt;=721,"Kalos",IF(A1073&lt;=809,"Alola",IF(A1073&lt;=905,"Galar","Paldea"))))))))</f>
        <v>Kalos</v>
      </c>
      <c r="F1073" t="str">
        <f>IF(G1073&gt;=600,"Lendário",IF(G1073&gt;=500,"Forte","Normal"))</f>
        <v>Normal</v>
      </c>
      <c r="G1073" s="3">
        <v>411</v>
      </c>
      <c r="H1073" s="3">
        <v>80</v>
      </c>
      <c r="I1073" s="3">
        <v>52</v>
      </c>
      <c r="J1073" s="3">
        <v>50</v>
      </c>
      <c r="K1073" s="3">
        <v>90</v>
      </c>
      <c r="L1073" s="3">
        <v>50</v>
      </c>
      <c r="M1073" s="3">
        <v>89</v>
      </c>
      <c r="N1073" s="3">
        <f>AVERAGE($I$2:$I$1168)</f>
        <v>78.907455012853475</v>
      </c>
      <c r="O1073" s="3" t="str">
        <f>CONCATENATE(A1073,"-",B1073)</f>
        <v>666-Vivillon</v>
      </c>
    </row>
    <row r="1074" spans="1:15">
      <c r="A1074" s="63">
        <v>666</v>
      </c>
      <c r="B1074" s="2" t="str">
        <f>B1073</f>
        <v>Vivillon</v>
      </c>
      <c r="C1074" t="s">
        <v>25</v>
      </c>
      <c r="D1074" s="22">
        <f>COUNTIF($C$2:$C$1168,Tabela1[[#This Row],[Type]])</f>
        <v>100</v>
      </c>
      <c r="E1074" s="62" t="str">
        <f>IF(A1074&lt;=151,"Kanto",IF(A1074&lt;=251,"Johto",IF(A1074&lt;=386,"Hoenn",IF(A1074&lt;=493,"Sinnoh",IF(A1074&lt;=649,"Unova",IF(A1074&lt;=721,"Kalos",IF(A1074&lt;=809,"Alola",IF(A1074&lt;=905,"Galar","Paldea"))))))))</f>
        <v>Kalos</v>
      </c>
      <c r="F1074" t="str">
        <f>IF(G1074&gt;=600,"Lendário",IF(G1074&gt;=500,"Forte","Normal"))</f>
        <v>Normal</v>
      </c>
      <c r="G1074" s="3">
        <f>G1073</f>
        <v>411</v>
      </c>
      <c r="H1074" s="3">
        <f>H1073</f>
        <v>80</v>
      </c>
      <c r="I1074" s="3">
        <f>I1073</f>
        <v>52</v>
      </c>
      <c r="J1074" s="3">
        <f>J1073</f>
        <v>50</v>
      </c>
      <c r="K1074" s="3">
        <f>K1073</f>
        <v>90</v>
      </c>
      <c r="L1074" s="3">
        <f>L1073</f>
        <v>50</v>
      </c>
      <c r="M1074" s="3">
        <f>M1073</f>
        <v>89</v>
      </c>
      <c r="N1074" s="3">
        <f>AVERAGE($I$2:$I$1168)</f>
        <v>78.907455012853475</v>
      </c>
      <c r="O1074" s="3" t="str">
        <f>CONCATENATE(A1074,"-",B1074)</f>
        <v>666-Vivillon</v>
      </c>
    </row>
    <row r="1075" spans="1:15">
      <c r="A1075" s="63">
        <v>667</v>
      </c>
      <c r="B1075" s="2" t="s">
        <v>747</v>
      </c>
      <c r="C1075" t="s">
        <v>22</v>
      </c>
      <c r="D1075" s="22">
        <f>COUNTIF($C$2:$C$1168,Tabela1[[#This Row],[Type]])</f>
        <v>62</v>
      </c>
      <c r="E1075" s="62" t="str">
        <f>IF(A1075&lt;=151,"Kanto",IF(A1075&lt;=251,"Johto",IF(A1075&lt;=386,"Hoenn",IF(A1075&lt;=493,"Sinnoh",IF(A1075&lt;=649,"Unova",IF(A1075&lt;=721,"Kalos",IF(A1075&lt;=809,"Alola",IF(A1075&lt;=905,"Galar","Paldea"))))))))</f>
        <v>Kalos</v>
      </c>
      <c r="F1075" t="str">
        <f>IF(G1075&gt;=600,"Lendário",IF(G1075&gt;=500,"Forte","Normal"))</f>
        <v>Normal</v>
      </c>
      <c r="G1075" s="3">
        <v>369</v>
      </c>
      <c r="H1075" s="3">
        <v>62</v>
      </c>
      <c r="I1075" s="3">
        <v>50</v>
      </c>
      <c r="J1075" s="3">
        <v>58</v>
      </c>
      <c r="K1075" s="3">
        <v>73</v>
      </c>
      <c r="L1075" s="3">
        <v>54</v>
      </c>
      <c r="M1075" s="3">
        <v>72</v>
      </c>
      <c r="N1075" s="3">
        <f>AVERAGE($I$2:$I$1168)</f>
        <v>78.907455012853475</v>
      </c>
      <c r="O1075" s="3" t="str">
        <f>CONCATENATE(A1075,"-",B1075)</f>
        <v>667-Litleo</v>
      </c>
    </row>
    <row r="1076" spans="1:15">
      <c r="A1076" s="63">
        <v>668</v>
      </c>
      <c r="B1076" s="2" t="s">
        <v>748</v>
      </c>
      <c r="C1076" t="s">
        <v>22</v>
      </c>
      <c r="D1076" s="22">
        <f>COUNTIF($C$2:$C$1168,Tabela1[[#This Row],[Type]])</f>
        <v>62</v>
      </c>
      <c r="E1076" s="62" t="str">
        <f>IF(A1076&lt;=151,"Kanto",IF(A1076&lt;=251,"Johto",IF(A1076&lt;=386,"Hoenn",IF(A1076&lt;=493,"Sinnoh",IF(A1076&lt;=649,"Unova",IF(A1076&lt;=721,"Kalos",IF(A1076&lt;=809,"Alola",IF(A1076&lt;=905,"Galar","Paldea"))))))))</f>
        <v>Kalos</v>
      </c>
      <c r="F1076" t="str">
        <f>IF(G1076&gt;=600,"Lendário",IF(G1076&gt;=500,"Forte","Normal"))</f>
        <v>Forte</v>
      </c>
      <c r="G1076" s="3">
        <v>507</v>
      </c>
      <c r="H1076" s="3">
        <v>86</v>
      </c>
      <c r="I1076" s="3">
        <v>68</v>
      </c>
      <c r="J1076" s="3">
        <v>72</v>
      </c>
      <c r="K1076" s="3">
        <v>109</v>
      </c>
      <c r="L1076" s="3">
        <v>66</v>
      </c>
      <c r="M1076" s="3">
        <v>106</v>
      </c>
      <c r="N1076" s="3">
        <f>AVERAGE($I$2:$I$1168)</f>
        <v>78.907455012853475</v>
      </c>
      <c r="O1076" s="3" t="str">
        <f>CONCATENATE(A1076,"-",B1076)</f>
        <v>668-Pyroar</v>
      </c>
    </row>
    <row r="1077" spans="1:15">
      <c r="A1077" s="63">
        <v>669</v>
      </c>
      <c r="B1077" s="2" t="s">
        <v>749</v>
      </c>
      <c r="C1077" t="s">
        <v>64</v>
      </c>
      <c r="D1077" s="22">
        <f>COUNTIF($C$2:$C$1168,Tabela1[[#This Row],[Type]])</f>
        <v>34</v>
      </c>
      <c r="E1077" s="62" t="str">
        <f>IF(A1077&lt;=151,"Kanto",IF(A1077&lt;=251,"Johto",IF(A1077&lt;=386,"Hoenn",IF(A1077&lt;=493,"Sinnoh",IF(A1077&lt;=649,"Unova",IF(A1077&lt;=721,"Kalos",IF(A1077&lt;=809,"Alola",IF(A1077&lt;=905,"Galar","Paldea"))))))))</f>
        <v>Kalos</v>
      </c>
      <c r="F1077" t="str">
        <f>IF(G1077&gt;=600,"Lendário",IF(G1077&gt;=500,"Forte","Normal"))</f>
        <v>Normal</v>
      </c>
      <c r="G1077" s="3">
        <v>303</v>
      </c>
      <c r="H1077" s="3">
        <v>44</v>
      </c>
      <c r="I1077" s="3">
        <v>38</v>
      </c>
      <c r="J1077" s="3">
        <v>39</v>
      </c>
      <c r="K1077" s="3">
        <v>61</v>
      </c>
      <c r="L1077" s="3">
        <v>79</v>
      </c>
      <c r="M1077" s="3">
        <v>42</v>
      </c>
      <c r="N1077" s="3">
        <f>AVERAGE($I$2:$I$1168)</f>
        <v>78.907455012853475</v>
      </c>
      <c r="O1077" s="3" t="str">
        <f>CONCATENATE(A1077,"-",B1077)</f>
        <v>669-Flabébé</v>
      </c>
    </row>
    <row r="1078" spans="1:15">
      <c r="A1078" s="63">
        <v>669</v>
      </c>
      <c r="B1078" s="2" t="str">
        <f>B1077</f>
        <v>Flabébé</v>
      </c>
      <c r="C1078" t="s">
        <v>94</v>
      </c>
      <c r="D1078" s="22">
        <f>COUNTIF($C$2:$C$1168,Tabela1[[#This Row],[Type]])</f>
        <v>83</v>
      </c>
      <c r="E1078" s="62" t="str">
        <f>IF(A1078&lt;=151,"Kanto",IF(A1078&lt;=251,"Johto",IF(A1078&lt;=386,"Hoenn",IF(A1078&lt;=493,"Sinnoh",IF(A1078&lt;=649,"Unova",IF(A1078&lt;=721,"Kalos",IF(A1078&lt;=809,"Alola",IF(A1078&lt;=905,"Galar","Paldea"))))))))</f>
        <v>Kalos</v>
      </c>
      <c r="F1078" t="str">
        <f>IF(G1078&gt;=600,"Lendário",IF(G1078&gt;=500,"Forte","Normal"))</f>
        <v>Normal</v>
      </c>
      <c r="G1078" s="3">
        <f>G1077</f>
        <v>303</v>
      </c>
      <c r="H1078" s="3">
        <f>H1077</f>
        <v>44</v>
      </c>
      <c r="I1078" s="3">
        <f>I1077</f>
        <v>38</v>
      </c>
      <c r="J1078" s="3">
        <f>J1077</f>
        <v>39</v>
      </c>
      <c r="K1078" s="3">
        <f>K1077</f>
        <v>61</v>
      </c>
      <c r="L1078" s="3">
        <f>L1077</f>
        <v>79</v>
      </c>
      <c r="M1078" s="3">
        <f>M1077</f>
        <v>42</v>
      </c>
      <c r="N1078" s="3">
        <f>AVERAGE($I$2:$I$1168)</f>
        <v>78.907455012853475</v>
      </c>
      <c r="O1078" s="3" t="str">
        <f>CONCATENATE(A1078,"-",B1078)</f>
        <v>669-Flabébé</v>
      </c>
    </row>
    <row r="1079" spans="1:15">
      <c r="A1079" s="63">
        <v>670</v>
      </c>
      <c r="B1079" s="2" t="s">
        <v>750</v>
      </c>
      <c r="C1079" t="s">
        <v>64</v>
      </c>
      <c r="D1079" s="22">
        <f>COUNTIF($C$2:$C$1168,Tabela1[[#This Row],[Type]])</f>
        <v>34</v>
      </c>
      <c r="E1079" s="62" t="str">
        <f>IF(A1079&lt;=151,"Kanto",IF(A1079&lt;=251,"Johto",IF(A1079&lt;=386,"Hoenn",IF(A1079&lt;=493,"Sinnoh",IF(A1079&lt;=649,"Unova",IF(A1079&lt;=721,"Kalos",IF(A1079&lt;=809,"Alola",IF(A1079&lt;=905,"Galar","Paldea"))))))))</f>
        <v>Kalos</v>
      </c>
      <c r="F1079" t="str">
        <f>IF(G1079&gt;=600,"Lendário",IF(G1079&gt;=500,"Forte","Normal"))</f>
        <v>Normal</v>
      </c>
      <c r="G1079" s="3">
        <v>371</v>
      </c>
      <c r="H1079" s="3">
        <v>54</v>
      </c>
      <c r="I1079" s="3">
        <v>45</v>
      </c>
      <c r="J1079" s="3">
        <v>47</v>
      </c>
      <c r="K1079" s="3">
        <v>75</v>
      </c>
      <c r="L1079" s="3">
        <v>98</v>
      </c>
      <c r="M1079" s="3">
        <v>52</v>
      </c>
      <c r="N1079" s="3">
        <f>AVERAGE($I$2:$I$1168)</f>
        <v>78.907455012853475</v>
      </c>
      <c r="O1079" s="3" t="str">
        <f>CONCATENATE(A1079,"-",B1079)</f>
        <v>670-Floette</v>
      </c>
    </row>
    <row r="1080" spans="1:15">
      <c r="A1080" s="63">
        <v>671</v>
      </c>
      <c r="B1080" s="2" t="s">
        <v>751</v>
      </c>
      <c r="C1080" t="s">
        <v>64</v>
      </c>
      <c r="D1080" s="22">
        <f>COUNTIF($C$2:$C$1168,Tabela1[[#This Row],[Type]])</f>
        <v>34</v>
      </c>
      <c r="E1080" s="62" t="str">
        <f>IF(A1080&lt;=151,"Kanto",IF(A1080&lt;=251,"Johto",IF(A1080&lt;=386,"Hoenn",IF(A1080&lt;=493,"Sinnoh",IF(A1080&lt;=649,"Unova",IF(A1080&lt;=721,"Kalos",IF(A1080&lt;=809,"Alola",IF(A1080&lt;=905,"Galar","Paldea"))))))))</f>
        <v>Kalos</v>
      </c>
      <c r="F1080" t="str">
        <f>IF(G1080&gt;=600,"Lendário",IF(G1080&gt;=500,"Forte","Normal"))</f>
        <v>Forte</v>
      </c>
      <c r="G1080" s="3">
        <v>552</v>
      </c>
      <c r="H1080" s="3">
        <v>78</v>
      </c>
      <c r="I1080" s="3">
        <v>65</v>
      </c>
      <c r="J1080" s="3">
        <v>68</v>
      </c>
      <c r="K1080" s="3">
        <v>112</v>
      </c>
      <c r="L1080" s="3">
        <v>154</v>
      </c>
      <c r="M1080" s="3">
        <v>75</v>
      </c>
      <c r="N1080" s="3">
        <f>AVERAGE($I$2:$I$1168)</f>
        <v>78.907455012853475</v>
      </c>
      <c r="O1080" s="3" t="str">
        <f>CONCATENATE(A1080,"-",B1080)</f>
        <v>671-Florges</v>
      </c>
    </row>
    <row r="1081" spans="1:15">
      <c r="A1081" s="63">
        <v>672</v>
      </c>
      <c r="B1081" s="2" t="s">
        <v>752</v>
      </c>
      <c r="C1081" t="s">
        <v>16</v>
      </c>
      <c r="D1081" s="22">
        <f>COUNTIF($C$2:$C$1168,Tabela1[[#This Row],[Type]])</f>
        <v>93</v>
      </c>
      <c r="E1081" s="62" t="str">
        <f>IF(A1081&lt;=151,"Kanto",IF(A1081&lt;=251,"Johto",IF(A1081&lt;=386,"Hoenn",IF(A1081&lt;=493,"Sinnoh",IF(A1081&lt;=649,"Unova",IF(A1081&lt;=721,"Kalos",IF(A1081&lt;=809,"Alola",IF(A1081&lt;=905,"Galar","Paldea"))))))))</f>
        <v>Kalos</v>
      </c>
      <c r="F1081" t="str">
        <f>IF(G1081&gt;=600,"Lendário",IF(G1081&gt;=500,"Forte","Normal"))</f>
        <v>Normal</v>
      </c>
      <c r="G1081" s="3">
        <v>350</v>
      </c>
      <c r="H1081" s="3">
        <v>66</v>
      </c>
      <c r="I1081" s="3">
        <v>65</v>
      </c>
      <c r="J1081" s="3">
        <v>48</v>
      </c>
      <c r="K1081" s="3">
        <v>62</v>
      </c>
      <c r="L1081" s="3">
        <v>57</v>
      </c>
      <c r="M1081" s="3">
        <v>52</v>
      </c>
      <c r="N1081" s="3">
        <f>AVERAGE($I$2:$I$1168)</f>
        <v>78.907455012853475</v>
      </c>
      <c r="O1081" s="3" t="str">
        <f>CONCATENATE(A1081,"-",B1081)</f>
        <v>672-Skiddo</v>
      </c>
    </row>
    <row r="1082" spans="1:15">
      <c r="A1082" s="63">
        <v>673</v>
      </c>
      <c r="B1082" s="2" t="s">
        <v>753</v>
      </c>
      <c r="C1082" t="s">
        <v>16</v>
      </c>
      <c r="D1082" s="22">
        <f>COUNTIF($C$2:$C$1168,Tabela1[[#This Row],[Type]])</f>
        <v>93</v>
      </c>
      <c r="E1082" s="62" t="str">
        <f>IF(A1082&lt;=151,"Kanto",IF(A1082&lt;=251,"Johto",IF(A1082&lt;=386,"Hoenn",IF(A1082&lt;=493,"Sinnoh",IF(A1082&lt;=649,"Unova",IF(A1082&lt;=721,"Kalos",IF(A1082&lt;=809,"Alola",IF(A1082&lt;=905,"Galar","Paldea"))))))))</f>
        <v>Kalos</v>
      </c>
      <c r="F1082" t="str">
        <f>IF(G1082&gt;=600,"Lendário",IF(G1082&gt;=500,"Forte","Normal"))</f>
        <v>Forte</v>
      </c>
      <c r="G1082" s="3">
        <v>531</v>
      </c>
      <c r="H1082" s="3">
        <v>123</v>
      </c>
      <c r="I1082" s="3">
        <v>100</v>
      </c>
      <c r="J1082" s="3">
        <v>62</v>
      </c>
      <c r="K1082" s="3">
        <v>97</v>
      </c>
      <c r="L1082" s="3">
        <v>81</v>
      </c>
      <c r="M1082" s="3">
        <v>68</v>
      </c>
      <c r="N1082" s="3">
        <f>AVERAGE($I$2:$I$1168)</f>
        <v>78.907455012853475</v>
      </c>
      <c r="O1082" s="3" t="str">
        <f>CONCATENATE(A1082,"-",B1082)</f>
        <v>673-Gogoat</v>
      </c>
    </row>
    <row r="1083" spans="1:15">
      <c r="A1083" s="63">
        <v>674</v>
      </c>
      <c r="B1083" s="2" t="s">
        <v>754</v>
      </c>
      <c r="C1083" t="s">
        <v>86</v>
      </c>
      <c r="D1083" s="22">
        <f>COUNTIF($C$2:$C$1168,Tabela1[[#This Row],[Type]])</f>
        <v>51</v>
      </c>
      <c r="E1083" s="62" t="str">
        <f>IF(A1083&lt;=151,"Kanto",IF(A1083&lt;=251,"Johto",IF(A1083&lt;=386,"Hoenn",IF(A1083&lt;=493,"Sinnoh",IF(A1083&lt;=649,"Unova",IF(A1083&lt;=721,"Kalos",IF(A1083&lt;=809,"Alola",IF(A1083&lt;=905,"Galar","Paldea"))))))))</f>
        <v>Kalos</v>
      </c>
      <c r="F1083" t="str">
        <f>IF(G1083&gt;=600,"Lendário",IF(G1083&gt;=500,"Forte","Normal"))</f>
        <v>Normal</v>
      </c>
      <c r="G1083" s="3">
        <v>348</v>
      </c>
      <c r="H1083" s="3">
        <v>67</v>
      </c>
      <c r="I1083" s="3">
        <v>82</v>
      </c>
      <c r="J1083" s="3">
        <v>62</v>
      </c>
      <c r="K1083" s="3">
        <v>46</v>
      </c>
      <c r="L1083" s="3">
        <v>48</v>
      </c>
      <c r="M1083" s="3">
        <v>43</v>
      </c>
      <c r="N1083" s="3">
        <f>AVERAGE($I$2:$I$1168)</f>
        <v>78.907455012853475</v>
      </c>
      <c r="O1083" s="3" t="str">
        <f>CONCATENATE(A1083,"-",B1083)</f>
        <v>674-Pancham</v>
      </c>
    </row>
    <row r="1084" spans="1:15">
      <c r="A1084" s="63">
        <v>675</v>
      </c>
      <c r="B1084" s="2" t="s">
        <v>755</v>
      </c>
      <c r="C1084" t="s">
        <v>86</v>
      </c>
      <c r="D1084" s="22">
        <f>COUNTIF($C$2:$C$1168,Tabela1[[#This Row],[Type]])</f>
        <v>51</v>
      </c>
      <c r="E1084" s="62" t="str">
        <f>IF(A1084&lt;=151,"Kanto",IF(A1084&lt;=251,"Johto",IF(A1084&lt;=386,"Hoenn",IF(A1084&lt;=493,"Sinnoh",IF(A1084&lt;=649,"Unova",IF(A1084&lt;=721,"Kalos",IF(A1084&lt;=809,"Alola",IF(A1084&lt;=905,"Galar","Paldea"))))))))</f>
        <v>Kalos</v>
      </c>
      <c r="F1084" t="str">
        <f>IF(G1084&gt;=600,"Lendário",IF(G1084&gt;=500,"Forte","Normal"))</f>
        <v>Normal</v>
      </c>
      <c r="G1084" s="3">
        <v>495</v>
      </c>
      <c r="H1084" s="3">
        <v>95</v>
      </c>
      <c r="I1084" s="3">
        <v>124</v>
      </c>
      <c r="J1084" s="3">
        <v>78</v>
      </c>
      <c r="K1084" s="3">
        <v>69</v>
      </c>
      <c r="L1084" s="3">
        <v>71</v>
      </c>
      <c r="M1084" s="3">
        <v>58</v>
      </c>
      <c r="N1084" s="3">
        <f>AVERAGE($I$2:$I$1168)</f>
        <v>78.907455012853475</v>
      </c>
      <c r="O1084" s="3" t="str">
        <f>CONCATENATE(A1084,"-",B1084)</f>
        <v>675-Pangoro</v>
      </c>
    </row>
    <row r="1085" spans="1:15">
      <c r="A1085" s="63">
        <v>675</v>
      </c>
      <c r="B1085" s="2" t="str">
        <f>B1084</f>
        <v>Pangoro</v>
      </c>
      <c r="C1085" t="s">
        <v>170</v>
      </c>
      <c r="D1085" s="22">
        <f>COUNTIF($C$2:$C$1168,Tabela1[[#This Row],[Type]])</f>
        <v>49</v>
      </c>
      <c r="E1085" s="62" t="str">
        <f>IF(A1085&lt;=151,"Kanto",IF(A1085&lt;=251,"Johto",IF(A1085&lt;=386,"Hoenn",IF(A1085&lt;=493,"Sinnoh",IF(A1085&lt;=649,"Unova",IF(A1085&lt;=721,"Kalos",IF(A1085&lt;=809,"Alola",IF(A1085&lt;=905,"Galar","Paldea"))))))))</f>
        <v>Kalos</v>
      </c>
      <c r="F1085" t="str">
        <f>IF(G1085&gt;=600,"Lendário",IF(G1085&gt;=500,"Forte","Normal"))</f>
        <v>Normal</v>
      </c>
      <c r="G1085" s="3">
        <f>G1084</f>
        <v>495</v>
      </c>
      <c r="H1085" s="3">
        <f>H1084</f>
        <v>95</v>
      </c>
      <c r="I1085" s="3">
        <f>I1084</f>
        <v>124</v>
      </c>
      <c r="J1085" s="3">
        <f>J1084</f>
        <v>78</v>
      </c>
      <c r="K1085" s="3">
        <f>K1084</f>
        <v>69</v>
      </c>
      <c r="L1085" s="3">
        <f>L1084</f>
        <v>71</v>
      </c>
      <c r="M1085" s="3">
        <f>M1084</f>
        <v>58</v>
      </c>
      <c r="N1085" s="3">
        <f>AVERAGE($I$2:$I$1168)</f>
        <v>78.907455012853475</v>
      </c>
      <c r="O1085" s="3" t="str">
        <f>CONCATENATE(A1085,"-",B1085)</f>
        <v>675-Pangoro</v>
      </c>
    </row>
    <row r="1086" spans="1:15">
      <c r="A1086" s="63">
        <v>676</v>
      </c>
      <c r="B1086" s="2" t="s">
        <v>756</v>
      </c>
      <c r="C1086" t="s">
        <v>42</v>
      </c>
      <c r="D1086" s="22">
        <f>COUNTIF($C$2:$C$1168,Tabela1[[#This Row],[Type]])</f>
        <v>99</v>
      </c>
      <c r="E1086" s="62" t="str">
        <f>IF(A1086&lt;=151,"Kanto",IF(A1086&lt;=251,"Johto",IF(A1086&lt;=386,"Hoenn",IF(A1086&lt;=493,"Sinnoh",IF(A1086&lt;=649,"Unova",IF(A1086&lt;=721,"Kalos",IF(A1086&lt;=809,"Alola",IF(A1086&lt;=905,"Galar","Paldea"))))))))</f>
        <v>Kalos</v>
      </c>
      <c r="F1086" t="str">
        <f>IF(G1086&gt;=600,"Lendário",IF(G1086&gt;=500,"Forte","Normal"))</f>
        <v>Normal</v>
      </c>
      <c r="G1086" s="3">
        <v>472</v>
      </c>
      <c r="H1086" s="3">
        <v>75</v>
      </c>
      <c r="I1086" s="3">
        <v>80</v>
      </c>
      <c r="J1086" s="3">
        <v>60</v>
      </c>
      <c r="K1086" s="3">
        <v>65</v>
      </c>
      <c r="L1086" s="3">
        <v>90</v>
      </c>
      <c r="M1086" s="3">
        <v>102</v>
      </c>
      <c r="N1086" s="3">
        <f>AVERAGE($I$2:$I$1168)</f>
        <v>78.907455012853475</v>
      </c>
      <c r="O1086" s="3" t="str">
        <f>CONCATENATE(A1086,"-",B1086)</f>
        <v>676-Furfrou</v>
      </c>
    </row>
    <row r="1087" spans="1:15">
      <c r="A1087" s="63">
        <v>677</v>
      </c>
      <c r="B1087" s="2" t="s">
        <v>757</v>
      </c>
      <c r="C1087" t="s">
        <v>94</v>
      </c>
      <c r="D1087" s="22">
        <f>COUNTIF($C$2:$C$1168,Tabela1[[#This Row],[Type]])</f>
        <v>83</v>
      </c>
      <c r="E1087" s="62" t="str">
        <f>IF(A1087&lt;=151,"Kanto",IF(A1087&lt;=251,"Johto",IF(A1087&lt;=386,"Hoenn",IF(A1087&lt;=493,"Sinnoh",IF(A1087&lt;=649,"Unova",IF(A1087&lt;=721,"Kalos",IF(A1087&lt;=809,"Alola",IF(A1087&lt;=905,"Galar","Paldea"))))))))</f>
        <v>Kalos</v>
      </c>
      <c r="F1087" t="str">
        <f>IF(G1087&gt;=600,"Lendário",IF(G1087&gt;=500,"Forte","Normal"))</f>
        <v>Normal</v>
      </c>
      <c r="G1087" s="3">
        <v>355</v>
      </c>
      <c r="H1087" s="3">
        <v>62</v>
      </c>
      <c r="I1087" s="3">
        <v>48</v>
      </c>
      <c r="J1087" s="3">
        <v>54</v>
      </c>
      <c r="K1087" s="3">
        <v>63</v>
      </c>
      <c r="L1087" s="3">
        <v>60</v>
      </c>
      <c r="M1087" s="3">
        <v>68</v>
      </c>
      <c r="N1087" s="3">
        <f>AVERAGE($I$2:$I$1168)</f>
        <v>78.907455012853475</v>
      </c>
      <c r="O1087" s="3" t="str">
        <f>CONCATENATE(A1087,"-",B1087)</f>
        <v>677-Espurr</v>
      </c>
    </row>
    <row r="1088" spans="1:15">
      <c r="A1088" s="63">
        <v>678</v>
      </c>
      <c r="B1088" s="2" t="s">
        <v>758</v>
      </c>
      <c r="C1088" t="s">
        <v>94</v>
      </c>
      <c r="D1088" s="22">
        <f>COUNTIF($C$2:$C$1168,Tabela1[[#This Row],[Type]])</f>
        <v>83</v>
      </c>
      <c r="E1088" s="62" t="str">
        <f>IF(A1088&lt;=151,"Kanto",IF(A1088&lt;=251,"Johto",IF(A1088&lt;=386,"Hoenn",IF(A1088&lt;=493,"Sinnoh",IF(A1088&lt;=649,"Unova",IF(A1088&lt;=721,"Kalos",IF(A1088&lt;=809,"Alola",IF(A1088&lt;=905,"Galar","Paldea"))))))))</f>
        <v>Kalos</v>
      </c>
      <c r="F1088" t="str">
        <f>IF(G1088&gt;=600,"Lendário",IF(G1088&gt;=500,"Forte","Normal"))</f>
        <v>Normal</v>
      </c>
      <c r="G1088" s="3">
        <v>466</v>
      </c>
      <c r="H1088" s="3">
        <v>74</v>
      </c>
      <c r="I1088" s="3">
        <v>48</v>
      </c>
      <c r="J1088" s="3">
        <v>76</v>
      </c>
      <c r="K1088" s="3">
        <v>83</v>
      </c>
      <c r="L1088" s="3">
        <v>81</v>
      </c>
      <c r="M1088" s="3">
        <v>104</v>
      </c>
      <c r="N1088" s="3">
        <f>AVERAGE($I$2:$I$1168)</f>
        <v>78.907455012853475</v>
      </c>
      <c r="O1088" s="3" t="str">
        <f>CONCATENATE(A1088,"-",B1088)</f>
        <v>678-Meowstic</v>
      </c>
    </row>
    <row r="1089" spans="1:15">
      <c r="A1089" s="63">
        <v>679</v>
      </c>
      <c r="B1089" s="2" t="s">
        <v>759</v>
      </c>
      <c r="C1089" t="s">
        <v>115</v>
      </c>
      <c r="D1089" s="22">
        <f>COUNTIF($C$2:$C$1168,Tabela1[[#This Row],[Type]])</f>
        <v>48</v>
      </c>
      <c r="E1089" s="62" t="str">
        <f>IF(A1089&lt;=151,"Kanto",IF(A1089&lt;=251,"Johto",IF(A1089&lt;=386,"Hoenn",IF(A1089&lt;=493,"Sinnoh",IF(A1089&lt;=649,"Unova",IF(A1089&lt;=721,"Kalos",IF(A1089&lt;=809,"Alola",IF(A1089&lt;=905,"Galar","Paldea"))))))))</f>
        <v>Kalos</v>
      </c>
      <c r="F1089" t="str">
        <f>IF(G1089&gt;=600,"Lendário",IF(G1089&gt;=500,"Forte","Normal"))</f>
        <v>Normal</v>
      </c>
      <c r="G1089" s="3">
        <v>325</v>
      </c>
      <c r="H1089" s="3">
        <v>45</v>
      </c>
      <c r="I1089" s="3">
        <v>80</v>
      </c>
      <c r="J1089" s="3">
        <v>100</v>
      </c>
      <c r="K1089" s="3">
        <v>35</v>
      </c>
      <c r="L1089" s="3">
        <v>37</v>
      </c>
      <c r="M1089" s="3">
        <v>28</v>
      </c>
      <c r="N1089" s="3">
        <f>AVERAGE($I$2:$I$1168)</f>
        <v>78.907455012853475</v>
      </c>
      <c r="O1089" s="3" t="str">
        <f>CONCATENATE(A1089,"-",B1089)</f>
        <v>679-Honedge</v>
      </c>
    </row>
    <row r="1090" spans="1:15">
      <c r="A1090" s="63">
        <v>679</v>
      </c>
      <c r="B1090" s="2" t="str">
        <f>B1089</f>
        <v>Honedge</v>
      </c>
      <c r="C1090" t="s">
        <v>128</v>
      </c>
      <c r="D1090" s="22">
        <f>COUNTIF($C$2:$C$1168,Tabela1[[#This Row],[Type]])</f>
        <v>45</v>
      </c>
      <c r="E1090" s="62" t="str">
        <f>IF(A1090&lt;=151,"Kanto",IF(A1090&lt;=251,"Johto",IF(A1090&lt;=386,"Hoenn",IF(A1090&lt;=493,"Sinnoh",IF(A1090&lt;=649,"Unova",IF(A1090&lt;=721,"Kalos",IF(A1090&lt;=809,"Alola",IF(A1090&lt;=905,"Galar","Paldea"))))))))</f>
        <v>Kalos</v>
      </c>
      <c r="F1090" t="str">
        <f>IF(G1090&gt;=600,"Lendário",IF(G1090&gt;=500,"Forte","Normal"))</f>
        <v>Normal</v>
      </c>
      <c r="G1090" s="3">
        <f>G1089</f>
        <v>325</v>
      </c>
      <c r="H1090" s="3">
        <f>H1089</f>
        <v>45</v>
      </c>
      <c r="I1090" s="3">
        <f>I1089</f>
        <v>80</v>
      </c>
      <c r="J1090" s="3">
        <f>J1089</f>
        <v>100</v>
      </c>
      <c r="K1090" s="3">
        <f>K1089</f>
        <v>35</v>
      </c>
      <c r="L1090" s="3">
        <f>L1089</f>
        <v>37</v>
      </c>
      <c r="M1090" s="3">
        <f>M1089</f>
        <v>28</v>
      </c>
      <c r="N1090" s="3">
        <f>AVERAGE($I$2:$I$1168)</f>
        <v>78.907455012853475</v>
      </c>
      <c r="O1090" s="3" t="str">
        <f>CONCATENATE(A1090,"-",B1090)</f>
        <v>679-Honedge</v>
      </c>
    </row>
    <row r="1091" spans="1:15">
      <c r="A1091" s="63">
        <v>680</v>
      </c>
      <c r="B1091" s="2" t="s">
        <v>760</v>
      </c>
      <c r="C1091" t="s">
        <v>115</v>
      </c>
      <c r="D1091" s="22">
        <f>COUNTIF($C$2:$C$1168,Tabela1[[#This Row],[Type]])</f>
        <v>48</v>
      </c>
      <c r="E1091" s="62" t="str">
        <f>IF(A1091&lt;=151,"Kanto",IF(A1091&lt;=251,"Johto",IF(A1091&lt;=386,"Hoenn",IF(A1091&lt;=493,"Sinnoh",IF(A1091&lt;=649,"Unova",IF(A1091&lt;=721,"Kalos",IF(A1091&lt;=809,"Alola",IF(A1091&lt;=905,"Galar","Paldea"))))))))</f>
        <v>Kalos</v>
      </c>
      <c r="F1091" t="str">
        <f>IF(G1091&gt;=600,"Lendário",IF(G1091&gt;=500,"Forte","Normal"))</f>
        <v>Normal</v>
      </c>
      <c r="G1091" s="3">
        <v>448</v>
      </c>
      <c r="H1091" s="3">
        <v>59</v>
      </c>
      <c r="I1091" s="3">
        <v>110</v>
      </c>
      <c r="J1091" s="3">
        <v>150</v>
      </c>
      <c r="K1091" s="3">
        <v>45</v>
      </c>
      <c r="L1091" s="3">
        <v>49</v>
      </c>
      <c r="M1091" s="3">
        <v>35</v>
      </c>
      <c r="N1091" s="3">
        <f>AVERAGE($I$2:$I$1168)</f>
        <v>78.907455012853475</v>
      </c>
      <c r="O1091" s="3" t="str">
        <f>CONCATENATE(A1091,"-",B1091)</f>
        <v>680-Doublade</v>
      </c>
    </row>
    <row r="1092" spans="1:15">
      <c r="A1092" s="63">
        <v>680</v>
      </c>
      <c r="B1092" s="2" t="str">
        <f>B1091</f>
        <v>Doublade</v>
      </c>
      <c r="C1092" t="s">
        <v>128</v>
      </c>
      <c r="D1092" s="22">
        <f>COUNTIF($C$2:$C$1168,Tabela1[[#This Row],[Type]])</f>
        <v>45</v>
      </c>
      <c r="E1092" s="62" t="str">
        <f>IF(A1092&lt;=151,"Kanto",IF(A1092&lt;=251,"Johto",IF(A1092&lt;=386,"Hoenn",IF(A1092&lt;=493,"Sinnoh",IF(A1092&lt;=649,"Unova",IF(A1092&lt;=721,"Kalos",IF(A1092&lt;=809,"Alola",IF(A1092&lt;=905,"Galar","Paldea"))))))))</f>
        <v>Kalos</v>
      </c>
      <c r="F1092" t="str">
        <f>IF(G1092&gt;=600,"Lendário",IF(G1092&gt;=500,"Forte","Normal"))</f>
        <v>Normal</v>
      </c>
      <c r="G1092" s="3">
        <f>G1091</f>
        <v>448</v>
      </c>
      <c r="H1092" s="3">
        <f>H1091</f>
        <v>59</v>
      </c>
      <c r="I1092" s="3">
        <f>I1091</f>
        <v>110</v>
      </c>
      <c r="J1092" s="3">
        <f>J1091</f>
        <v>150</v>
      </c>
      <c r="K1092" s="3">
        <f>K1091</f>
        <v>45</v>
      </c>
      <c r="L1092" s="3">
        <f>L1091</f>
        <v>49</v>
      </c>
      <c r="M1092" s="3">
        <f>M1091</f>
        <v>35</v>
      </c>
      <c r="N1092" s="3">
        <f>AVERAGE($I$2:$I$1168)</f>
        <v>78.907455012853475</v>
      </c>
      <c r="O1092" s="3" t="str">
        <f>CONCATENATE(A1092,"-",B1092)</f>
        <v>680-Doublade</v>
      </c>
    </row>
    <row r="1093" spans="1:15">
      <c r="A1093" s="63">
        <v>681</v>
      </c>
      <c r="B1093" s="2" t="s">
        <v>761</v>
      </c>
      <c r="C1093" t="s">
        <v>115</v>
      </c>
      <c r="D1093" s="22">
        <f>COUNTIF($C$2:$C$1168,Tabela1[[#This Row],[Type]])</f>
        <v>48</v>
      </c>
      <c r="E1093" s="62" t="str">
        <f>IF(A1093&lt;=151,"Kanto",IF(A1093&lt;=251,"Johto",IF(A1093&lt;=386,"Hoenn",IF(A1093&lt;=493,"Sinnoh",IF(A1093&lt;=649,"Unova",IF(A1093&lt;=721,"Kalos",IF(A1093&lt;=809,"Alola",IF(A1093&lt;=905,"Galar","Paldea"))))))))</f>
        <v>Kalos</v>
      </c>
      <c r="F1093" t="str">
        <f>IF(G1093&gt;=600,"Lendário",IF(G1093&gt;=500,"Forte","Normal"))</f>
        <v>Forte</v>
      </c>
      <c r="G1093" s="3">
        <v>520</v>
      </c>
      <c r="H1093" s="3">
        <v>60</v>
      </c>
      <c r="I1093" s="3">
        <v>150</v>
      </c>
      <c r="J1093" s="3">
        <v>50</v>
      </c>
      <c r="K1093" s="3">
        <v>150</v>
      </c>
      <c r="L1093" s="3">
        <v>50</v>
      </c>
      <c r="M1093" s="3">
        <v>60</v>
      </c>
      <c r="N1093" s="3">
        <f>AVERAGE($I$2:$I$1168)</f>
        <v>78.907455012853475</v>
      </c>
      <c r="O1093" s="3" t="str">
        <f>CONCATENATE(A1093,"-",B1093)</f>
        <v>681-Aegislash- Blade Forme</v>
      </c>
    </row>
    <row r="1094" spans="1:15">
      <c r="A1094" s="63">
        <v>681</v>
      </c>
      <c r="B1094" s="2" t="s">
        <v>761</v>
      </c>
      <c r="C1094" t="s">
        <v>128</v>
      </c>
      <c r="D1094" s="22">
        <f>COUNTIF($C$2:$C$1168,Tabela1[[#This Row],[Type]])</f>
        <v>45</v>
      </c>
      <c r="E1094" s="62" t="str">
        <f>IF(A1094&lt;=151,"Kanto",IF(A1094&lt;=251,"Johto",IF(A1094&lt;=386,"Hoenn",IF(A1094&lt;=493,"Sinnoh",IF(A1094&lt;=649,"Unova",IF(A1094&lt;=721,"Kalos",IF(A1094&lt;=809,"Alola",IF(A1094&lt;=905,"Galar","Paldea"))))))))</f>
        <v>Kalos</v>
      </c>
      <c r="F1094" t="str">
        <f>IF(G1094&gt;=600,"Lendário",IF(G1094&gt;=500,"Forte","Normal"))</f>
        <v>Forte</v>
      </c>
      <c r="G1094" s="3">
        <f>G1093</f>
        <v>520</v>
      </c>
      <c r="H1094" s="3">
        <f>H1093</f>
        <v>60</v>
      </c>
      <c r="I1094" s="3">
        <f>I1093</f>
        <v>150</v>
      </c>
      <c r="J1094" s="3">
        <f>J1093</f>
        <v>50</v>
      </c>
      <c r="K1094" s="3">
        <f>K1093</f>
        <v>150</v>
      </c>
      <c r="L1094" s="3">
        <f>L1093</f>
        <v>50</v>
      </c>
      <c r="M1094" s="3">
        <f>M1093</f>
        <v>60</v>
      </c>
      <c r="N1094" s="3">
        <f>AVERAGE($I$2:$I$1168)</f>
        <v>78.907455012853475</v>
      </c>
      <c r="O1094" s="3" t="str">
        <f>CONCATENATE(A1094,"-",B1094)</f>
        <v>681-Aegislash- Blade Forme</v>
      </c>
    </row>
    <row r="1095" spans="1:15">
      <c r="A1095" s="63">
        <v>681.1</v>
      </c>
      <c r="B1095" s="2" t="s">
        <v>762</v>
      </c>
      <c r="C1095" t="s">
        <v>115</v>
      </c>
      <c r="D1095" s="22">
        <f>COUNTIF($C$2:$C$1168,Tabela1[[#This Row],[Type]])</f>
        <v>48</v>
      </c>
      <c r="E1095" s="62" t="str">
        <f>IF(A1095&lt;=151,"Kanto",IF(A1095&lt;=251,"Johto",IF(A1095&lt;=386,"Hoenn",IF(A1095&lt;=493,"Sinnoh",IF(A1095&lt;=649,"Unova",IF(A1095&lt;=721,"Kalos",IF(A1095&lt;=809,"Alola",IF(A1095&lt;=905,"Galar","Paldea"))))))))</f>
        <v>Kalos</v>
      </c>
      <c r="F1095" t="str">
        <f>IF(G1095&gt;=600,"Lendário",IF(G1095&gt;=500,"Forte","Normal"))</f>
        <v>Forte</v>
      </c>
      <c r="G1095" s="3">
        <v>520</v>
      </c>
      <c r="H1095" s="3">
        <v>60</v>
      </c>
      <c r="I1095" s="3">
        <v>50</v>
      </c>
      <c r="J1095" s="3">
        <v>150</v>
      </c>
      <c r="K1095" s="3">
        <v>50</v>
      </c>
      <c r="L1095" s="3">
        <v>150</v>
      </c>
      <c r="M1095" s="3">
        <v>60</v>
      </c>
      <c r="N1095" s="3">
        <f>AVERAGE($I$2:$I$1168)</f>
        <v>78.907455012853475</v>
      </c>
      <c r="O1095" s="3" t="str">
        <f>CONCATENATE(A1095,"-",B1095)</f>
        <v>681,1-Aegislash- Shield Forme</v>
      </c>
    </row>
    <row r="1096" spans="1:15">
      <c r="A1096" s="63">
        <v>681.1</v>
      </c>
      <c r="B1096" s="2" t="s">
        <v>762</v>
      </c>
      <c r="C1096" t="s">
        <v>128</v>
      </c>
      <c r="D1096" s="22">
        <f>COUNTIF($C$2:$C$1168,Tabela1[[#This Row],[Type]])</f>
        <v>45</v>
      </c>
      <c r="E1096" s="62" t="str">
        <f>IF(A1096&lt;=151,"Kanto",IF(A1096&lt;=251,"Johto",IF(A1096&lt;=386,"Hoenn",IF(A1096&lt;=493,"Sinnoh",IF(A1096&lt;=649,"Unova",IF(A1096&lt;=721,"Kalos",IF(A1096&lt;=809,"Alola",IF(A1096&lt;=905,"Galar","Paldea"))))))))</f>
        <v>Kalos</v>
      </c>
      <c r="F1096" t="str">
        <f>IF(G1096&gt;=600,"Lendário",IF(G1096&gt;=500,"Forte","Normal"))</f>
        <v>Forte</v>
      </c>
      <c r="G1096" s="3">
        <f>G1095</f>
        <v>520</v>
      </c>
      <c r="H1096" s="3">
        <f>H1095</f>
        <v>60</v>
      </c>
      <c r="I1096" s="3">
        <f>I1095</f>
        <v>50</v>
      </c>
      <c r="J1096" s="3">
        <f>J1095</f>
        <v>150</v>
      </c>
      <c r="K1096" s="3">
        <f>K1095</f>
        <v>50</v>
      </c>
      <c r="L1096" s="3">
        <f>L1095</f>
        <v>150</v>
      </c>
      <c r="M1096" s="3">
        <f>M1095</f>
        <v>60</v>
      </c>
      <c r="N1096" s="3">
        <f>AVERAGE($I$2:$I$1168)</f>
        <v>78.907455012853475</v>
      </c>
      <c r="O1096" s="3" t="str">
        <f>CONCATENATE(A1096,"-",B1096)</f>
        <v>681,1-Aegislash- Shield Forme</v>
      </c>
    </row>
    <row r="1097" spans="1:15">
      <c r="A1097" s="63">
        <v>682</v>
      </c>
      <c r="B1097" s="2" t="s">
        <v>763</v>
      </c>
      <c r="C1097" t="s">
        <v>64</v>
      </c>
      <c r="D1097" s="22">
        <f>COUNTIF($C$2:$C$1168,Tabela1[[#This Row],[Type]])</f>
        <v>34</v>
      </c>
      <c r="E1097" s="62" t="str">
        <f>IF(A1097&lt;=151,"Kanto",IF(A1097&lt;=251,"Johto",IF(A1097&lt;=386,"Hoenn",IF(A1097&lt;=493,"Sinnoh",IF(A1097&lt;=649,"Unova",IF(A1097&lt;=721,"Kalos",IF(A1097&lt;=809,"Alola",IF(A1097&lt;=905,"Galar","Paldea"))))))))</f>
        <v>Kalos</v>
      </c>
      <c r="F1097" t="str">
        <f>IF(G1097&gt;=600,"Lendário",IF(G1097&gt;=500,"Forte","Normal"))</f>
        <v>Normal</v>
      </c>
      <c r="G1097" s="3">
        <v>341</v>
      </c>
      <c r="H1097" s="3">
        <v>78</v>
      </c>
      <c r="I1097" s="3">
        <v>52</v>
      </c>
      <c r="J1097" s="3">
        <v>60</v>
      </c>
      <c r="K1097" s="3">
        <v>63</v>
      </c>
      <c r="L1097" s="3">
        <v>65</v>
      </c>
      <c r="M1097" s="3">
        <v>23</v>
      </c>
      <c r="N1097" s="3">
        <f>AVERAGE($I$2:$I$1168)</f>
        <v>78.907455012853475</v>
      </c>
      <c r="O1097" s="3" t="str">
        <f>CONCATENATE(A1097,"-",B1097)</f>
        <v>682-Spritzee</v>
      </c>
    </row>
    <row r="1098" spans="1:15">
      <c r="A1098" s="63">
        <v>682</v>
      </c>
      <c r="B1098" s="2" t="str">
        <f>B1097</f>
        <v>Spritzee</v>
      </c>
      <c r="C1098" t="s">
        <v>16</v>
      </c>
      <c r="D1098" s="22">
        <f>COUNTIF($C$2:$C$1168,Tabela1[[#This Row],[Type]])</f>
        <v>93</v>
      </c>
      <c r="E1098" s="62" t="str">
        <f>IF(A1098&lt;=151,"Kanto",IF(A1098&lt;=251,"Johto",IF(A1098&lt;=386,"Hoenn",IF(A1098&lt;=493,"Sinnoh",IF(A1098&lt;=649,"Unova",IF(A1098&lt;=721,"Kalos",IF(A1098&lt;=809,"Alola",IF(A1098&lt;=905,"Galar","Paldea"))))))))</f>
        <v>Kalos</v>
      </c>
      <c r="F1098" t="str">
        <f>IF(G1098&gt;=600,"Lendário",IF(G1098&gt;=500,"Forte","Normal"))</f>
        <v>Normal</v>
      </c>
      <c r="G1098" s="3">
        <f>G1097</f>
        <v>341</v>
      </c>
      <c r="H1098" s="3">
        <f>H1097</f>
        <v>78</v>
      </c>
      <c r="I1098" s="3">
        <f>I1097</f>
        <v>52</v>
      </c>
      <c r="J1098" s="3">
        <f>J1097</f>
        <v>60</v>
      </c>
      <c r="K1098" s="3">
        <f>K1097</f>
        <v>63</v>
      </c>
      <c r="L1098" s="3">
        <f>L1097</f>
        <v>65</v>
      </c>
      <c r="M1098" s="3">
        <f>M1097</f>
        <v>23</v>
      </c>
      <c r="N1098" s="3">
        <f>AVERAGE($I$2:$I$1168)</f>
        <v>78.907455012853475</v>
      </c>
      <c r="O1098" s="3" t="str">
        <f>CONCATENATE(A1098,"-",B1098)</f>
        <v>682-Spritzee</v>
      </c>
    </row>
    <row r="1099" spans="1:15">
      <c r="A1099" s="63">
        <v>683</v>
      </c>
      <c r="B1099" s="2" t="s">
        <v>764</v>
      </c>
      <c r="C1099" t="s">
        <v>64</v>
      </c>
      <c r="D1099" s="22">
        <f>COUNTIF($C$2:$C$1168,Tabela1[[#This Row],[Type]])</f>
        <v>34</v>
      </c>
      <c r="E1099" s="62" t="str">
        <f>IF(A1099&lt;=151,"Kanto",IF(A1099&lt;=251,"Johto",IF(A1099&lt;=386,"Hoenn",IF(A1099&lt;=493,"Sinnoh",IF(A1099&lt;=649,"Unova",IF(A1099&lt;=721,"Kalos",IF(A1099&lt;=809,"Alola",IF(A1099&lt;=905,"Galar","Paldea"))))))))</f>
        <v>Kalos</v>
      </c>
      <c r="F1099" t="str">
        <f>IF(G1099&gt;=600,"Lendário",IF(G1099&gt;=500,"Forte","Normal"))</f>
        <v>Normal</v>
      </c>
      <c r="G1099" s="3">
        <v>462</v>
      </c>
      <c r="H1099" s="3">
        <v>101</v>
      </c>
      <c r="I1099" s="3">
        <v>72</v>
      </c>
      <c r="J1099" s="3">
        <v>72</v>
      </c>
      <c r="K1099" s="3">
        <v>99</v>
      </c>
      <c r="L1099" s="3">
        <v>89</v>
      </c>
      <c r="M1099" s="3">
        <v>29</v>
      </c>
      <c r="N1099" s="3">
        <f>AVERAGE($I$2:$I$1168)</f>
        <v>78.907455012853475</v>
      </c>
      <c r="O1099" s="3" t="str">
        <f>CONCATENATE(A1099,"-",B1099)</f>
        <v>683-Aromatisse</v>
      </c>
    </row>
    <row r="1100" spans="1:15">
      <c r="A1100" s="63">
        <v>684</v>
      </c>
      <c r="B1100" s="2" t="s">
        <v>765</v>
      </c>
      <c r="C1100" t="s">
        <v>64</v>
      </c>
      <c r="D1100" s="22">
        <f>COUNTIF($C$2:$C$1168,Tabela1[[#This Row],[Type]])</f>
        <v>34</v>
      </c>
      <c r="E1100" s="62" t="str">
        <f>IF(A1100&lt;=151,"Kanto",IF(A1100&lt;=251,"Johto",IF(A1100&lt;=386,"Hoenn",IF(A1100&lt;=493,"Sinnoh",IF(A1100&lt;=649,"Unova",IF(A1100&lt;=721,"Kalos",IF(A1100&lt;=809,"Alola",IF(A1100&lt;=905,"Galar","Paldea"))))))))</f>
        <v>Kalos</v>
      </c>
      <c r="F1100" t="str">
        <f>IF(G1100&gt;=600,"Lendário",IF(G1100&gt;=500,"Forte","Normal"))</f>
        <v>Normal</v>
      </c>
      <c r="G1100" s="3">
        <v>341</v>
      </c>
      <c r="H1100" s="3">
        <v>62</v>
      </c>
      <c r="I1100" s="3">
        <v>48</v>
      </c>
      <c r="J1100" s="3">
        <v>66</v>
      </c>
      <c r="K1100" s="3">
        <v>59</v>
      </c>
      <c r="L1100" s="3">
        <v>57</v>
      </c>
      <c r="M1100" s="3">
        <v>49</v>
      </c>
      <c r="N1100" s="3">
        <f>AVERAGE($I$2:$I$1168)</f>
        <v>78.907455012853475</v>
      </c>
      <c r="O1100" s="3" t="str">
        <f>CONCATENATE(A1100,"-",B1100)</f>
        <v>684-Swirlix</v>
      </c>
    </row>
    <row r="1101" spans="1:15">
      <c r="A1101" s="63">
        <v>684</v>
      </c>
      <c r="B1101" s="2" t="str">
        <f>B1100</f>
        <v>Swirlix</v>
      </c>
      <c r="C1101" t="s">
        <v>55</v>
      </c>
      <c r="D1101" s="22">
        <f>COUNTIF($C$2:$C$1168,Tabela1[[#This Row],[Type]])</f>
        <v>62</v>
      </c>
      <c r="E1101" s="62" t="str">
        <f>IF(A1101&lt;=151,"Kanto",IF(A1101&lt;=251,"Johto",IF(A1101&lt;=386,"Hoenn",IF(A1101&lt;=493,"Sinnoh",IF(A1101&lt;=649,"Unova",IF(A1101&lt;=721,"Kalos",IF(A1101&lt;=809,"Alola",IF(A1101&lt;=905,"Galar","Paldea"))))))))</f>
        <v>Kalos</v>
      </c>
      <c r="F1101" t="str">
        <f>IF(G1101&gt;=600,"Lendário",IF(G1101&gt;=500,"Forte","Normal"))</f>
        <v>Normal</v>
      </c>
      <c r="G1101" s="3">
        <f>G1100</f>
        <v>341</v>
      </c>
      <c r="H1101" s="3">
        <f>H1100</f>
        <v>62</v>
      </c>
      <c r="I1101" s="3">
        <f>I1100</f>
        <v>48</v>
      </c>
      <c r="J1101" s="3">
        <f>J1100</f>
        <v>66</v>
      </c>
      <c r="K1101" s="3">
        <f>K1100</f>
        <v>59</v>
      </c>
      <c r="L1101" s="3">
        <f>L1100</f>
        <v>57</v>
      </c>
      <c r="M1101" s="3">
        <f>M1100</f>
        <v>49</v>
      </c>
      <c r="N1101" s="3">
        <f>AVERAGE($I$2:$I$1168)</f>
        <v>78.907455012853475</v>
      </c>
      <c r="O1101" s="3" t="str">
        <f>CONCATENATE(A1101,"-",B1101)</f>
        <v>684-Swirlix</v>
      </c>
    </row>
    <row r="1102" spans="1:15">
      <c r="A1102" s="63">
        <v>685</v>
      </c>
      <c r="B1102" s="2" t="s">
        <v>766</v>
      </c>
      <c r="C1102" t="s">
        <v>64</v>
      </c>
      <c r="D1102" s="22">
        <f>COUNTIF($C$2:$C$1168,Tabela1[[#This Row],[Type]])</f>
        <v>34</v>
      </c>
      <c r="E1102" s="62" t="str">
        <f>IF(A1102&lt;=151,"Kanto",IF(A1102&lt;=251,"Johto",IF(A1102&lt;=386,"Hoenn",IF(A1102&lt;=493,"Sinnoh",IF(A1102&lt;=649,"Unova",IF(A1102&lt;=721,"Kalos",IF(A1102&lt;=809,"Alola",IF(A1102&lt;=905,"Galar","Paldea"))))))))</f>
        <v>Kalos</v>
      </c>
      <c r="F1102" t="str">
        <f>IF(G1102&gt;=600,"Lendário",IF(G1102&gt;=500,"Forte","Normal"))</f>
        <v>Normal</v>
      </c>
      <c r="G1102" s="3">
        <v>480</v>
      </c>
      <c r="H1102" s="3">
        <v>82</v>
      </c>
      <c r="I1102" s="3">
        <v>80</v>
      </c>
      <c r="J1102" s="3">
        <v>86</v>
      </c>
      <c r="K1102" s="3">
        <v>85</v>
      </c>
      <c r="L1102" s="3">
        <v>75</v>
      </c>
      <c r="M1102" s="3">
        <v>72</v>
      </c>
      <c r="N1102" s="3">
        <f>AVERAGE($I$2:$I$1168)</f>
        <v>78.907455012853475</v>
      </c>
      <c r="O1102" s="3" t="str">
        <f>CONCATENATE(A1102,"-",B1102)</f>
        <v>685-Slurpuff</v>
      </c>
    </row>
    <row r="1103" spans="1:15">
      <c r="A1103" s="63">
        <v>686</v>
      </c>
      <c r="B1103" s="2" t="s">
        <v>767</v>
      </c>
      <c r="C1103" t="s">
        <v>170</v>
      </c>
      <c r="D1103" s="22">
        <f>COUNTIF($C$2:$C$1168,Tabela1[[#This Row],[Type]])</f>
        <v>49</v>
      </c>
      <c r="E1103" s="62" t="str">
        <f>IF(A1103&lt;=151,"Kanto",IF(A1103&lt;=251,"Johto",IF(A1103&lt;=386,"Hoenn",IF(A1103&lt;=493,"Sinnoh",IF(A1103&lt;=649,"Unova",IF(A1103&lt;=721,"Kalos",IF(A1103&lt;=809,"Alola",IF(A1103&lt;=905,"Galar","Paldea"))))))))</f>
        <v>Kalos</v>
      </c>
      <c r="F1103" t="str">
        <f>IF(G1103&gt;=600,"Lendário",IF(G1103&gt;=500,"Forte","Normal"))</f>
        <v>Normal</v>
      </c>
      <c r="G1103" s="3">
        <v>288</v>
      </c>
      <c r="H1103" s="3">
        <v>53</v>
      </c>
      <c r="I1103" s="3">
        <v>54</v>
      </c>
      <c r="J1103" s="3">
        <v>53</v>
      </c>
      <c r="K1103" s="3">
        <v>37</v>
      </c>
      <c r="L1103" s="3">
        <v>46</v>
      </c>
      <c r="M1103" s="3">
        <v>45</v>
      </c>
      <c r="N1103" s="3">
        <f>AVERAGE($I$2:$I$1168)</f>
        <v>78.907455012853475</v>
      </c>
      <c r="O1103" s="3" t="str">
        <f>CONCATENATE(A1103,"-",B1103)</f>
        <v>686-Inkay</v>
      </c>
    </row>
    <row r="1104" spans="1:15">
      <c r="A1104" s="63">
        <v>686</v>
      </c>
      <c r="B1104" s="2" t="str">
        <f>B1103</f>
        <v>Inkay</v>
      </c>
      <c r="C1104" t="s">
        <v>94</v>
      </c>
      <c r="D1104" s="22">
        <f>COUNTIF($C$2:$C$1168,Tabela1[[#This Row],[Type]])</f>
        <v>83</v>
      </c>
      <c r="E1104" s="62" t="str">
        <f>IF(A1104&lt;=151,"Kanto",IF(A1104&lt;=251,"Johto",IF(A1104&lt;=386,"Hoenn",IF(A1104&lt;=493,"Sinnoh",IF(A1104&lt;=649,"Unova",IF(A1104&lt;=721,"Kalos",IF(A1104&lt;=809,"Alola",IF(A1104&lt;=905,"Galar","Paldea"))))))))</f>
        <v>Kalos</v>
      </c>
      <c r="F1104" t="str">
        <f>IF(G1104&gt;=600,"Lendário",IF(G1104&gt;=500,"Forte","Normal"))</f>
        <v>Normal</v>
      </c>
      <c r="G1104" s="3">
        <f>G1103</f>
        <v>288</v>
      </c>
      <c r="H1104" s="3">
        <f>H1103</f>
        <v>53</v>
      </c>
      <c r="I1104" s="3">
        <f>I1103</f>
        <v>54</v>
      </c>
      <c r="J1104" s="3">
        <f>J1103</f>
        <v>53</v>
      </c>
      <c r="K1104" s="3">
        <f>K1103</f>
        <v>37</v>
      </c>
      <c r="L1104" s="3">
        <f>L1103</f>
        <v>46</v>
      </c>
      <c r="M1104" s="3">
        <f>M1103</f>
        <v>45</v>
      </c>
      <c r="N1104" s="3">
        <f>AVERAGE($I$2:$I$1168)</f>
        <v>78.907455012853475</v>
      </c>
      <c r="O1104" s="3" t="str">
        <f>CONCATENATE(A1104,"-",B1104)</f>
        <v>686-Inkay</v>
      </c>
    </row>
    <row r="1105" spans="1:15">
      <c r="A1105" s="63">
        <v>687</v>
      </c>
      <c r="B1105" s="2" t="s">
        <v>768</v>
      </c>
      <c r="C1105" t="s">
        <v>170</v>
      </c>
      <c r="D1105" s="22">
        <f>COUNTIF($C$2:$C$1168,Tabela1[[#This Row],[Type]])</f>
        <v>49</v>
      </c>
      <c r="E1105" s="62" t="str">
        <f>IF(A1105&lt;=151,"Kanto",IF(A1105&lt;=251,"Johto",IF(A1105&lt;=386,"Hoenn",IF(A1105&lt;=493,"Sinnoh",IF(A1105&lt;=649,"Unova",IF(A1105&lt;=721,"Kalos",IF(A1105&lt;=809,"Alola",IF(A1105&lt;=905,"Galar","Paldea"))))))))</f>
        <v>Kalos</v>
      </c>
      <c r="F1105" t="str">
        <f>IF(G1105&gt;=600,"Lendário",IF(G1105&gt;=500,"Forte","Normal"))</f>
        <v>Normal</v>
      </c>
      <c r="G1105" s="3">
        <v>482</v>
      </c>
      <c r="H1105" s="3">
        <v>86</v>
      </c>
      <c r="I1105" s="3">
        <v>92</v>
      </c>
      <c r="J1105" s="3">
        <v>88</v>
      </c>
      <c r="K1105" s="3">
        <v>68</v>
      </c>
      <c r="L1105" s="3">
        <v>75</v>
      </c>
      <c r="M1105" s="3">
        <v>73</v>
      </c>
      <c r="N1105" s="3">
        <f>AVERAGE($I$2:$I$1168)</f>
        <v>78.907455012853475</v>
      </c>
      <c r="O1105" s="3" t="str">
        <f>CONCATENATE(A1105,"-",B1105)</f>
        <v>687-Malamar</v>
      </c>
    </row>
    <row r="1106" spans="1:15">
      <c r="A1106" s="63">
        <v>687</v>
      </c>
      <c r="B1106" s="2" t="str">
        <f>B1105</f>
        <v>Malamar</v>
      </c>
      <c r="C1106" t="s">
        <v>94</v>
      </c>
      <c r="D1106" s="22">
        <f>COUNTIF($C$2:$C$1168,Tabela1[[#This Row],[Type]])</f>
        <v>83</v>
      </c>
      <c r="E1106" s="62" t="str">
        <f>IF(A1106&lt;=151,"Kanto",IF(A1106&lt;=251,"Johto",IF(A1106&lt;=386,"Hoenn",IF(A1106&lt;=493,"Sinnoh",IF(A1106&lt;=649,"Unova",IF(A1106&lt;=721,"Kalos",IF(A1106&lt;=809,"Alola",IF(A1106&lt;=905,"Galar","Paldea"))))))))</f>
        <v>Kalos</v>
      </c>
      <c r="F1106" t="str">
        <f>IF(G1106&gt;=600,"Lendário",IF(G1106&gt;=500,"Forte","Normal"))</f>
        <v>Normal</v>
      </c>
      <c r="G1106" s="3">
        <f>G1105</f>
        <v>482</v>
      </c>
      <c r="H1106" s="3">
        <f>H1105</f>
        <v>86</v>
      </c>
      <c r="I1106" s="3">
        <f>I1105</f>
        <v>92</v>
      </c>
      <c r="J1106" s="3">
        <f>J1105</f>
        <v>88</v>
      </c>
      <c r="K1106" s="3">
        <f>K1105</f>
        <v>68</v>
      </c>
      <c r="L1106" s="3">
        <f>L1105</f>
        <v>75</v>
      </c>
      <c r="M1106" s="3">
        <f>M1105</f>
        <v>73</v>
      </c>
      <c r="N1106" s="3">
        <f>AVERAGE($I$2:$I$1168)</f>
        <v>78.907455012853475</v>
      </c>
      <c r="O1106" s="3" t="str">
        <f>CONCATENATE(A1106,"-",B1106)</f>
        <v>687-Malamar</v>
      </c>
    </row>
    <row r="1107" spans="1:15">
      <c r="A1107" s="63">
        <v>688</v>
      </c>
      <c r="B1107" s="2" t="s">
        <v>769</v>
      </c>
      <c r="C1107" t="s">
        <v>107</v>
      </c>
      <c r="D1107" s="22">
        <f>COUNTIF($C$2:$C$1168,Tabela1[[#This Row],[Type]])</f>
        <v>56</v>
      </c>
      <c r="E1107" s="62" t="str">
        <f>IF(A1107&lt;=151,"Kanto",IF(A1107&lt;=251,"Johto",IF(A1107&lt;=386,"Hoenn",IF(A1107&lt;=493,"Sinnoh",IF(A1107&lt;=649,"Unova",IF(A1107&lt;=721,"Kalos",IF(A1107&lt;=809,"Alola",IF(A1107&lt;=905,"Galar","Paldea"))))))))</f>
        <v>Kalos</v>
      </c>
      <c r="F1107" t="str">
        <f>IF(G1107&gt;=600,"Lendário",IF(G1107&gt;=500,"Forte","Normal"))</f>
        <v>Normal</v>
      </c>
      <c r="G1107" s="3">
        <v>306</v>
      </c>
      <c r="H1107" s="3">
        <v>42</v>
      </c>
      <c r="I1107" s="3">
        <v>52</v>
      </c>
      <c r="J1107" s="3">
        <v>67</v>
      </c>
      <c r="K1107" s="3">
        <v>39</v>
      </c>
      <c r="L1107" s="3">
        <v>56</v>
      </c>
      <c r="M1107" s="3">
        <v>50</v>
      </c>
      <c r="N1107" s="3">
        <f>AVERAGE($I$2:$I$1168)</f>
        <v>78.907455012853475</v>
      </c>
      <c r="O1107" s="3" t="str">
        <f>CONCATENATE(A1107,"-",B1107)</f>
        <v>688-Binacle</v>
      </c>
    </row>
    <row r="1108" spans="1:15">
      <c r="A1108" s="63">
        <v>688</v>
      </c>
      <c r="B1108" s="2" t="str">
        <f>B1107</f>
        <v>Binacle</v>
      </c>
      <c r="C1108" t="s">
        <v>30</v>
      </c>
      <c r="D1108" s="22">
        <f>COUNTIF($C$2:$C$1168,Tabela1[[#This Row],[Type]])</f>
        <v>121</v>
      </c>
      <c r="E1108" s="62" t="str">
        <f>IF(A1108&lt;=151,"Kanto",IF(A1108&lt;=251,"Johto",IF(A1108&lt;=386,"Hoenn",IF(A1108&lt;=493,"Sinnoh",IF(A1108&lt;=649,"Unova",IF(A1108&lt;=721,"Kalos",IF(A1108&lt;=809,"Alola",IF(A1108&lt;=905,"Galar","Paldea"))))))))</f>
        <v>Kalos</v>
      </c>
      <c r="F1108" t="str">
        <f>IF(G1108&gt;=600,"Lendário",IF(G1108&gt;=500,"Forte","Normal"))</f>
        <v>Normal</v>
      </c>
      <c r="G1108" s="3">
        <f>G1107</f>
        <v>306</v>
      </c>
      <c r="H1108" s="3">
        <f>H1107</f>
        <v>42</v>
      </c>
      <c r="I1108" s="3">
        <f>I1107</f>
        <v>52</v>
      </c>
      <c r="J1108" s="3">
        <f>J1107</f>
        <v>67</v>
      </c>
      <c r="K1108" s="3">
        <f>K1107</f>
        <v>39</v>
      </c>
      <c r="L1108" s="3">
        <f>L1107</f>
        <v>56</v>
      </c>
      <c r="M1108" s="3">
        <f>M1107</f>
        <v>50</v>
      </c>
      <c r="N1108" s="3">
        <f>AVERAGE($I$2:$I$1168)</f>
        <v>78.907455012853475</v>
      </c>
      <c r="O1108" s="3" t="str">
        <f>CONCATENATE(A1108,"-",B1108)</f>
        <v>688-Binacle</v>
      </c>
    </row>
    <row r="1109" spans="1:15">
      <c r="A1109" s="63">
        <v>689</v>
      </c>
      <c r="B1109" s="2" t="s">
        <v>770</v>
      </c>
      <c r="C1109" t="s">
        <v>107</v>
      </c>
      <c r="D1109" s="22">
        <f>COUNTIF($C$2:$C$1168,Tabela1[[#This Row],[Type]])</f>
        <v>56</v>
      </c>
      <c r="E1109" s="62" t="str">
        <f>IF(A1109&lt;=151,"Kanto",IF(A1109&lt;=251,"Johto",IF(A1109&lt;=386,"Hoenn",IF(A1109&lt;=493,"Sinnoh",IF(A1109&lt;=649,"Unova",IF(A1109&lt;=721,"Kalos",IF(A1109&lt;=809,"Alola",IF(A1109&lt;=905,"Galar","Paldea"))))))))</f>
        <v>Kalos</v>
      </c>
      <c r="F1109" t="str">
        <f>IF(G1109&gt;=600,"Lendário",IF(G1109&gt;=500,"Forte","Normal"))</f>
        <v>Forte</v>
      </c>
      <c r="G1109" s="3">
        <v>500</v>
      </c>
      <c r="H1109" s="3">
        <v>72</v>
      </c>
      <c r="I1109" s="3">
        <v>105</v>
      </c>
      <c r="J1109" s="3">
        <v>115</v>
      </c>
      <c r="K1109" s="3">
        <v>54</v>
      </c>
      <c r="L1109" s="3">
        <v>86</v>
      </c>
      <c r="M1109" s="3">
        <v>68</v>
      </c>
      <c r="N1109" s="3">
        <f>AVERAGE($I$2:$I$1168)</f>
        <v>78.907455012853475</v>
      </c>
      <c r="O1109" s="3" t="str">
        <f>CONCATENATE(A1109,"-",B1109)</f>
        <v>689-Barbaracle</v>
      </c>
    </row>
    <row r="1110" spans="1:15">
      <c r="A1110" s="63">
        <v>689</v>
      </c>
      <c r="B1110" s="2" t="str">
        <f>B1109</f>
        <v>Barbaracle</v>
      </c>
      <c r="C1110" t="s">
        <v>30</v>
      </c>
      <c r="D1110" s="22">
        <f>COUNTIF($C$2:$C$1168,Tabela1[[#This Row],[Type]])</f>
        <v>121</v>
      </c>
      <c r="E1110" s="62" t="str">
        <f>IF(A1110&lt;=151,"Kanto",IF(A1110&lt;=251,"Johto",IF(A1110&lt;=386,"Hoenn",IF(A1110&lt;=493,"Sinnoh",IF(A1110&lt;=649,"Unova",IF(A1110&lt;=721,"Kalos",IF(A1110&lt;=809,"Alola",IF(A1110&lt;=905,"Galar","Paldea"))))))))</f>
        <v>Kalos</v>
      </c>
      <c r="F1110" t="str">
        <f>IF(G1110&gt;=600,"Lendário",IF(G1110&gt;=500,"Forte","Normal"))</f>
        <v>Forte</v>
      </c>
      <c r="G1110" s="3">
        <f>G1109</f>
        <v>500</v>
      </c>
      <c r="H1110" s="3">
        <f>H1109</f>
        <v>72</v>
      </c>
      <c r="I1110" s="3">
        <f>I1109</f>
        <v>105</v>
      </c>
      <c r="J1110" s="3">
        <f>J1109</f>
        <v>115</v>
      </c>
      <c r="K1110" s="3">
        <f>K1109</f>
        <v>54</v>
      </c>
      <c r="L1110" s="3">
        <f>L1109</f>
        <v>86</v>
      </c>
      <c r="M1110" s="3">
        <f>M1109</f>
        <v>68</v>
      </c>
      <c r="N1110" s="3">
        <f>AVERAGE($I$2:$I$1168)</f>
        <v>78.907455012853475</v>
      </c>
      <c r="O1110" s="3" t="str">
        <f>CONCATENATE(A1110,"-",B1110)</f>
        <v>689-Barbaracle</v>
      </c>
    </row>
    <row r="1111" spans="1:15">
      <c r="A1111" s="63">
        <v>690</v>
      </c>
      <c r="B1111" s="2" t="s">
        <v>771</v>
      </c>
      <c r="C1111" t="s">
        <v>17</v>
      </c>
      <c r="D1111" s="22">
        <f>COUNTIF($C$2:$C$1168,Tabela1[[#This Row],[Type]])</f>
        <v>61</v>
      </c>
      <c r="E1111" s="62" t="str">
        <f>IF(A1111&lt;=151,"Kanto",IF(A1111&lt;=251,"Johto",IF(A1111&lt;=386,"Hoenn",IF(A1111&lt;=493,"Sinnoh",IF(A1111&lt;=649,"Unova",IF(A1111&lt;=721,"Kalos",IF(A1111&lt;=809,"Alola",IF(A1111&lt;=905,"Galar","Paldea"))))))))</f>
        <v>Kalos</v>
      </c>
      <c r="F1111" t="str">
        <f>IF(G1111&gt;=600,"Lendário",IF(G1111&gt;=500,"Forte","Normal"))</f>
        <v>Normal</v>
      </c>
      <c r="G1111" s="3">
        <v>320</v>
      </c>
      <c r="H1111" s="3">
        <v>50</v>
      </c>
      <c r="I1111" s="3">
        <v>60</v>
      </c>
      <c r="J1111" s="3">
        <v>60</v>
      </c>
      <c r="K1111" s="3">
        <v>60</v>
      </c>
      <c r="L1111" s="3">
        <v>60</v>
      </c>
      <c r="M1111" s="3">
        <v>30</v>
      </c>
      <c r="N1111" s="3">
        <f>AVERAGE($I$2:$I$1168)</f>
        <v>78.907455012853475</v>
      </c>
      <c r="O1111" s="3" t="str">
        <f>CONCATENATE(A1111,"-",B1111)</f>
        <v>690-Skrelp</v>
      </c>
    </row>
    <row r="1112" spans="1:15">
      <c r="A1112" s="63">
        <v>690</v>
      </c>
      <c r="B1112" s="2" t="str">
        <f>B1111</f>
        <v>Skrelp</v>
      </c>
      <c r="C1112" t="s">
        <v>30</v>
      </c>
      <c r="D1112" s="22">
        <f>COUNTIF($C$2:$C$1168,Tabela1[[#This Row],[Type]])</f>
        <v>121</v>
      </c>
      <c r="E1112" s="62" t="str">
        <f>IF(A1112&lt;=151,"Kanto",IF(A1112&lt;=251,"Johto",IF(A1112&lt;=386,"Hoenn",IF(A1112&lt;=493,"Sinnoh",IF(A1112&lt;=649,"Unova",IF(A1112&lt;=721,"Kalos",IF(A1112&lt;=809,"Alola",IF(A1112&lt;=905,"Galar","Paldea"))))))))</f>
        <v>Kalos</v>
      </c>
      <c r="F1112" t="str">
        <f>IF(G1112&gt;=600,"Lendário",IF(G1112&gt;=500,"Forte","Normal"))</f>
        <v>Normal</v>
      </c>
      <c r="G1112" s="3">
        <f>G1111</f>
        <v>320</v>
      </c>
      <c r="H1112" s="3">
        <f>H1111</f>
        <v>50</v>
      </c>
      <c r="I1112" s="3">
        <f>I1111</f>
        <v>60</v>
      </c>
      <c r="J1112" s="3">
        <f>J1111</f>
        <v>60</v>
      </c>
      <c r="K1112" s="3">
        <f>K1111</f>
        <v>60</v>
      </c>
      <c r="L1112" s="3">
        <f>L1111</f>
        <v>60</v>
      </c>
      <c r="M1112" s="3">
        <f>M1111</f>
        <v>30</v>
      </c>
      <c r="N1112" s="3">
        <f>AVERAGE($I$2:$I$1168)</f>
        <v>78.907455012853475</v>
      </c>
      <c r="O1112" s="3" t="str">
        <f>CONCATENATE(A1112,"-",B1112)</f>
        <v>690-Skrelp</v>
      </c>
    </row>
    <row r="1113" spans="1:15">
      <c r="A1113" s="63">
        <v>691</v>
      </c>
      <c r="B1113" s="2" t="s">
        <v>772</v>
      </c>
      <c r="C1113" t="s">
        <v>17</v>
      </c>
      <c r="D1113" s="22">
        <f>COUNTIF($C$2:$C$1168,Tabela1[[#This Row],[Type]])</f>
        <v>61</v>
      </c>
      <c r="E1113" s="62" t="str">
        <f>IF(A1113&lt;=151,"Kanto",IF(A1113&lt;=251,"Johto",IF(A1113&lt;=386,"Hoenn",IF(A1113&lt;=493,"Sinnoh",IF(A1113&lt;=649,"Unova",IF(A1113&lt;=721,"Kalos",IF(A1113&lt;=809,"Alola",IF(A1113&lt;=905,"Galar","Paldea"))))))))</f>
        <v>Kalos</v>
      </c>
      <c r="F1113" t="str">
        <f>IF(G1113&gt;=600,"Lendário",IF(G1113&gt;=500,"Forte","Normal"))</f>
        <v>Normal</v>
      </c>
      <c r="G1113" s="3">
        <v>494</v>
      </c>
      <c r="H1113" s="3">
        <v>65</v>
      </c>
      <c r="I1113" s="3">
        <v>75</v>
      </c>
      <c r="J1113" s="3">
        <v>90</v>
      </c>
      <c r="K1113" s="3">
        <v>97</v>
      </c>
      <c r="L1113" s="3">
        <v>123</v>
      </c>
      <c r="M1113" s="3">
        <v>44</v>
      </c>
      <c r="N1113" s="3">
        <f>AVERAGE($I$2:$I$1168)</f>
        <v>78.907455012853475</v>
      </c>
      <c r="O1113" s="3" t="str">
        <f>CONCATENATE(A1113,"-",B1113)</f>
        <v>691-Dragalge</v>
      </c>
    </row>
    <row r="1114" spans="1:15">
      <c r="A1114" s="63">
        <v>691</v>
      </c>
      <c r="B1114" s="2" t="str">
        <f>B1113</f>
        <v>Dragalge</v>
      </c>
      <c r="C1114" t="s">
        <v>27</v>
      </c>
      <c r="D1114" s="22">
        <f>COUNTIF($C$2:$C$1168,Tabela1[[#This Row],[Type]])</f>
        <v>44</v>
      </c>
      <c r="E1114" s="62" t="str">
        <f>IF(A1114&lt;=151,"Kanto",IF(A1114&lt;=251,"Johto",IF(A1114&lt;=386,"Hoenn",IF(A1114&lt;=493,"Sinnoh",IF(A1114&lt;=649,"Unova",IF(A1114&lt;=721,"Kalos",IF(A1114&lt;=809,"Alola",IF(A1114&lt;=905,"Galar","Paldea"))))))))</f>
        <v>Kalos</v>
      </c>
      <c r="F1114" t="str">
        <f>IF(G1114&gt;=600,"Lendário",IF(G1114&gt;=500,"Forte","Normal"))</f>
        <v>Normal</v>
      </c>
      <c r="G1114" s="3">
        <f>G1113</f>
        <v>494</v>
      </c>
      <c r="H1114" s="3">
        <f>H1113</f>
        <v>65</v>
      </c>
      <c r="I1114" s="3">
        <f>I1113</f>
        <v>75</v>
      </c>
      <c r="J1114" s="3">
        <f>J1113</f>
        <v>90</v>
      </c>
      <c r="K1114" s="3">
        <f>K1113</f>
        <v>97</v>
      </c>
      <c r="L1114" s="3">
        <f>L1113</f>
        <v>123</v>
      </c>
      <c r="M1114" s="3">
        <f>M1113</f>
        <v>44</v>
      </c>
      <c r="N1114" s="3">
        <f>AVERAGE($I$2:$I$1168)</f>
        <v>78.907455012853475</v>
      </c>
      <c r="O1114" s="3" t="str">
        <f>CONCATENATE(A1114,"-",B1114)</f>
        <v>691-Dragalge</v>
      </c>
    </row>
    <row r="1115" spans="1:15">
      <c r="A1115" s="63">
        <v>692</v>
      </c>
      <c r="B1115" s="2" t="s">
        <v>773</v>
      </c>
      <c r="C1115" t="s">
        <v>30</v>
      </c>
      <c r="D1115" s="22">
        <f>COUNTIF($C$2:$C$1168,Tabela1[[#This Row],[Type]])</f>
        <v>121</v>
      </c>
      <c r="E1115" s="62" t="str">
        <f>IF(A1115&lt;=151,"Kanto",IF(A1115&lt;=251,"Johto",IF(A1115&lt;=386,"Hoenn",IF(A1115&lt;=493,"Sinnoh",IF(A1115&lt;=649,"Unova",IF(A1115&lt;=721,"Kalos",IF(A1115&lt;=809,"Alola",IF(A1115&lt;=905,"Galar","Paldea"))))))))</f>
        <v>Kalos</v>
      </c>
      <c r="F1115" t="str">
        <f>IF(G1115&gt;=600,"Lendário",IF(G1115&gt;=500,"Forte","Normal"))</f>
        <v>Normal</v>
      </c>
      <c r="G1115" s="3">
        <v>330</v>
      </c>
      <c r="H1115" s="3">
        <v>50</v>
      </c>
      <c r="I1115" s="3">
        <v>53</v>
      </c>
      <c r="J1115" s="3">
        <v>62</v>
      </c>
      <c r="K1115" s="3">
        <v>58</v>
      </c>
      <c r="L1115" s="3">
        <v>63</v>
      </c>
      <c r="M1115" s="3">
        <v>44</v>
      </c>
      <c r="N1115" s="3">
        <f>AVERAGE($I$2:$I$1168)</f>
        <v>78.907455012853475</v>
      </c>
      <c r="O1115" s="3" t="str">
        <f>CONCATENATE(A1115,"-",B1115)</f>
        <v>692-Clauncher</v>
      </c>
    </row>
    <row r="1116" spans="1:15">
      <c r="A1116" s="63">
        <v>693</v>
      </c>
      <c r="B1116" s="2" t="s">
        <v>774</v>
      </c>
      <c r="C1116" t="s">
        <v>30</v>
      </c>
      <c r="D1116" s="22">
        <f>COUNTIF($C$2:$C$1168,Tabela1[[#This Row],[Type]])</f>
        <v>121</v>
      </c>
      <c r="E1116" s="62" t="str">
        <f>IF(A1116&lt;=151,"Kanto",IF(A1116&lt;=251,"Johto",IF(A1116&lt;=386,"Hoenn",IF(A1116&lt;=493,"Sinnoh",IF(A1116&lt;=649,"Unova",IF(A1116&lt;=721,"Kalos",IF(A1116&lt;=809,"Alola",IF(A1116&lt;=905,"Galar","Paldea"))))))))</f>
        <v>Kalos</v>
      </c>
      <c r="F1116" t="str">
        <f>IF(G1116&gt;=600,"Lendário",IF(G1116&gt;=500,"Forte","Normal"))</f>
        <v>Forte</v>
      </c>
      <c r="G1116" s="3">
        <v>500</v>
      </c>
      <c r="H1116" s="3">
        <v>71</v>
      </c>
      <c r="I1116" s="3">
        <v>73</v>
      </c>
      <c r="J1116" s="3">
        <v>88</v>
      </c>
      <c r="K1116" s="3">
        <v>120</v>
      </c>
      <c r="L1116" s="3">
        <v>89</v>
      </c>
      <c r="M1116" s="3">
        <v>59</v>
      </c>
      <c r="N1116" s="3">
        <f>AVERAGE($I$2:$I$1168)</f>
        <v>78.907455012853475</v>
      </c>
      <c r="O1116" s="3" t="str">
        <f>CONCATENATE(A1116,"-",B1116)</f>
        <v>693-Clawitzer</v>
      </c>
    </row>
    <row r="1117" spans="1:15">
      <c r="A1117" s="63">
        <v>694</v>
      </c>
      <c r="B1117" s="2" t="s">
        <v>775</v>
      </c>
      <c r="C1117" t="s">
        <v>52</v>
      </c>
      <c r="D1117" s="22">
        <f>COUNTIF($C$2:$C$1168,Tabela1[[#This Row],[Type]])</f>
        <v>51</v>
      </c>
      <c r="E1117" s="62" t="str">
        <f>IF(A1117&lt;=151,"Kanto",IF(A1117&lt;=251,"Johto",IF(A1117&lt;=386,"Hoenn",IF(A1117&lt;=493,"Sinnoh",IF(A1117&lt;=649,"Unova",IF(A1117&lt;=721,"Kalos",IF(A1117&lt;=809,"Alola",IF(A1117&lt;=905,"Galar","Paldea"))))))))</f>
        <v>Kalos</v>
      </c>
      <c r="F1117" t="str">
        <f>IF(G1117&gt;=600,"Lendário",IF(G1117&gt;=500,"Forte","Normal"))</f>
        <v>Normal</v>
      </c>
      <c r="G1117" s="3">
        <v>289</v>
      </c>
      <c r="H1117" s="3">
        <v>44</v>
      </c>
      <c r="I1117" s="3">
        <v>38</v>
      </c>
      <c r="J1117" s="3">
        <v>33</v>
      </c>
      <c r="K1117" s="3">
        <v>61</v>
      </c>
      <c r="L1117" s="3">
        <v>43</v>
      </c>
      <c r="M1117" s="3">
        <v>70</v>
      </c>
      <c r="N1117" s="3">
        <f>AVERAGE($I$2:$I$1168)</f>
        <v>78.907455012853475</v>
      </c>
      <c r="O1117" s="3" t="str">
        <f>CONCATENATE(A1117,"-",B1117)</f>
        <v>694-Helioptile</v>
      </c>
    </row>
    <row r="1118" spans="1:15">
      <c r="A1118" s="63">
        <v>695</v>
      </c>
      <c r="B1118" s="2" t="s">
        <v>776</v>
      </c>
      <c r="C1118" t="s">
        <v>52</v>
      </c>
      <c r="D1118" s="22">
        <f>COUNTIF($C$2:$C$1168,Tabela1[[#This Row],[Type]])</f>
        <v>51</v>
      </c>
      <c r="E1118" s="62" t="str">
        <f>IF(A1118&lt;=151,"Kanto",IF(A1118&lt;=251,"Johto",IF(A1118&lt;=386,"Hoenn",IF(A1118&lt;=493,"Sinnoh",IF(A1118&lt;=649,"Unova",IF(A1118&lt;=721,"Kalos",IF(A1118&lt;=809,"Alola",IF(A1118&lt;=905,"Galar","Paldea"))))))))</f>
        <v>Kalos</v>
      </c>
      <c r="F1118" t="str">
        <f>IF(G1118&gt;=600,"Lendário",IF(G1118&gt;=500,"Forte","Normal"))</f>
        <v>Normal</v>
      </c>
      <c r="G1118" s="3">
        <v>481</v>
      </c>
      <c r="H1118" s="3">
        <v>62</v>
      </c>
      <c r="I1118" s="3">
        <v>55</v>
      </c>
      <c r="J1118" s="3">
        <v>52</v>
      </c>
      <c r="K1118" s="3">
        <v>109</v>
      </c>
      <c r="L1118" s="3">
        <v>94</v>
      </c>
      <c r="M1118" s="3">
        <v>109</v>
      </c>
      <c r="N1118" s="3">
        <f>AVERAGE($I$2:$I$1168)</f>
        <v>78.907455012853475</v>
      </c>
      <c r="O1118" s="3" t="str">
        <f>CONCATENATE(A1118,"-",B1118)</f>
        <v>695-Heliolisk</v>
      </c>
    </row>
    <row r="1119" spans="1:15">
      <c r="A1119" s="63">
        <v>696</v>
      </c>
      <c r="B1119" s="2" t="s">
        <v>777</v>
      </c>
      <c r="C1119" t="s">
        <v>107</v>
      </c>
      <c r="D1119" s="22">
        <f>COUNTIF($C$2:$C$1168,Tabela1[[#This Row],[Type]])</f>
        <v>56</v>
      </c>
      <c r="E1119" s="62" t="str">
        <f>IF(A1119&lt;=151,"Kanto",IF(A1119&lt;=251,"Johto",IF(A1119&lt;=386,"Hoenn",IF(A1119&lt;=493,"Sinnoh",IF(A1119&lt;=649,"Unova",IF(A1119&lt;=721,"Kalos",IF(A1119&lt;=809,"Alola",IF(A1119&lt;=905,"Galar","Paldea"))))))))</f>
        <v>Kalos</v>
      </c>
      <c r="F1119" t="str">
        <f>IF(G1119&gt;=600,"Lendário",IF(G1119&gt;=500,"Forte","Normal"))</f>
        <v>Normal</v>
      </c>
      <c r="G1119" s="3">
        <v>362</v>
      </c>
      <c r="H1119" s="3">
        <v>58</v>
      </c>
      <c r="I1119" s="3">
        <v>89</v>
      </c>
      <c r="J1119" s="3">
        <v>77</v>
      </c>
      <c r="K1119" s="3">
        <v>45</v>
      </c>
      <c r="L1119" s="3">
        <v>45</v>
      </c>
      <c r="M1119" s="3">
        <v>48</v>
      </c>
      <c r="N1119" s="3">
        <f>AVERAGE($I$2:$I$1168)</f>
        <v>78.907455012853475</v>
      </c>
      <c r="O1119" s="3" t="str">
        <f>CONCATENATE(A1119,"-",B1119)</f>
        <v>696-Tyrunt</v>
      </c>
    </row>
    <row r="1120" spans="1:15">
      <c r="A1120" s="63">
        <v>696</v>
      </c>
      <c r="B1120" s="2" t="str">
        <f>B1119</f>
        <v>Tyrunt</v>
      </c>
      <c r="C1120" t="s">
        <v>27</v>
      </c>
      <c r="D1120" s="22">
        <f>COUNTIF($C$2:$C$1168,Tabela1[[#This Row],[Type]])</f>
        <v>44</v>
      </c>
      <c r="E1120" s="62" t="str">
        <f>IF(A1120&lt;=151,"Kanto",IF(A1120&lt;=251,"Johto",IF(A1120&lt;=386,"Hoenn",IF(A1120&lt;=493,"Sinnoh",IF(A1120&lt;=649,"Unova",IF(A1120&lt;=721,"Kalos",IF(A1120&lt;=809,"Alola",IF(A1120&lt;=905,"Galar","Paldea"))))))))</f>
        <v>Kalos</v>
      </c>
      <c r="F1120" t="str">
        <f>IF(G1120&gt;=600,"Lendário",IF(G1120&gt;=500,"Forte","Normal"))</f>
        <v>Normal</v>
      </c>
      <c r="G1120" s="3">
        <f>G1119</f>
        <v>362</v>
      </c>
      <c r="H1120" s="3">
        <f>H1119</f>
        <v>58</v>
      </c>
      <c r="I1120" s="3">
        <f>I1119</f>
        <v>89</v>
      </c>
      <c r="J1120" s="3">
        <f>J1119</f>
        <v>77</v>
      </c>
      <c r="K1120" s="3">
        <f>K1119</f>
        <v>45</v>
      </c>
      <c r="L1120" s="3">
        <f>L1119</f>
        <v>45</v>
      </c>
      <c r="M1120" s="3">
        <f>M1119</f>
        <v>48</v>
      </c>
      <c r="N1120" s="3">
        <f>AVERAGE($I$2:$I$1168)</f>
        <v>78.907455012853475</v>
      </c>
      <c r="O1120" s="3" t="str">
        <f>CONCATENATE(A1120,"-",B1120)</f>
        <v>696-Tyrunt</v>
      </c>
    </row>
    <row r="1121" spans="1:15">
      <c r="A1121" s="63">
        <v>697</v>
      </c>
      <c r="B1121" s="2" t="s">
        <v>778</v>
      </c>
      <c r="C1121" t="s">
        <v>107</v>
      </c>
      <c r="D1121" s="22">
        <f>COUNTIF($C$2:$C$1168,Tabela1[[#This Row],[Type]])</f>
        <v>56</v>
      </c>
      <c r="E1121" s="62" t="str">
        <f>IF(A1121&lt;=151,"Kanto",IF(A1121&lt;=251,"Johto",IF(A1121&lt;=386,"Hoenn",IF(A1121&lt;=493,"Sinnoh",IF(A1121&lt;=649,"Unova",IF(A1121&lt;=721,"Kalos",IF(A1121&lt;=809,"Alola",IF(A1121&lt;=905,"Galar","Paldea"))))))))</f>
        <v>Kalos</v>
      </c>
      <c r="F1121" t="str">
        <f>IF(G1121&gt;=600,"Lendário",IF(G1121&gt;=500,"Forte","Normal"))</f>
        <v>Forte</v>
      </c>
      <c r="G1121" s="3">
        <v>521</v>
      </c>
      <c r="H1121" s="3">
        <v>82</v>
      </c>
      <c r="I1121" s="3">
        <v>121</v>
      </c>
      <c r="J1121" s="3">
        <v>119</v>
      </c>
      <c r="K1121" s="3">
        <v>69</v>
      </c>
      <c r="L1121" s="3">
        <v>59</v>
      </c>
      <c r="M1121" s="3">
        <v>71</v>
      </c>
      <c r="N1121" s="3">
        <f>AVERAGE($I$2:$I$1168)</f>
        <v>78.907455012853475</v>
      </c>
      <c r="O1121" s="3" t="str">
        <f>CONCATENATE(A1121,"-",B1121)</f>
        <v>697-Tyrantrum</v>
      </c>
    </row>
    <row r="1122" spans="1:15">
      <c r="A1122" s="63">
        <v>697</v>
      </c>
      <c r="B1122" s="2" t="str">
        <f>B1121</f>
        <v>Tyrantrum</v>
      </c>
      <c r="C1122" t="s">
        <v>27</v>
      </c>
      <c r="D1122" s="22">
        <f>COUNTIF($C$2:$C$1168,Tabela1[[#This Row],[Type]])</f>
        <v>44</v>
      </c>
      <c r="E1122" s="62" t="str">
        <f>IF(A1122&lt;=151,"Kanto",IF(A1122&lt;=251,"Johto",IF(A1122&lt;=386,"Hoenn",IF(A1122&lt;=493,"Sinnoh",IF(A1122&lt;=649,"Unova",IF(A1122&lt;=721,"Kalos",IF(A1122&lt;=809,"Alola",IF(A1122&lt;=905,"Galar","Paldea"))))))))</f>
        <v>Kalos</v>
      </c>
      <c r="F1122" t="str">
        <f>IF(G1122&gt;=600,"Lendário",IF(G1122&gt;=500,"Forte","Normal"))</f>
        <v>Forte</v>
      </c>
      <c r="G1122" s="3">
        <f>G1121</f>
        <v>521</v>
      </c>
      <c r="H1122" s="3">
        <f>H1121</f>
        <v>82</v>
      </c>
      <c r="I1122" s="3">
        <f>I1121</f>
        <v>121</v>
      </c>
      <c r="J1122" s="3">
        <f>J1121</f>
        <v>119</v>
      </c>
      <c r="K1122" s="3">
        <f>K1121</f>
        <v>69</v>
      </c>
      <c r="L1122" s="3">
        <f>L1121</f>
        <v>59</v>
      </c>
      <c r="M1122" s="3">
        <f>M1121</f>
        <v>71</v>
      </c>
      <c r="N1122" s="3">
        <f>AVERAGE($I$2:$I$1168)</f>
        <v>78.907455012853475</v>
      </c>
      <c r="O1122" s="3" t="str">
        <f>CONCATENATE(A1122,"-",B1122)</f>
        <v>697-Tyrantrum</v>
      </c>
    </row>
    <row r="1123" spans="1:15">
      <c r="A1123" s="63">
        <v>698</v>
      </c>
      <c r="B1123" s="2" t="s">
        <v>779</v>
      </c>
      <c r="C1123" t="s">
        <v>107</v>
      </c>
      <c r="D1123" s="22">
        <f>COUNTIF($C$2:$C$1168,Tabela1[[#This Row],[Type]])</f>
        <v>56</v>
      </c>
      <c r="E1123" s="62" t="str">
        <f>IF(A1123&lt;=151,"Kanto",IF(A1123&lt;=251,"Johto",IF(A1123&lt;=386,"Hoenn",IF(A1123&lt;=493,"Sinnoh",IF(A1123&lt;=649,"Unova",IF(A1123&lt;=721,"Kalos",IF(A1123&lt;=809,"Alola",IF(A1123&lt;=905,"Galar","Paldea"))))))))</f>
        <v>Kalos</v>
      </c>
      <c r="F1123" t="str">
        <f>IF(G1123&gt;=600,"Lendário",IF(G1123&gt;=500,"Forte","Normal"))</f>
        <v>Normal</v>
      </c>
      <c r="G1123" s="3">
        <v>362</v>
      </c>
      <c r="H1123" s="3">
        <v>77</v>
      </c>
      <c r="I1123" s="3">
        <v>59</v>
      </c>
      <c r="J1123" s="3">
        <v>50</v>
      </c>
      <c r="K1123" s="3">
        <v>67</v>
      </c>
      <c r="L1123" s="3">
        <v>63</v>
      </c>
      <c r="M1123" s="3">
        <v>46</v>
      </c>
      <c r="N1123" s="3">
        <f>AVERAGE($I$2:$I$1168)</f>
        <v>78.907455012853475</v>
      </c>
      <c r="O1123" s="3" t="str">
        <f>CONCATENATE(A1123,"-",B1123)</f>
        <v>698-Amaura</v>
      </c>
    </row>
    <row r="1124" spans="1:15">
      <c r="A1124" s="63">
        <v>698</v>
      </c>
      <c r="B1124" s="2" t="str">
        <f>B1123</f>
        <v>Amaura</v>
      </c>
      <c r="C1124" t="s">
        <v>122</v>
      </c>
      <c r="D1124" s="22">
        <f>COUNTIF($C$2:$C$1168,Tabela1[[#This Row],[Type]])</f>
        <v>37</v>
      </c>
      <c r="E1124" s="62" t="str">
        <f>IF(A1124&lt;=151,"Kanto",IF(A1124&lt;=251,"Johto",IF(A1124&lt;=386,"Hoenn",IF(A1124&lt;=493,"Sinnoh",IF(A1124&lt;=649,"Unova",IF(A1124&lt;=721,"Kalos",IF(A1124&lt;=809,"Alola",IF(A1124&lt;=905,"Galar","Paldea"))))))))</f>
        <v>Kalos</v>
      </c>
      <c r="F1124" t="str">
        <f>IF(G1124&gt;=600,"Lendário",IF(G1124&gt;=500,"Forte","Normal"))</f>
        <v>Normal</v>
      </c>
      <c r="G1124" s="3">
        <f>G1123</f>
        <v>362</v>
      </c>
      <c r="H1124" s="3">
        <f>H1123</f>
        <v>77</v>
      </c>
      <c r="I1124" s="3">
        <f>I1123</f>
        <v>59</v>
      </c>
      <c r="J1124" s="3">
        <f>J1123</f>
        <v>50</v>
      </c>
      <c r="K1124" s="3">
        <f>K1123</f>
        <v>67</v>
      </c>
      <c r="L1124" s="3">
        <f>L1123</f>
        <v>63</v>
      </c>
      <c r="M1124" s="3">
        <f>M1123</f>
        <v>46</v>
      </c>
      <c r="N1124" s="3">
        <f>AVERAGE($I$2:$I$1168)</f>
        <v>78.907455012853475</v>
      </c>
      <c r="O1124" s="3" t="str">
        <f>CONCATENATE(A1124,"-",B1124)</f>
        <v>698-Amaura</v>
      </c>
    </row>
    <row r="1125" spans="1:15">
      <c r="A1125" s="63">
        <v>699</v>
      </c>
      <c r="B1125" s="2" t="s">
        <v>780</v>
      </c>
      <c r="C1125" t="s">
        <v>107</v>
      </c>
      <c r="D1125" s="22">
        <f>COUNTIF($C$2:$C$1168,Tabela1[[#This Row],[Type]])</f>
        <v>56</v>
      </c>
      <c r="E1125" s="62" t="str">
        <f>IF(A1125&lt;=151,"Kanto",IF(A1125&lt;=251,"Johto",IF(A1125&lt;=386,"Hoenn",IF(A1125&lt;=493,"Sinnoh",IF(A1125&lt;=649,"Unova",IF(A1125&lt;=721,"Kalos",IF(A1125&lt;=809,"Alola",IF(A1125&lt;=905,"Galar","Paldea"))))))))</f>
        <v>Kalos</v>
      </c>
      <c r="F1125" t="str">
        <f>IF(G1125&gt;=600,"Lendário",IF(G1125&gt;=500,"Forte","Normal"))</f>
        <v>Forte</v>
      </c>
      <c r="G1125" s="3">
        <v>521</v>
      </c>
      <c r="H1125" s="3">
        <v>123</v>
      </c>
      <c r="I1125" s="3">
        <v>77</v>
      </c>
      <c r="J1125" s="3">
        <v>72</v>
      </c>
      <c r="K1125" s="3">
        <v>99</v>
      </c>
      <c r="L1125" s="3">
        <v>92</v>
      </c>
      <c r="M1125" s="3">
        <v>58</v>
      </c>
      <c r="N1125" s="3">
        <f>AVERAGE($I$2:$I$1168)</f>
        <v>78.907455012853475</v>
      </c>
      <c r="O1125" s="3" t="str">
        <f>CONCATENATE(A1125,"-",B1125)</f>
        <v>699-Aurorus</v>
      </c>
    </row>
    <row r="1126" spans="1:15">
      <c r="A1126" s="63">
        <v>699</v>
      </c>
      <c r="B1126" s="2" t="str">
        <f>B1125</f>
        <v>Aurorus</v>
      </c>
      <c r="C1126" t="s">
        <v>122</v>
      </c>
      <c r="D1126" s="22">
        <f>COUNTIF($C$2:$C$1168,Tabela1[[#This Row],[Type]])</f>
        <v>37</v>
      </c>
      <c r="E1126" s="62" t="str">
        <f>IF(A1126&lt;=151,"Kanto",IF(A1126&lt;=251,"Johto",IF(A1126&lt;=386,"Hoenn",IF(A1126&lt;=493,"Sinnoh",IF(A1126&lt;=649,"Unova",IF(A1126&lt;=721,"Kalos",IF(A1126&lt;=809,"Alola",IF(A1126&lt;=905,"Galar","Paldea"))))))))</f>
        <v>Kalos</v>
      </c>
      <c r="F1126" t="str">
        <f>IF(G1126&gt;=600,"Lendário",IF(G1126&gt;=500,"Forte","Normal"))</f>
        <v>Forte</v>
      </c>
      <c r="G1126" s="3">
        <f>G1125</f>
        <v>521</v>
      </c>
      <c r="H1126" s="3">
        <f>H1125</f>
        <v>123</v>
      </c>
      <c r="I1126" s="3">
        <f>I1125</f>
        <v>77</v>
      </c>
      <c r="J1126" s="3">
        <f>J1125</f>
        <v>72</v>
      </c>
      <c r="K1126" s="3">
        <f>K1125</f>
        <v>99</v>
      </c>
      <c r="L1126" s="3">
        <f>L1125</f>
        <v>92</v>
      </c>
      <c r="M1126" s="3">
        <f>M1125</f>
        <v>58</v>
      </c>
      <c r="N1126" s="3">
        <f>AVERAGE($I$2:$I$1168)</f>
        <v>78.907455012853475</v>
      </c>
      <c r="O1126" s="3" t="str">
        <f>CONCATENATE(A1126,"-",B1126)</f>
        <v>699-Aurorus</v>
      </c>
    </row>
    <row r="1127" spans="1:15">
      <c r="A1127" s="63">
        <v>700</v>
      </c>
      <c r="B1127" s="2" t="s">
        <v>781</v>
      </c>
      <c r="C1127" t="s">
        <v>64</v>
      </c>
      <c r="D1127" s="22">
        <f>COUNTIF($C$2:$C$1168,Tabela1[[#This Row],[Type]])</f>
        <v>34</v>
      </c>
      <c r="E1127" s="62" t="str">
        <f>IF(A1127&lt;=151,"Kanto",IF(A1127&lt;=251,"Johto",IF(A1127&lt;=386,"Hoenn",IF(A1127&lt;=493,"Sinnoh",IF(A1127&lt;=649,"Unova",IF(A1127&lt;=721,"Kalos",IF(A1127&lt;=809,"Alola",IF(A1127&lt;=905,"Galar","Paldea"))))))))</f>
        <v>Kalos</v>
      </c>
      <c r="F1127" t="str">
        <f>IF(G1127&gt;=600,"Lendário",IF(G1127&gt;=500,"Forte","Normal"))</f>
        <v>Forte</v>
      </c>
      <c r="G1127" s="3">
        <v>525</v>
      </c>
      <c r="H1127" s="3">
        <v>95</v>
      </c>
      <c r="I1127" s="3">
        <v>65</v>
      </c>
      <c r="J1127" s="3">
        <v>65</v>
      </c>
      <c r="K1127" s="3">
        <v>110</v>
      </c>
      <c r="L1127" s="3">
        <v>130</v>
      </c>
      <c r="M1127" s="3">
        <v>60</v>
      </c>
      <c r="N1127" s="3">
        <f>AVERAGE($I$2:$I$1168)</f>
        <v>78.907455012853475</v>
      </c>
      <c r="O1127" s="3" t="str">
        <f>CONCATENATE(A1127,"-",B1127)</f>
        <v>700-Sylveon</v>
      </c>
    </row>
    <row r="1128" spans="1:15">
      <c r="A1128" s="63">
        <v>700</v>
      </c>
      <c r="B1128" s="2" t="str">
        <f>B1127</f>
        <v>Sylveon</v>
      </c>
      <c r="C1128" t="s">
        <v>25</v>
      </c>
      <c r="D1128" s="22">
        <f>COUNTIF($C$2:$C$1168,Tabela1[[#This Row],[Type]])</f>
        <v>100</v>
      </c>
      <c r="E1128" s="62" t="str">
        <f>IF(A1128&lt;=151,"Kanto",IF(A1128&lt;=251,"Johto",IF(A1128&lt;=386,"Hoenn",IF(A1128&lt;=493,"Sinnoh",IF(A1128&lt;=649,"Unova",IF(A1128&lt;=721,"Kalos",IF(A1128&lt;=809,"Alola",IF(A1128&lt;=905,"Galar","Paldea"))))))))</f>
        <v>Kalos</v>
      </c>
      <c r="F1128" t="str">
        <f>IF(G1128&gt;=600,"Lendário",IF(G1128&gt;=500,"Forte","Normal"))</f>
        <v>Forte</v>
      </c>
      <c r="G1128" s="3">
        <f>G1127</f>
        <v>525</v>
      </c>
      <c r="H1128" s="3">
        <f>H1127</f>
        <v>95</v>
      </c>
      <c r="I1128" s="3">
        <f>I1127</f>
        <v>65</v>
      </c>
      <c r="J1128" s="3">
        <f>J1127</f>
        <v>65</v>
      </c>
      <c r="K1128" s="3">
        <f>K1127</f>
        <v>110</v>
      </c>
      <c r="L1128" s="3">
        <f>L1127</f>
        <v>130</v>
      </c>
      <c r="M1128" s="3">
        <f>M1127</f>
        <v>60</v>
      </c>
      <c r="N1128" s="3">
        <f>AVERAGE($I$2:$I$1168)</f>
        <v>78.907455012853475</v>
      </c>
      <c r="O1128" s="3" t="str">
        <f>CONCATENATE(A1128,"-",B1128)</f>
        <v>700-Sylveon</v>
      </c>
    </row>
    <row r="1129" spans="1:15">
      <c r="A1129" s="63">
        <v>701</v>
      </c>
      <c r="B1129" s="2" t="s">
        <v>782</v>
      </c>
      <c r="C1129" t="s">
        <v>86</v>
      </c>
      <c r="D1129" s="22">
        <f>COUNTIF($C$2:$C$1168,Tabela1[[#This Row],[Type]])</f>
        <v>51</v>
      </c>
      <c r="E1129" s="62" t="str">
        <f>IF(A1129&lt;=151,"Kanto",IF(A1129&lt;=251,"Johto",IF(A1129&lt;=386,"Hoenn",IF(A1129&lt;=493,"Sinnoh",IF(A1129&lt;=649,"Unova",IF(A1129&lt;=721,"Kalos",IF(A1129&lt;=809,"Alola",IF(A1129&lt;=905,"Galar","Paldea"))))))))</f>
        <v>Kalos</v>
      </c>
      <c r="F1129" t="str">
        <f>IF(G1129&gt;=600,"Lendário",IF(G1129&gt;=500,"Forte","Normal"))</f>
        <v>Forte</v>
      </c>
      <c r="G1129" s="3">
        <v>500</v>
      </c>
      <c r="H1129" s="3">
        <v>78</v>
      </c>
      <c r="I1129" s="3">
        <v>92</v>
      </c>
      <c r="J1129" s="3">
        <v>75</v>
      </c>
      <c r="K1129" s="3">
        <v>74</v>
      </c>
      <c r="L1129" s="3">
        <v>63</v>
      </c>
      <c r="M1129" s="3">
        <v>118</v>
      </c>
      <c r="N1129" s="3">
        <f>AVERAGE($I$2:$I$1168)</f>
        <v>78.907455012853475</v>
      </c>
      <c r="O1129" s="3" t="str">
        <f>CONCATENATE(A1129,"-",B1129)</f>
        <v>701-Hawlucha</v>
      </c>
    </row>
    <row r="1130" spans="1:15">
      <c r="A1130" s="63">
        <v>701</v>
      </c>
      <c r="B1130" s="2" t="str">
        <f>B1129</f>
        <v>Hawlucha</v>
      </c>
      <c r="C1130" t="s">
        <v>25</v>
      </c>
      <c r="D1130" s="22">
        <f>COUNTIF($C$2:$C$1168,Tabela1[[#This Row],[Type]])</f>
        <v>100</v>
      </c>
      <c r="E1130" s="62" t="str">
        <f>IF(A1130&lt;=151,"Kanto",IF(A1130&lt;=251,"Johto",IF(A1130&lt;=386,"Hoenn",IF(A1130&lt;=493,"Sinnoh",IF(A1130&lt;=649,"Unova",IF(A1130&lt;=721,"Kalos",IF(A1130&lt;=809,"Alola",IF(A1130&lt;=905,"Galar","Paldea"))))))))</f>
        <v>Kalos</v>
      </c>
      <c r="F1130" t="str">
        <f>IF(G1130&gt;=600,"Lendário",IF(G1130&gt;=500,"Forte","Normal"))</f>
        <v>Forte</v>
      </c>
      <c r="G1130" s="3">
        <f>G1129</f>
        <v>500</v>
      </c>
      <c r="H1130" s="3">
        <f>H1129</f>
        <v>78</v>
      </c>
      <c r="I1130" s="3">
        <f>I1129</f>
        <v>92</v>
      </c>
      <c r="J1130" s="3">
        <f>J1129</f>
        <v>75</v>
      </c>
      <c r="K1130" s="3">
        <f>K1129</f>
        <v>74</v>
      </c>
      <c r="L1130" s="3">
        <f>L1129</f>
        <v>63</v>
      </c>
      <c r="M1130" s="3">
        <f>M1129</f>
        <v>118</v>
      </c>
      <c r="N1130" s="3">
        <f>AVERAGE($I$2:$I$1168)</f>
        <v>78.907455012853475</v>
      </c>
      <c r="O1130" s="3" t="str">
        <f>CONCATENATE(A1130,"-",B1130)</f>
        <v>701-Hawlucha</v>
      </c>
    </row>
    <row r="1131" spans="1:15">
      <c r="A1131" s="63">
        <v>702</v>
      </c>
      <c r="B1131" s="2" t="s">
        <v>783</v>
      </c>
      <c r="C1131" t="s">
        <v>52</v>
      </c>
      <c r="D1131" s="22">
        <f>COUNTIF($C$2:$C$1168,Tabela1[[#This Row],[Type]])</f>
        <v>51</v>
      </c>
      <c r="E1131" s="62" t="str">
        <f>IF(A1131&lt;=151,"Kanto",IF(A1131&lt;=251,"Johto",IF(A1131&lt;=386,"Hoenn",IF(A1131&lt;=493,"Sinnoh",IF(A1131&lt;=649,"Unova",IF(A1131&lt;=721,"Kalos",IF(A1131&lt;=809,"Alola",IF(A1131&lt;=905,"Galar","Paldea"))))))))</f>
        <v>Kalos</v>
      </c>
      <c r="F1131" t="str">
        <f>IF(G1131&gt;=600,"Lendário",IF(G1131&gt;=500,"Forte","Normal"))</f>
        <v>Normal</v>
      </c>
      <c r="G1131" s="3">
        <v>431</v>
      </c>
      <c r="H1131" s="3">
        <v>67</v>
      </c>
      <c r="I1131" s="3">
        <v>58</v>
      </c>
      <c r="J1131" s="3">
        <v>57</v>
      </c>
      <c r="K1131" s="3">
        <v>81</v>
      </c>
      <c r="L1131" s="3">
        <v>67</v>
      </c>
      <c r="M1131" s="3">
        <v>101</v>
      </c>
      <c r="N1131" s="3">
        <f>AVERAGE($I$2:$I$1168)</f>
        <v>78.907455012853475</v>
      </c>
      <c r="O1131" s="3" t="str">
        <f>CONCATENATE(A1131,"-",B1131)</f>
        <v>702-Dedenne</v>
      </c>
    </row>
    <row r="1132" spans="1:15">
      <c r="A1132" s="63">
        <v>702</v>
      </c>
      <c r="B1132" s="2" t="str">
        <f>B1131</f>
        <v>Dedenne</v>
      </c>
      <c r="C1132" t="s">
        <v>64</v>
      </c>
      <c r="D1132" s="22">
        <f>COUNTIF($C$2:$C$1168,Tabela1[[#This Row],[Type]])</f>
        <v>34</v>
      </c>
      <c r="E1132" s="62" t="str">
        <f>IF(A1132&lt;=151,"Kanto",IF(A1132&lt;=251,"Johto",IF(A1132&lt;=386,"Hoenn",IF(A1132&lt;=493,"Sinnoh",IF(A1132&lt;=649,"Unova",IF(A1132&lt;=721,"Kalos",IF(A1132&lt;=809,"Alola",IF(A1132&lt;=905,"Galar","Paldea"))))))))</f>
        <v>Kalos</v>
      </c>
      <c r="F1132" t="str">
        <f>IF(G1132&gt;=600,"Lendário",IF(G1132&gt;=500,"Forte","Normal"))</f>
        <v>Normal</v>
      </c>
      <c r="G1132" s="3">
        <f>G1131</f>
        <v>431</v>
      </c>
      <c r="H1132" s="3">
        <f>H1131</f>
        <v>67</v>
      </c>
      <c r="I1132" s="3">
        <f>I1131</f>
        <v>58</v>
      </c>
      <c r="J1132" s="3">
        <f>J1131</f>
        <v>57</v>
      </c>
      <c r="K1132" s="3">
        <f>K1131</f>
        <v>81</v>
      </c>
      <c r="L1132" s="3">
        <f>L1131</f>
        <v>67</v>
      </c>
      <c r="M1132" s="3">
        <f>M1131</f>
        <v>101</v>
      </c>
      <c r="N1132" s="3">
        <f>AVERAGE($I$2:$I$1168)</f>
        <v>78.907455012853475</v>
      </c>
      <c r="O1132" s="3" t="str">
        <f>CONCATENATE(A1132,"-",B1132)</f>
        <v>702-Dedenne</v>
      </c>
    </row>
    <row r="1133" spans="1:15">
      <c r="A1133" s="63">
        <v>703</v>
      </c>
      <c r="B1133" s="2" t="s">
        <v>784</v>
      </c>
      <c r="C1133" t="s">
        <v>107</v>
      </c>
      <c r="D1133" s="22">
        <f>COUNTIF($C$2:$C$1168,Tabela1[[#This Row],[Type]])</f>
        <v>56</v>
      </c>
      <c r="E1133" s="62" t="str">
        <f>IF(A1133&lt;=151,"Kanto",IF(A1133&lt;=251,"Johto",IF(A1133&lt;=386,"Hoenn",IF(A1133&lt;=493,"Sinnoh",IF(A1133&lt;=649,"Unova",IF(A1133&lt;=721,"Kalos",IF(A1133&lt;=809,"Alola",IF(A1133&lt;=905,"Galar","Paldea"))))))))</f>
        <v>Kalos</v>
      </c>
      <c r="F1133" t="str">
        <f>IF(G1133&gt;=600,"Lendário",IF(G1133&gt;=500,"Forte","Normal"))</f>
        <v>Forte</v>
      </c>
      <c r="G1133" s="3">
        <v>500</v>
      </c>
      <c r="H1133" s="3">
        <v>50</v>
      </c>
      <c r="I1133" s="3">
        <v>50</v>
      </c>
      <c r="J1133" s="3">
        <v>150</v>
      </c>
      <c r="K1133" s="3">
        <v>50</v>
      </c>
      <c r="L1133" s="3">
        <v>150</v>
      </c>
      <c r="M1133" s="3">
        <v>50</v>
      </c>
      <c r="N1133" s="3">
        <f>AVERAGE($I$2:$I$1168)</f>
        <v>78.907455012853475</v>
      </c>
      <c r="O1133" s="3" t="str">
        <f>CONCATENATE(A1133,"-",B1133)</f>
        <v>703-Carbink</v>
      </c>
    </row>
    <row r="1134" spans="1:15">
      <c r="A1134" s="63">
        <v>704</v>
      </c>
      <c r="B1134" s="2" t="s">
        <v>785</v>
      </c>
      <c r="C1134" t="s">
        <v>27</v>
      </c>
      <c r="D1134" s="22">
        <f>COUNTIF($C$2:$C$1168,Tabela1[[#This Row],[Type]])</f>
        <v>44</v>
      </c>
      <c r="E1134" s="62" t="str">
        <f>IF(A1134&lt;=151,"Kanto",IF(A1134&lt;=251,"Johto",IF(A1134&lt;=386,"Hoenn",IF(A1134&lt;=493,"Sinnoh",IF(A1134&lt;=649,"Unova",IF(A1134&lt;=721,"Kalos",IF(A1134&lt;=809,"Alola",IF(A1134&lt;=905,"Galar","Paldea"))))))))</f>
        <v>Kalos</v>
      </c>
      <c r="F1134" t="str">
        <f>IF(G1134&gt;=600,"Lendário",IF(G1134&gt;=500,"Forte","Normal"))</f>
        <v>Normal</v>
      </c>
      <c r="G1134" s="3">
        <v>300</v>
      </c>
      <c r="H1134" s="3">
        <v>45</v>
      </c>
      <c r="I1134" s="3">
        <v>50</v>
      </c>
      <c r="J1134" s="3">
        <v>35</v>
      </c>
      <c r="K1134" s="3">
        <v>55</v>
      </c>
      <c r="L1134" s="3">
        <v>75</v>
      </c>
      <c r="M1134" s="3">
        <v>40</v>
      </c>
      <c r="N1134" s="3">
        <f>AVERAGE($I$2:$I$1168)</f>
        <v>78.907455012853475</v>
      </c>
      <c r="O1134" s="3" t="str">
        <f>CONCATENATE(A1134,"-",B1134)</f>
        <v>704-Goomy</v>
      </c>
    </row>
    <row r="1135" spans="1:15">
      <c r="A1135" s="63">
        <v>705</v>
      </c>
      <c r="B1135" s="2" t="s">
        <v>786</v>
      </c>
      <c r="C1135" t="s">
        <v>27</v>
      </c>
      <c r="D1135" s="22">
        <f>COUNTIF($C$2:$C$1168,Tabela1[[#This Row],[Type]])</f>
        <v>44</v>
      </c>
      <c r="E1135" s="62" t="str">
        <f>IF(A1135&lt;=151,"Kanto",IF(A1135&lt;=251,"Johto",IF(A1135&lt;=386,"Hoenn",IF(A1135&lt;=493,"Sinnoh",IF(A1135&lt;=649,"Unova",IF(A1135&lt;=721,"Kalos",IF(A1135&lt;=809,"Alola",IF(A1135&lt;=905,"Galar","Paldea"))))))))</f>
        <v>Kalos</v>
      </c>
      <c r="F1135" t="str">
        <f>IF(G1135&gt;=600,"Lendário",IF(G1135&gt;=500,"Forte","Normal"))</f>
        <v>Normal</v>
      </c>
      <c r="G1135" s="3">
        <v>452</v>
      </c>
      <c r="H1135" s="3">
        <v>68</v>
      </c>
      <c r="I1135" s="3">
        <v>75</v>
      </c>
      <c r="J1135" s="3">
        <v>53</v>
      </c>
      <c r="K1135" s="3">
        <v>83</v>
      </c>
      <c r="L1135" s="3">
        <v>113</v>
      </c>
      <c r="M1135" s="3">
        <v>60</v>
      </c>
      <c r="N1135" s="3">
        <f>AVERAGE($I$2:$I$1168)</f>
        <v>78.907455012853475</v>
      </c>
      <c r="O1135" s="3" t="str">
        <f>CONCATENATE(A1135,"-",B1135)</f>
        <v>705-Sliggoo</v>
      </c>
    </row>
    <row r="1136" spans="1:15">
      <c r="A1136" s="63">
        <v>706</v>
      </c>
      <c r="B1136" s="2" t="s">
        <v>787</v>
      </c>
      <c r="C1136" t="s">
        <v>27</v>
      </c>
      <c r="D1136" s="22">
        <f>COUNTIF($C$2:$C$1168,Tabela1[[#This Row],[Type]])</f>
        <v>44</v>
      </c>
      <c r="E1136" s="62" t="str">
        <f>IF(A1136&lt;=151,"Kanto",IF(A1136&lt;=251,"Johto",IF(A1136&lt;=386,"Hoenn",IF(A1136&lt;=493,"Sinnoh",IF(A1136&lt;=649,"Unova",IF(A1136&lt;=721,"Kalos",IF(A1136&lt;=809,"Alola",IF(A1136&lt;=905,"Galar","Paldea"))))))))</f>
        <v>Kalos</v>
      </c>
      <c r="F1136" t="str">
        <f>IF(G1136&gt;=600,"Lendário",IF(G1136&gt;=500,"Forte","Normal"))</f>
        <v>Lendário</v>
      </c>
      <c r="G1136" s="3">
        <v>600</v>
      </c>
      <c r="H1136" s="3">
        <v>90</v>
      </c>
      <c r="I1136" s="3">
        <v>100</v>
      </c>
      <c r="J1136" s="3">
        <v>70</v>
      </c>
      <c r="K1136" s="3">
        <v>110</v>
      </c>
      <c r="L1136" s="3">
        <v>150</v>
      </c>
      <c r="M1136" s="3">
        <v>80</v>
      </c>
      <c r="N1136" s="3">
        <f>AVERAGE($I$2:$I$1168)</f>
        <v>78.907455012853475</v>
      </c>
      <c r="O1136" s="3" t="str">
        <f>CONCATENATE(A1136,"-",B1136)</f>
        <v>706-Goodra</v>
      </c>
    </row>
    <row r="1137" spans="1:15">
      <c r="A1137" s="63">
        <v>707</v>
      </c>
      <c r="B1137" s="2" t="s">
        <v>788</v>
      </c>
      <c r="C1137" t="s">
        <v>115</v>
      </c>
      <c r="D1137" s="22">
        <f>COUNTIF($C$2:$C$1168,Tabela1[[#This Row],[Type]])</f>
        <v>48</v>
      </c>
      <c r="E1137" s="62" t="str">
        <f>IF(A1137&lt;=151,"Kanto",IF(A1137&lt;=251,"Johto",IF(A1137&lt;=386,"Hoenn",IF(A1137&lt;=493,"Sinnoh",IF(A1137&lt;=649,"Unova",IF(A1137&lt;=721,"Kalos",IF(A1137&lt;=809,"Alola",IF(A1137&lt;=905,"Galar","Paldea"))))))))</f>
        <v>Kalos</v>
      </c>
      <c r="F1137" t="str">
        <f>IF(G1137&gt;=600,"Lendário",IF(G1137&gt;=500,"Forte","Normal"))</f>
        <v>Normal</v>
      </c>
      <c r="G1137" s="3">
        <v>470</v>
      </c>
      <c r="H1137" s="3">
        <v>57</v>
      </c>
      <c r="I1137" s="3">
        <v>80</v>
      </c>
      <c r="J1137" s="3">
        <v>91</v>
      </c>
      <c r="K1137" s="3">
        <v>80</v>
      </c>
      <c r="L1137" s="3">
        <v>87</v>
      </c>
      <c r="M1137" s="3">
        <v>75</v>
      </c>
      <c r="N1137" s="3">
        <f>AVERAGE($I$2:$I$1168)</f>
        <v>78.907455012853475</v>
      </c>
      <c r="O1137" s="3" t="str">
        <f>CONCATENATE(A1137,"-",B1137)</f>
        <v>707-Klefki</v>
      </c>
    </row>
    <row r="1138" spans="1:15">
      <c r="A1138" s="63">
        <v>708</v>
      </c>
      <c r="B1138" s="2" t="s">
        <v>789</v>
      </c>
      <c r="C1138" t="s">
        <v>128</v>
      </c>
      <c r="D1138" s="22">
        <f>COUNTIF($C$2:$C$1168,Tabela1[[#This Row],[Type]])</f>
        <v>45</v>
      </c>
      <c r="E1138" s="62" t="str">
        <f>IF(A1138&lt;=151,"Kanto",IF(A1138&lt;=251,"Johto",IF(A1138&lt;=386,"Hoenn",IF(A1138&lt;=493,"Sinnoh",IF(A1138&lt;=649,"Unova",IF(A1138&lt;=721,"Kalos",IF(A1138&lt;=809,"Alola",IF(A1138&lt;=905,"Galar","Paldea"))))))))</f>
        <v>Kalos</v>
      </c>
      <c r="F1138" t="str">
        <f>IF(G1138&gt;=600,"Lendário",IF(G1138&gt;=500,"Forte","Normal"))</f>
        <v>Normal</v>
      </c>
      <c r="G1138" s="3">
        <v>309</v>
      </c>
      <c r="H1138" s="3">
        <v>43</v>
      </c>
      <c r="I1138" s="3">
        <v>70</v>
      </c>
      <c r="J1138" s="3">
        <v>48</v>
      </c>
      <c r="K1138" s="3">
        <v>50</v>
      </c>
      <c r="L1138" s="3">
        <v>60</v>
      </c>
      <c r="M1138" s="3">
        <v>38</v>
      </c>
      <c r="N1138" s="3">
        <f>AVERAGE($I$2:$I$1168)</f>
        <v>78.907455012853475</v>
      </c>
      <c r="O1138" s="3" t="str">
        <f>CONCATENATE(A1138,"-",B1138)</f>
        <v>708-Phantump</v>
      </c>
    </row>
    <row r="1139" spans="1:15">
      <c r="A1139" s="63">
        <v>708</v>
      </c>
      <c r="B1139" s="2" t="str">
        <f>B1138</f>
        <v>Phantump</v>
      </c>
      <c r="C1139" t="s">
        <v>16</v>
      </c>
      <c r="D1139" s="22">
        <f>COUNTIF($C$2:$C$1168,Tabela1[[#This Row],[Type]])</f>
        <v>93</v>
      </c>
      <c r="E1139" s="62" t="str">
        <f>IF(A1139&lt;=151,"Kanto",IF(A1139&lt;=251,"Johto",IF(A1139&lt;=386,"Hoenn",IF(A1139&lt;=493,"Sinnoh",IF(A1139&lt;=649,"Unova",IF(A1139&lt;=721,"Kalos",IF(A1139&lt;=809,"Alola",IF(A1139&lt;=905,"Galar","Paldea"))))))))</f>
        <v>Kalos</v>
      </c>
      <c r="F1139" t="str">
        <f>IF(G1139&gt;=600,"Lendário",IF(G1139&gt;=500,"Forte","Normal"))</f>
        <v>Normal</v>
      </c>
      <c r="G1139" s="3">
        <f>G1138</f>
        <v>309</v>
      </c>
      <c r="H1139" s="3">
        <f>H1138</f>
        <v>43</v>
      </c>
      <c r="I1139" s="3">
        <f>I1138</f>
        <v>70</v>
      </c>
      <c r="J1139" s="3">
        <f>J1138</f>
        <v>48</v>
      </c>
      <c r="K1139" s="3">
        <f>K1138</f>
        <v>50</v>
      </c>
      <c r="L1139" s="3">
        <f>L1138</f>
        <v>60</v>
      </c>
      <c r="M1139" s="3">
        <f>M1138</f>
        <v>38</v>
      </c>
      <c r="N1139" s="3">
        <f>AVERAGE($I$2:$I$1168)</f>
        <v>78.907455012853475</v>
      </c>
      <c r="O1139" s="3" t="str">
        <f>CONCATENATE(A1139,"-",B1139)</f>
        <v>708-Phantump</v>
      </c>
    </row>
    <row r="1140" spans="1:15">
      <c r="A1140" s="63">
        <v>709</v>
      </c>
      <c r="B1140" s="2" t="s">
        <v>790</v>
      </c>
      <c r="C1140" t="s">
        <v>128</v>
      </c>
      <c r="D1140" s="22">
        <f>COUNTIF($C$2:$C$1168,Tabela1[[#This Row],[Type]])</f>
        <v>45</v>
      </c>
      <c r="E1140" s="62" t="str">
        <f>IF(A1140&lt;=151,"Kanto",IF(A1140&lt;=251,"Johto",IF(A1140&lt;=386,"Hoenn",IF(A1140&lt;=493,"Sinnoh",IF(A1140&lt;=649,"Unova",IF(A1140&lt;=721,"Kalos",IF(A1140&lt;=809,"Alola",IF(A1140&lt;=905,"Galar","Paldea"))))))))</f>
        <v>Kalos</v>
      </c>
      <c r="F1140" t="str">
        <f>IF(G1140&gt;=600,"Lendário",IF(G1140&gt;=500,"Forte","Normal"))</f>
        <v>Normal</v>
      </c>
      <c r="G1140" s="3">
        <v>474</v>
      </c>
      <c r="H1140" s="3">
        <v>85</v>
      </c>
      <c r="I1140" s="3">
        <v>110</v>
      </c>
      <c r="J1140" s="3">
        <v>76</v>
      </c>
      <c r="K1140" s="3">
        <v>65</v>
      </c>
      <c r="L1140" s="3">
        <v>82</v>
      </c>
      <c r="M1140" s="3">
        <v>56</v>
      </c>
      <c r="N1140" s="3">
        <f>AVERAGE($I$2:$I$1168)</f>
        <v>78.907455012853475</v>
      </c>
      <c r="O1140" s="3" t="str">
        <f>CONCATENATE(A1140,"-",B1140)</f>
        <v>709-Trevenant</v>
      </c>
    </row>
    <row r="1141" spans="1:15">
      <c r="A1141" s="63">
        <v>709</v>
      </c>
      <c r="B1141" s="2" t="str">
        <f>B1140</f>
        <v>Trevenant</v>
      </c>
      <c r="C1141" t="s">
        <v>16</v>
      </c>
      <c r="D1141" s="22">
        <f>COUNTIF($C$2:$C$1168,Tabela1[[#This Row],[Type]])</f>
        <v>93</v>
      </c>
      <c r="E1141" s="62" t="str">
        <f>IF(A1141&lt;=151,"Kanto",IF(A1141&lt;=251,"Johto",IF(A1141&lt;=386,"Hoenn",IF(A1141&lt;=493,"Sinnoh",IF(A1141&lt;=649,"Unova",IF(A1141&lt;=721,"Kalos",IF(A1141&lt;=809,"Alola",IF(A1141&lt;=905,"Galar","Paldea"))))))))</f>
        <v>Kalos</v>
      </c>
      <c r="F1141" t="str">
        <f>IF(G1141&gt;=600,"Lendário",IF(G1141&gt;=500,"Forte","Normal"))</f>
        <v>Normal</v>
      </c>
      <c r="G1141" s="3">
        <f>G1140</f>
        <v>474</v>
      </c>
      <c r="H1141" s="3">
        <f>H1140</f>
        <v>85</v>
      </c>
      <c r="I1141" s="3">
        <f>I1140</f>
        <v>110</v>
      </c>
      <c r="J1141" s="3">
        <f>J1140</f>
        <v>76</v>
      </c>
      <c r="K1141" s="3">
        <f>K1140</f>
        <v>65</v>
      </c>
      <c r="L1141" s="3">
        <f>L1140</f>
        <v>82</v>
      </c>
      <c r="M1141" s="3">
        <f>M1140</f>
        <v>56</v>
      </c>
      <c r="N1141" s="3">
        <f>AVERAGE($I$2:$I$1168)</f>
        <v>78.907455012853475</v>
      </c>
      <c r="O1141" s="3" t="str">
        <f>CONCATENATE(A1141,"-",B1141)</f>
        <v>709-Trevenant</v>
      </c>
    </row>
    <row r="1142" spans="1:15">
      <c r="A1142" s="63">
        <v>710</v>
      </c>
      <c r="B1142" s="2" t="s">
        <v>791</v>
      </c>
      <c r="C1142" t="s">
        <v>128</v>
      </c>
      <c r="D1142" s="22">
        <f>COUNTIF($C$2:$C$1168,Tabela1[[#This Row],[Type]])</f>
        <v>45</v>
      </c>
      <c r="E1142" s="62" t="str">
        <f>IF(A1142&lt;=151,"Kanto",IF(A1142&lt;=251,"Johto",IF(A1142&lt;=386,"Hoenn",IF(A1142&lt;=493,"Sinnoh",IF(A1142&lt;=649,"Unova",IF(A1142&lt;=721,"Kalos",IF(A1142&lt;=809,"Alola",IF(A1142&lt;=905,"Galar","Paldea"))))))))</f>
        <v>Kalos</v>
      </c>
      <c r="F1142" t="str">
        <f>IF(G1142&gt;=600,"Lendário",IF(G1142&gt;=500,"Forte","Normal"))</f>
        <v>Normal</v>
      </c>
      <c r="G1142" s="3">
        <v>335</v>
      </c>
      <c r="H1142" s="3">
        <v>49</v>
      </c>
      <c r="I1142" s="3">
        <v>66</v>
      </c>
      <c r="J1142" s="3">
        <v>70</v>
      </c>
      <c r="K1142" s="3">
        <v>44</v>
      </c>
      <c r="L1142" s="3">
        <v>55</v>
      </c>
      <c r="M1142" s="3">
        <v>51</v>
      </c>
      <c r="N1142" s="3">
        <f>AVERAGE($I$2:$I$1168)</f>
        <v>78.907455012853475</v>
      </c>
      <c r="O1142" s="3" t="str">
        <f>CONCATENATE(A1142,"-",B1142)</f>
        <v>710-Pumpkaboo- Average Size</v>
      </c>
    </row>
    <row r="1143" spans="1:15">
      <c r="A1143" s="63">
        <v>710</v>
      </c>
      <c r="B1143" s="2" t="s">
        <v>791</v>
      </c>
      <c r="C1143" t="s">
        <v>16</v>
      </c>
      <c r="D1143" s="22">
        <f>COUNTIF($C$2:$C$1168,Tabela1[[#This Row],[Type]])</f>
        <v>93</v>
      </c>
      <c r="E1143" s="62" t="str">
        <f>IF(A1143&lt;=151,"Kanto",IF(A1143&lt;=251,"Johto",IF(A1143&lt;=386,"Hoenn",IF(A1143&lt;=493,"Sinnoh",IF(A1143&lt;=649,"Unova",IF(A1143&lt;=721,"Kalos",IF(A1143&lt;=809,"Alola",IF(A1143&lt;=905,"Galar","Paldea"))))))))</f>
        <v>Kalos</v>
      </c>
      <c r="F1143" t="str">
        <f>IF(G1143&gt;=600,"Lendário",IF(G1143&gt;=500,"Forte","Normal"))</f>
        <v>Normal</v>
      </c>
      <c r="G1143" s="3">
        <f>G1142</f>
        <v>335</v>
      </c>
      <c r="H1143" s="3">
        <f>H1142</f>
        <v>49</v>
      </c>
      <c r="I1143" s="3">
        <f>I1142</f>
        <v>66</v>
      </c>
      <c r="J1143" s="3">
        <f>J1142</f>
        <v>70</v>
      </c>
      <c r="K1143" s="3">
        <f>K1142</f>
        <v>44</v>
      </c>
      <c r="L1143" s="3">
        <f>L1142</f>
        <v>55</v>
      </c>
      <c r="M1143" s="3">
        <f>M1142</f>
        <v>51</v>
      </c>
      <c r="N1143" s="3">
        <f>AVERAGE($I$2:$I$1168)</f>
        <v>78.907455012853475</v>
      </c>
      <c r="O1143" s="3" t="str">
        <f>CONCATENATE(A1143,"-",B1143)</f>
        <v>710-Pumpkaboo- Average Size</v>
      </c>
    </row>
    <row r="1144" spans="1:15">
      <c r="A1144" s="63">
        <v>710.1</v>
      </c>
      <c r="B1144" s="2" t="s">
        <v>792</v>
      </c>
      <c r="C1144" t="s">
        <v>128</v>
      </c>
      <c r="D1144" s="22">
        <f>COUNTIF($C$2:$C$1168,Tabela1[[#This Row],[Type]])</f>
        <v>45</v>
      </c>
      <c r="E1144" s="62" t="str">
        <f>IF(A1144&lt;=151,"Kanto",IF(A1144&lt;=251,"Johto",IF(A1144&lt;=386,"Hoenn",IF(A1144&lt;=493,"Sinnoh",IF(A1144&lt;=649,"Unova",IF(A1144&lt;=721,"Kalos",IF(A1144&lt;=809,"Alola",IF(A1144&lt;=905,"Galar","Paldea"))))))))</f>
        <v>Kalos</v>
      </c>
      <c r="F1144" t="str">
        <f>IF(G1144&gt;=600,"Lendário",IF(G1144&gt;=500,"Forte","Normal"))</f>
        <v>Normal</v>
      </c>
      <c r="G1144" s="3">
        <v>335</v>
      </c>
      <c r="H1144" s="3">
        <v>44</v>
      </c>
      <c r="I1144" s="3">
        <v>66</v>
      </c>
      <c r="J1144" s="3">
        <v>70</v>
      </c>
      <c r="K1144" s="3">
        <v>44</v>
      </c>
      <c r="L1144" s="3">
        <v>55</v>
      </c>
      <c r="M1144" s="3">
        <v>56</v>
      </c>
      <c r="N1144" s="3">
        <f>AVERAGE($I$2:$I$1168)</f>
        <v>78.907455012853475</v>
      </c>
      <c r="O1144" s="3" t="str">
        <f>CONCATENATE(A1144,"-",B1144)</f>
        <v>710,1-Pumpkaboo- Small Size</v>
      </c>
    </row>
    <row r="1145" spans="1:15">
      <c r="A1145" s="63">
        <v>710.1</v>
      </c>
      <c r="B1145" s="2" t="s">
        <v>792</v>
      </c>
      <c r="C1145" t="s">
        <v>16</v>
      </c>
      <c r="D1145" s="22">
        <f>COUNTIF($C$2:$C$1168,Tabela1[[#This Row],[Type]])</f>
        <v>93</v>
      </c>
      <c r="E1145" s="62" t="str">
        <f>IF(A1145&lt;=151,"Kanto",IF(A1145&lt;=251,"Johto",IF(A1145&lt;=386,"Hoenn",IF(A1145&lt;=493,"Sinnoh",IF(A1145&lt;=649,"Unova",IF(A1145&lt;=721,"Kalos",IF(A1145&lt;=809,"Alola",IF(A1145&lt;=905,"Galar","Paldea"))))))))</f>
        <v>Kalos</v>
      </c>
      <c r="F1145" t="str">
        <f>IF(G1145&gt;=600,"Lendário",IF(G1145&gt;=500,"Forte","Normal"))</f>
        <v>Normal</v>
      </c>
      <c r="G1145" s="3">
        <f>G1144</f>
        <v>335</v>
      </c>
      <c r="H1145" s="3">
        <f>H1144</f>
        <v>44</v>
      </c>
      <c r="I1145" s="3">
        <f>I1144</f>
        <v>66</v>
      </c>
      <c r="J1145" s="3">
        <f>J1144</f>
        <v>70</v>
      </c>
      <c r="K1145" s="3">
        <f>K1144</f>
        <v>44</v>
      </c>
      <c r="L1145" s="3">
        <f>L1144</f>
        <v>55</v>
      </c>
      <c r="M1145" s="3">
        <f>M1144</f>
        <v>56</v>
      </c>
      <c r="N1145" s="3">
        <f>AVERAGE($I$2:$I$1168)</f>
        <v>78.907455012853475</v>
      </c>
      <c r="O1145" s="3" t="str">
        <f>CONCATENATE(A1145,"-",B1145)</f>
        <v>710,1-Pumpkaboo- Small Size</v>
      </c>
    </row>
    <row r="1146" spans="1:15">
      <c r="A1146" s="63">
        <v>710.2</v>
      </c>
      <c r="B1146" s="2" t="s">
        <v>793</v>
      </c>
      <c r="C1146" t="s">
        <v>128</v>
      </c>
      <c r="D1146" s="22">
        <f>COUNTIF($C$2:$C$1168,Tabela1[[#This Row],[Type]])</f>
        <v>45</v>
      </c>
      <c r="E1146" s="62" t="str">
        <f>IF(A1146&lt;=151,"Kanto",IF(A1146&lt;=251,"Johto",IF(A1146&lt;=386,"Hoenn",IF(A1146&lt;=493,"Sinnoh",IF(A1146&lt;=649,"Unova",IF(A1146&lt;=721,"Kalos",IF(A1146&lt;=809,"Alola",IF(A1146&lt;=905,"Galar","Paldea"))))))))</f>
        <v>Kalos</v>
      </c>
      <c r="F1146" t="str">
        <f>IF(G1146&gt;=600,"Lendário",IF(G1146&gt;=500,"Forte","Normal"))</f>
        <v>Normal</v>
      </c>
      <c r="G1146" s="3">
        <v>335</v>
      </c>
      <c r="H1146" s="3">
        <v>54</v>
      </c>
      <c r="I1146" s="3">
        <v>66</v>
      </c>
      <c r="J1146" s="3">
        <v>70</v>
      </c>
      <c r="K1146" s="3">
        <v>44</v>
      </c>
      <c r="L1146" s="3">
        <v>55</v>
      </c>
      <c r="M1146" s="3">
        <v>46</v>
      </c>
      <c r="N1146" s="3">
        <f>AVERAGE($I$2:$I$1168)</f>
        <v>78.907455012853475</v>
      </c>
      <c r="O1146" s="3" t="str">
        <f>CONCATENATE(A1146,"-",B1146)</f>
        <v>710,2-Pumpkaboo- Large Size</v>
      </c>
    </row>
    <row r="1147" spans="1:15">
      <c r="A1147" s="63">
        <v>710.2</v>
      </c>
      <c r="B1147" s="2" t="s">
        <v>793</v>
      </c>
      <c r="C1147" t="s">
        <v>16</v>
      </c>
      <c r="D1147" s="22">
        <f>COUNTIF($C$2:$C$1168,Tabela1[[#This Row],[Type]])</f>
        <v>93</v>
      </c>
      <c r="E1147" s="62" t="str">
        <f>IF(A1147&lt;=151,"Kanto",IF(A1147&lt;=251,"Johto",IF(A1147&lt;=386,"Hoenn",IF(A1147&lt;=493,"Sinnoh",IF(A1147&lt;=649,"Unova",IF(A1147&lt;=721,"Kalos",IF(A1147&lt;=809,"Alola",IF(A1147&lt;=905,"Galar","Paldea"))))))))</f>
        <v>Kalos</v>
      </c>
      <c r="F1147" t="str">
        <f>IF(G1147&gt;=600,"Lendário",IF(G1147&gt;=500,"Forte","Normal"))</f>
        <v>Normal</v>
      </c>
      <c r="G1147" s="3">
        <f>G1146</f>
        <v>335</v>
      </c>
      <c r="H1147" s="3">
        <f>H1146</f>
        <v>54</v>
      </c>
      <c r="I1147" s="3">
        <f>I1146</f>
        <v>66</v>
      </c>
      <c r="J1147" s="3">
        <f>J1146</f>
        <v>70</v>
      </c>
      <c r="K1147" s="3">
        <f>K1146</f>
        <v>44</v>
      </c>
      <c r="L1147" s="3">
        <f>L1146</f>
        <v>55</v>
      </c>
      <c r="M1147" s="3">
        <f>M1146</f>
        <v>46</v>
      </c>
      <c r="N1147" s="3">
        <f>AVERAGE($I$2:$I$1168)</f>
        <v>78.907455012853475</v>
      </c>
      <c r="O1147" s="3" t="str">
        <f>CONCATENATE(A1147,"-",B1147)</f>
        <v>710,2-Pumpkaboo- Large Size</v>
      </c>
    </row>
    <row r="1148" spans="1:15">
      <c r="A1148" s="63">
        <v>710.3</v>
      </c>
      <c r="B1148" s="2" t="s">
        <v>794</v>
      </c>
      <c r="C1148" t="s">
        <v>128</v>
      </c>
      <c r="D1148" s="22">
        <f>COUNTIF($C$2:$C$1168,Tabela1[[#This Row],[Type]])</f>
        <v>45</v>
      </c>
      <c r="E1148" s="62" t="str">
        <f>IF(A1148&lt;=151,"Kanto",IF(A1148&lt;=251,"Johto",IF(A1148&lt;=386,"Hoenn",IF(A1148&lt;=493,"Sinnoh",IF(A1148&lt;=649,"Unova",IF(A1148&lt;=721,"Kalos",IF(A1148&lt;=809,"Alola",IF(A1148&lt;=905,"Galar","Paldea"))))))))</f>
        <v>Kalos</v>
      </c>
      <c r="F1148" t="str">
        <f>IF(G1148&gt;=600,"Lendário",IF(G1148&gt;=500,"Forte","Normal"))</f>
        <v>Normal</v>
      </c>
      <c r="G1148" s="3">
        <v>335</v>
      </c>
      <c r="H1148" s="3">
        <v>59</v>
      </c>
      <c r="I1148" s="3">
        <v>66</v>
      </c>
      <c r="J1148" s="3">
        <v>70</v>
      </c>
      <c r="K1148" s="3">
        <v>44</v>
      </c>
      <c r="L1148" s="3">
        <v>55</v>
      </c>
      <c r="M1148" s="3">
        <v>41</v>
      </c>
      <c r="N1148" s="3">
        <f>AVERAGE($I$2:$I$1168)</f>
        <v>78.907455012853475</v>
      </c>
      <c r="O1148" s="3" t="str">
        <f>CONCATENATE(A1148,"-",B1148)</f>
        <v>710,3-Pumpkaboo- Super Size</v>
      </c>
    </row>
    <row r="1149" spans="1:15">
      <c r="A1149" s="63">
        <v>710.3</v>
      </c>
      <c r="B1149" s="2" t="s">
        <v>794</v>
      </c>
      <c r="C1149" t="s">
        <v>16</v>
      </c>
      <c r="D1149" s="22">
        <f>COUNTIF($C$2:$C$1168,Tabela1[[#This Row],[Type]])</f>
        <v>93</v>
      </c>
      <c r="E1149" s="62" t="str">
        <f>IF(A1149&lt;=151,"Kanto",IF(A1149&lt;=251,"Johto",IF(A1149&lt;=386,"Hoenn",IF(A1149&lt;=493,"Sinnoh",IF(A1149&lt;=649,"Unova",IF(A1149&lt;=721,"Kalos",IF(A1149&lt;=809,"Alola",IF(A1149&lt;=905,"Galar","Paldea"))))))))</f>
        <v>Kalos</v>
      </c>
      <c r="F1149" t="str">
        <f>IF(G1149&gt;=600,"Lendário",IF(G1149&gt;=500,"Forte","Normal"))</f>
        <v>Normal</v>
      </c>
      <c r="G1149" s="3">
        <f>G1148</f>
        <v>335</v>
      </c>
      <c r="H1149" s="3">
        <f>H1148</f>
        <v>59</v>
      </c>
      <c r="I1149" s="3">
        <f>I1148</f>
        <v>66</v>
      </c>
      <c r="J1149" s="3">
        <f>J1148</f>
        <v>70</v>
      </c>
      <c r="K1149" s="3">
        <f>K1148</f>
        <v>44</v>
      </c>
      <c r="L1149" s="3">
        <f>L1148</f>
        <v>55</v>
      </c>
      <c r="M1149" s="3">
        <f>M1148</f>
        <v>41</v>
      </c>
      <c r="N1149" s="3">
        <f>AVERAGE($I$2:$I$1168)</f>
        <v>78.907455012853475</v>
      </c>
      <c r="O1149" s="3" t="str">
        <f>CONCATENATE(A1149,"-",B1149)</f>
        <v>710,3-Pumpkaboo- Super Size</v>
      </c>
    </row>
    <row r="1150" spans="1:15">
      <c r="A1150" s="63">
        <v>711</v>
      </c>
      <c r="B1150" s="2" t="s">
        <v>795</v>
      </c>
      <c r="C1150" t="s">
        <v>128</v>
      </c>
      <c r="D1150" s="22">
        <f>COUNTIF($C$2:$C$1168,Tabela1[[#This Row],[Type]])</f>
        <v>45</v>
      </c>
      <c r="E1150" s="62" t="str">
        <f>IF(A1150&lt;=151,"Kanto",IF(A1150&lt;=251,"Johto",IF(A1150&lt;=386,"Hoenn",IF(A1150&lt;=493,"Sinnoh",IF(A1150&lt;=649,"Unova",IF(A1150&lt;=721,"Kalos",IF(A1150&lt;=809,"Alola",IF(A1150&lt;=905,"Galar","Paldea"))))))))</f>
        <v>Kalos</v>
      </c>
      <c r="F1150" t="str">
        <f>IF(G1150&gt;=600,"Lendário",IF(G1150&gt;=500,"Forte","Normal"))</f>
        <v>Normal</v>
      </c>
      <c r="G1150" s="3">
        <v>494</v>
      </c>
      <c r="H1150" s="3">
        <v>65</v>
      </c>
      <c r="I1150" s="3">
        <v>90</v>
      </c>
      <c r="J1150" s="3">
        <v>122</v>
      </c>
      <c r="K1150" s="3">
        <v>58</v>
      </c>
      <c r="L1150" s="3">
        <v>75</v>
      </c>
      <c r="M1150" s="3">
        <v>84</v>
      </c>
      <c r="N1150" s="3">
        <f>AVERAGE($I$2:$I$1168)</f>
        <v>78.907455012853475</v>
      </c>
      <c r="O1150" s="3" t="str">
        <f>CONCATENATE(A1150,"-",B1150)</f>
        <v>711-Gourgeist- Average Size</v>
      </c>
    </row>
    <row r="1151" spans="1:15">
      <c r="A1151" s="63">
        <v>711</v>
      </c>
      <c r="B1151" s="2" t="s">
        <v>795</v>
      </c>
      <c r="C1151" t="s">
        <v>16</v>
      </c>
      <c r="D1151" s="22">
        <f>COUNTIF($C$2:$C$1168,Tabela1[[#This Row],[Type]])</f>
        <v>93</v>
      </c>
      <c r="E1151" s="62" t="str">
        <f>IF(A1151&lt;=151,"Kanto",IF(A1151&lt;=251,"Johto",IF(A1151&lt;=386,"Hoenn",IF(A1151&lt;=493,"Sinnoh",IF(A1151&lt;=649,"Unova",IF(A1151&lt;=721,"Kalos",IF(A1151&lt;=809,"Alola",IF(A1151&lt;=905,"Galar","Paldea"))))))))</f>
        <v>Kalos</v>
      </c>
      <c r="F1151" t="str">
        <f>IF(G1151&gt;=600,"Lendário",IF(G1151&gt;=500,"Forte","Normal"))</f>
        <v>Normal</v>
      </c>
      <c r="G1151" s="3">
        <f>G1150</f>
        <v>494</v>
      </c>
      <c r="H1151" s="3">
        <f>H1150</f>
        <v>65</v>
      </c>
      <c r="I1151" s="3">
        <f>I1150</f>
        <v>90</v>
      </c>
      <c r="J1151" s="3">
        <f>J1150</f>
        <v>122</v>
      </c>
      <c r="K1151" s="3">
        <f>K1150</f>
        <v>58</v>
      </c>
      <c r="L1151" s="3">
        <f>L1150</f>
        <v>75</v>
      </c>
      <c r="M1151" s="3">
        <f>M1150</f>
        <v>84</v>
      </c>
      <c r="N1151" s="3">
        <f>AVERAGE($I$2:$I$1168)</f>
        <v>78.907455012853475</v>
      </c>
      <c r="O1151" s="3" t="str">
        <f>CONCATENATE(A1151,"-",B1151)</f>
        <v>711-Gourgeist- Average Size</v>
      </c>
    </row>
    <row r="1152" spans="1:15">
      <c r="A1152" s="63">
        <v>711.1</v>
      </c>
      <c r="B1152" s="2" t="s">
        <v>796</v>
      </c>
      <c r="C1152" t="s">
        <v>128</v>
      </c>
      <c r="D1152" s="22">
        <f>COUNTIF($C$2:$C$1168,Tabela1[[#This Row],[Type]])</f>
        <v>45</v>
      </c>
      <c r="E1152" s="62" t="str">
        <f>IF(A1152&lt;=151,"Kanto",IF(A1152&lt;=251,"Johto",IF(A1152&lt;=386,"Hoenn",IF(A1152&lt;=493,"Sinnoh",IF(A1152&lt;=649,"Unova",IF(A1152&lt;=721,"Kalos",IF(A1152&lt;=809,"Alola",IF(A1152&lt;=905,"Galar","Paldea"))))))))</f>
        <v>Kalos</v>
      </c>
      <c r="F1152" t="str">
        <f>IF(G1152&gt;=600,"Lendário",IF(G1152&gt;=500,"Forte","Normal"))</f>
        <v>Normal</v>
      </c>
      <c r="G1152" s="3">
        <v>494</v>
      </c>
      <c r="H1152" s="3">
        <v>55</v>
      </c>
      <c r="I1152" s="3">
        <v>85</v>
      </c>
      <c r="J1152" s="3">
        <v>122</v>
      </c>
      <c r="K1152" s="3">
        <v>58</v>
      </c>
      <c r="L1152" s="3">
        <v>75</v>
      </c>
      <c r="M1152" s="3">
        <v>99</v>
      </c>
      <c r="N1152" s="3">
        <f>AVERAGE($I$2:$I$1168)</f>
        <v>78.907455012853475</v>
      </c>
      <c r="O1152" s="3" t="str">
        <f>CONCATENATE(A1152,"-",B1152)</f>
        <v>711,1-Gourgeist- Small Size</v>
      </c>
    </row>
    <row r="1153" spans="1:15">
      <c r="A1153" s="63">
        <v>711.1</v>
      </c>
      <c r="B1153" s="2" t="s">
        <v>796</v>
      </c>
      <c r="C1153" t="s">
        <v>16</v>
      </c>
      <c r="D1153" s="22">
        <f>COUNTIF($C$2:$C$1168,Tabela1[[#This Row],[Type]])</f>
        <v>93</v>
      </c>
      <c r="E1153" s="62" t="str">
        <f>IF(A1153&lt;=151,"Kanto",IF(A1153&lt;=251,"Johto",IF(A1153&lt;=386,"Hoenn",IF(A1153&lt;=493,"Sinnoh",IF(A1153&lt;=649,"Unova",IF(A1153&lt;=721,"Kalos",IF(A1153&lt;=809,"Alola",IF(A1153&lt;=905,"Galar","Paldea"))))))))</f>
        <v>Kalos</v>
      </c>
      <c r="F1153" t="str">
        <f>IF(G1153&gt;=600,"Lendário",IF(G1153&gt;=500,"Forte","Normal"))</f>
        <v>Normal</v>
      </c>
      <c r="G1153" s="3">
        <f>G1152</f>
        <v>494</v>
      </c>
      <c r="H1153" s="3">
        <f>H1152</f>
        <v>55</v>
      </c>
      <c r="I1153" s="3">
        <f>I1152</f>
        <v>85</v>
      </c>
      <c r="J1153" s="3">
        <f>J1152</f>
        <v>122</v>
      </c>
      <c r="K1153" s="3">
        <f>K1152</f>
        <v>58</v>
      </c>
      <c r="L1153" s="3">
        <f>L1152</f>
        <v>75</v>
      </c>
      <c r="M1153" s="3">
        <f>M1152</f>
        <v>99</v>
      </c>
      <c r="N1153" s="3">
        <f>AVERAGE($I$2:$I$1168)</f>
        <v>78.907455012853475</v>
      </c>
      <c r="O1153" s="3" t="str">
        <f>CONCATENATE(A1153,"-",B1153)</f>
        <v>711,1-Gourgeist- Small Size</v>
      </c>
    </row>
    <row r="1154" spans="1:15">
      <c r="A1154" s="63">
        <v>711.2</v>
      </c>
      <c r="B1154" s="2" t="s">
        <v>797</v>
      </c>
      <c r="C1154" t="s">
        <v>128</v>
      </c>
      <c r="D1154" s="22">
        <f>COUNTIF($C$2:$C$1168,Tabela1[[#This Row],[Type]])</f>
        <v>45</v>
      </c>
      <c r="E1154" s="62" t="str">
        <f>IF(A1154&lt;=151,"Kanto",IF(A1154&lt;=251,"Johto",IF(A1154&lt;=386,"Hoenn",IF(A1154&lt;=493,"Sinnoh",IF(A1154&lt;=649,"Unova",IF(A1154&lt;=721,"Kalos",IF(A1154&lt;=809,"Alola",IF(A1154&lt;=905,"Galar","Paldea"))))))))</f>
        <v>Kalos</v>
      </c>
      <c r="F1154" t="str">
        <f>IF(G1154&gt;=600,"Lendário",IF(G1154&gt;=500,"Forte","Normal"))</f>
        <v>Normal</v>
      </c>
      <c r="G1154" s="3">
        <v>494</v>
      </c>
      <c r="H1154" s="3">
        <v>75</v>
      </c>
      <c r="I1154" s="3">
        <v>95</v>
      </c>
      <c r="J1154" s="3">
        <v>122</v>
      </c>
      <c r="K1154" s="3">
        <v>58</v>
      </c>
      <c r="L1154" s="3">
        <v>75</v>
      </c>
      <c r="M1154" s="3">
        <v>69</v>
      </c>
      <c r="N1154" s="3">
        <f>AVERAGE($I$2:$I$1168)</f>
        <v>78.907455012853475</v>
      </c>
      <c r="O1154" s="3" t="str">
        <f>CONCATENATE(A1154,"-",B1154)</f>
        <v>711,2-Gourgeist- Large Size</v>
      </c>
    </row>
    <row r="1155" spans="1:15">
      <c r="A1155" s="63">
        <v>711.2</v>
      </c>
      <c r="B1155" s="2" t="s">
        <v>797</v>
      </c>
      <c r="C1155" t="s">
        <v>16</v>
      </c>
      <c r="D1155" s="22">
        <f>COUNTIF($C$2:$C$1168,Tabela1[[#This Row],[Type]])</f>
        <v>93</v>
      </c>
      <c r="E1155" s="62" t="str">
        <f>IF(A1155&lt;=151,"Kanto",IF(A1155&lt;=251,"Johto",IF(A1155&lt;=386,"Hoenn",IF(A1155&lt;=493,"Sinnoh",IF(A1155&lt;=649,"Unova",IF(A1155&lt;=721,"Kalos",IF(A1155&lt;=809,"Alola",IF(A1155&lt;=905,"Galar","Paldea"))))))))</f>
        <v>Kalos</v>
      </c>
      <c r="F1155" t="str">
        <f>IF(G1155&gt;=600,"Lendário",IF(G1155&gt;=500,"Forte","Normal"))</f>
        <v>Normal</v>
      </c>
      <c r="G1155" s="3">
        <f>G1154</f>
        <v>494</v>
      </c>
      <c r="H1155" s="3">
        <f>H1154</f>
        <v>75</v>
      </c>
      <c r="I1155" s="3">
        <f>I1154</f>
        <v>95</v>
      </c>
      <c r="J1155" s="3">
        <f>J1154</f>
        <v>122</v>
      </c>
      <c r="K1155" s="3">
        <f>K1154</f>
        <v>58</v>
      </c>
      <c r="L1155" s="3">
        <f>L1154</f>
        <v>75</v>
      </c>
      <c r="M1155" s="3">
        <f>M1154</f>
        <v>69</v>
      </c>
      <c r="N1155" s="3">
        <f>AVERAGE($I$2:$I$1168)</f>
        <v>78.907455012853475</v>
      </c>
      <c r="O1155" s="3" t="str">
        <f>CONCATENATE(A1155,"-",B1155)</f>
        <v>711,2-Gourgeist- Large Size</v>
      </c>
    </row>
    <row r="1156" spans="1:15">
      <c r="A1156" s="63">
        <v>711.3</v>
      </c>
      <c r="B1156" s="2" t="s">
        <v>798</v>
      </c>
      <c r="C1156" t="s">
        <v>128</v>
      </c>
      <c r="D1156" s="22">
        <f>COUNTIF($C$2:$C$1168,Tabela1[[#This Row],[Type]])</f>
        <v>45</v>
      </c>
      <c r="E1156" s="62" t="str">
        <f>IF(A1156&lt;=151,"Kanto",IF(A1156&lt;=251,"Johto",IF(A1156&lt;=386,"Hoenn",IF(A1156&lt;=493,"Sinnoh",IF(A1156&lt;=649,"Unova",IF(A1156&lt;=721,"Kalos",IF(A1156&lt;=809,"Alola",IF(A1156&lt;=905,"Galar","Paldea"))))))))</f>
        <v>Kalos</v>
      </c>
      <c r="F1156" t="str">
        <f>IF(G1156&gt;=600,"Lendário",IF(G1156&gt;=500,"Forte","Normal"))</f>
        <v>Normal</v>
      </c>
      <c r="G1156" s="3">
        <v>494</v>
      </c>
      <c r="H1156" s="3">
        <v>85</v>
      </c>
      <c r="I1156" s="3">
        <v>100</v>
      </c>
      <c r="J1156" s="3">
        <v>122</v>
      </c>
      <c r="K1156" s="3">
        <v>58</v>
      </c>
      <c r="L1156" s="3">
        <v>75</v>
      </c>
      <c r="M1156" s="3">
        <v>54</v>
      </c>
      <c r="N1156" s="3">
        <f>AVERAGE($I$2:$I$1168)</f>
        <v>78.907455012853475</v>
      </c>
      <c r="O1156" s="3" t="str">
        <f>CONCATENATE(A1156,"-",B1156)</f>
        <v>711,3-Gourgeist-Super Size</v>
      </c>
    </row>
    <row r="1157" spans="1:15">
      <c r="A1157" s="63">
        <v>711.3</v>
      </c>
      <c r="B1157" s="2" t="s">
        <v>798</v>
      </c>
      <c r="C1157" t="s">
        <v>16</v>
      </c>
      <c r="D1157" s="22">
        <f>COUNTIF($C$2:$C$1168,Tabela1[[#This Row],[Type]])</f>
        <v>93</v>
      </c>
      <c r="E1157" s="62" t="str">
        <f>IF(A1157&lt;=151,"Kanto",IF(A1157&lt;=251,"Johto",IF(A1157&lt;=386,"Hoenn",IF(A1157&lt;=493,"Sinnoh",IF(A1157&lt;=649,"Unova",IF(A1157&lt;=721,"Kalos",IF(A1157&lt;=809,"Alola",IF(A1157&lt;=905,"Galar","Paldea"))))))))</f>
        <v>Kalos</v>
      </c>
      <c r="F1157" t="str">
        <f>IF(G1157&gt;=600,"Lendário",IF(G1157&gt;=500,"Forte","Normal"))</f>
        <v>Normal</v>
      </c>
      <c r="G1157" s="3">
        <f>G1156</f>
        <v>494</v>
      </c>
      <c r="H1157" s="3">
        <f>H1156</f>
        <v>85</v>
      </c>
      <c r="I1157" s="3">
        <f>I1156</f>
        <v>100</v>
      </c>
      <c r="J1157" s="3">
        <f>J1156</f>
        <v>122</v>
      </c>
      <c r="K1157" s="3">
        <f>K1156</f>
        <v>58</v>
      </c>
      <c r="L1157" s="3">
        <f>L1156</f>
        <v>75</v>
      </c>
      <c r="M1157" s="3">
        <f>M1156</f>
        <v>54</v>
      </c>
      <c r="N1157" s="3">
        <f>AVERAGE($I$2:$I$1168)</f>
        <v>78.907455012853475</v>
      </c>
      <c r="O1157" s="3" t="str">
        <f>CONCATENATE(A1157,"-",B1157)</f>
        <v>711,3-Gourgeist-Super Size</v>
      </c>
    </row>
    <row r="1158" spans="1:15">
      <c r="A1158" s="63">
        <v>712</v>
      </c>
      <c r="B1158" s="2" t="s">
        <v>799</v>
      </c>
      <c r="C1158" t="s">
        <v>122</v>
      </c>
      <c r="D1158" s="22">
        <f>COUNTIF($C$2:$C$1168,Tabela1[[#This Row],[Type]])</f>
        <v>37</v>
      </c>
      <c r="E1158" s="62" t="str">
        <f>IF(A1158&lt;=151,"Kanto",IF(A1158&lt;=251,"Johto",IF(A1158&lt;=386,"Hoenn",IF(A1158&lt;=493,"Sinnoh",IF(A1158&lt;=649,"Unova",IF(A1158&lt;=721,"Kalos",IF(A1158&lt;=809,"Alola",IF(A1158&lt;=905,"Galar","Paldea"))))))))</f>
        <v>Kalos</v>
      </c>
      <c r="F1158" t="str">
        <f>IF(G1158&gt;=600,"Lendário",IF(G1158&gt;=500,"Forte","Normal"))</f>
        <v>Normal</v>
      </c>
      <c r="G1158" s="3">
        <v>304</v>
      </c>
      <c r="H1158" s="3">
        <v>55</v>
      </c>
      <c r="I1158" s="3">
        <v>69</v>
      </c>
      <c r="J1158" s="3">
        <v>85</v>
      </c>
      <c r="K1158" s="3">
        <v>32</v>
      </c>
      <c r="L1158" s="3">
        <v>35</v>
      </c>
      <c r="M1158" s="3">
        <v>28</v>
      </c>
      <c r="N1158" s="3">
        <f>AVERAGE($I$2:$I$1168)</f>
        <v>78.907455012853475</v>
      </c>
      <c r="O1158" s="3" t="str">
        <f>CONCATENATE(A1158,"-",B1158)</f>
        <v>712-Bergmite</v>
      </c>
    </row>
    <row r="1159" spans="1:15">
      <c r="A1159" s="63">
        <v>713</v>
      </c>
      <c r="B1159" s="2" t="s">
        <v>800</v>
      </c>
      <c r="C1159" t="s">
        <v>122</v>
      </c>
      <c r="D1159" s="22">
        <f>COUNTIF($C$2:$C$1168,Tabela1[[#This Row],[Type]])</f>
        <v>37</v>
      </c>
      <c r="E1159" s="62" t="str">
        <f>IF(A1159&lt;=151,"Kanto",IF(A1159&lt;=251,"Johto",IF(A1159&lt;=386,"Hoenn",IF(A1159&lt;=493,"Sinnoh",IF(A1159&lt;=649,"Unova",IF(A1159&lt;=721,"Kalos",IF(A1159&lt;=809,"Alola",IF(A1159&lt;=905,"Galar","Paldea"))))))))</f>
        <v>Kalos</v>
      </c>
      <c r="F1159" t="str">
        <f>IF(G1159&gt;=600,"Lendário",IF(G1159&gt;=500,"Forte","Normal"))</f>
        <v>Forte</v>
      </c>
      <c r="G1159" s="3">
        <v>514</v>
      </c>
      <c r="H1159" s="3">
        <v>95</v>
      </c>
      <c r="I1159" s="3">
        <v>117</v>
      </c>
      <c r="J1159" s="3">
        <v>184</v>
      </c>
      <c r="K1159" s="3">
        <v>44</v>
      </c>
      <c r="L1159" s="3">
        <v>46</v>
      </c>
      <c r="M1159" s="3">
        <v>28</v>
      </c>
      <c r="N1159" s="3">
        <f>AVERAGE($I$2:$I$1168)</f>
        <v>78.907455012853475</v>
      </c>
      <c r="O1159" s="3" t="str">
        <f>CONCATENATE(A1159,"-",B1159)</f>
        <v>713-Avalugg</v>
      </c>
    </row>
    <row r="1160" spans="1:15">
      <c r="A1160" s="63">
        <v>714</v>
      </c>
      <c r="B1160" s="2" t="s">
        <v>801</v>
      </c>
      <c r="C1160" t="s">
        <v>25</v>
      </c>
      <c r="D1160" s="22">
        <f>COUNTIF($C$2:$C$1168,Tabela1[[#This Row],[Type]])</f>
        <v>100</v>
      </c>
      <c r="E1160" s="62" t="str">
        <f>IF(A1160&lt;=151,"Kanto",IF(A1160&lt;=251,"Johto",IF(A1160&lt;=386,"Hoenn",IF(A1160&lt;=493,"Sinnoh",IF(A1160&lt;=649,"Unova",IF(A1160&lt;=721,"Kalos",IF(A1160&lt;=809,"Alola",IF(A1160&lt;=905,"Galar","Paldea"))))))))</f>
        <v>Kalos</v>
      </c>
      <c r="F1160" t="str">
        <f>IF(G1160&gt;=600,"Lendário",IF(G1160&gt;=500,"Forte","Normal"))</f>
        <v>Normal</v>
      </c>
      <c r="G1160" s="3">
        <v>245</v>
      </c>
      <c r="H1160" s="3">
        <v>40</v>
      </c>
      <c r="I1160" s="3">
        <v>30</v>
      </c>
      <c r="J1160" s="3">
        <v>35</v>
      </c>
      <c r="K1160" s="3">
        <v>45</v>
      </c>
      <c r="L1160" s="3">
        <v>40</v>
      </c>
      <c r="M1160" s="3">
        <v>55</v>
      </c>
      <c r="N1160" s="3">
        <f>AVERAGE($I$2:$I$1168)</f>
        <v>78.907455012853475</v>
      </c>
      <c r="O1160" s="3" t="str">
        <f>CONCATENATE(A1160,"-",B1160)</f>
        <v>714-Noibat</v>
      </c>
    </row>
    <row r="1161" spans="1:15">
      <c r="A1161" s="63">
        <v>714</v>
      </c>
      <c r="B1161" s="2" t="str">
        <f>B1160</f>
        <v>Noibat</v>
      </c>
      <c r="C1161" t="s">
        <v>27</v>
      </c>
      <c r="D1161" s="22">
        <f>COUNTIF($C$2:$C$1168,Tabela1[[#This Row],[Type]])</f>
        <v>44</v>
      </c>
      <c r="E1161" s="62" t="str">
        <f>IF(A1161&lt;=151,"Kanto",IF(A1161&lt;=251,"Johto",IF(A1161&lt;=386,"Hoenn",IF(A1161&lt;=493,"Sinnoh",IF(A1161&lt;=649,"Unova",IF(A1161&lt;=721,"Kalos",IF(A1161&lt;=809,"Alola",IF(A1161&lt;=905,"Galar","Paldea"))))))))</f>
        <v>Kalos</v>
      </c>
      <c r="F1161" t="str">
        <f>IF(G1161&gt;=600,"Lendário",IF(G1161&gt;=500,"Forte","Normal"))</f>
        <v>Normal</v>
      </c>
      <c r="G1161" s="3">
        <f>G1160</f>
        <v>245</v>
      </c>
      <c r="H1161" s="3">
        <f>H1160</f>
        <v>40</v>
      </c>
      <c r="I1161" s="3">
        <f>I1160</f>
        <v>30</v>
      </c>
      <c r="J1161" s="3">
        <f>J1160</f>
        <v>35</v>
      </c>
      <c r="K1161" s="3">
        <f>K1160</f>
        <v>45</v>
      </c>
      <c r="L1161" s="3">
        <f>L1160</f>
        <v>40</v>
      </c>
      <c r="M1161" s="3">
        <f>M1160</f>
        <v>55</v>
      </c>
      <c r="N1161" s="3">
        <f>AVERAGE($I$2:$I$1168)</f>
        <v>78.907455012853475</v>
      </c>
      <c r="O1161" s="3" t="str">
        <f>CONCATENATE(A1161,"-",B1161)</f>
        <v>714-Noibat</v>
      </c>
    </row>
    <row r="1162" spans="1:15">
      <c r="A1162" s="63">
        <v>715</v>
      </c>
      <c r="B1162" s="2" t="s">
        <v>802</v>
      </c>
      <c r="C1162" t="s">
        <v>25</v>
      </c>
      <c r="D1162" s="22">
        <f>COUNTIF($C$2:$C$1168,Tabela1[[#This Row],[Type]])</f>
        <v>100</v>
      </c>
      <c r="E1162" s="62" t="str">
        <f>IF(A1162&lt;=151,"Kanto",IF(A1162&lt;=251,"Johto",IF(A1162&lt;=386,"Hoenn",IF(A1162&lt;=493,"Sinnoh",IF(A1162&lt;=649,"Unova",IF(A1162&lt;=721,"Kalos",IF(A1162&lt;=809,"Alola",IF(A1162&lt;=905,"Galar","Paldea"))))))))</f>
        <v>Kalos</v>
      </c>
      <c r="F1162" t="str">
        <f>IF(G1162&gt;=600,"Lendário",IF(G1162&gt;=500,"Forte","Normal"))</f>
        <v>Forte</v>
      </c>
      <c r="G1162" s="3">
        <v>535</v>
      </c>
      <c r="H1162" s="3">
        <v>85</v>
      </c>
      <c r="I1162" s="3">
        <v>70</v>
      </c>
      <c r="J1162" s="3">
        <v>80</v>
      </c>
      <c r="K1162" s="3">
        <v>97</v>
      </c>
      <c r="L1162" s="3">
        <v>80</v>
      </c>
      <c r="M1162" s="3">
        <v>123</v>
      </c>
      <c r="N1162" s="3">
        <f>AVERAGE($I$2:$I$1168)</f>
        <v>78.907455012853475</v>
      </c>
      <c r="O1162" s="3" t="str">
        <f>CONCATENATE(A1162,"-",B1162)</f>
        <v>715-Noivern</v>
      </c>
    </row>
    <row r="1163" spans="1:15">
      <c r="A1163" s="63">
        <v>715</v>
      </c>
      <c r="B1163" s="2" t="str">
        <f>B1162</f>
        <v>Noivern</v>
      </c>
      <c r="C1163" t="s">
        <v>27</v>
      </c>
      <c r="D1163" s="22">
        <f>COUNTIF($C$2:$C$1168,Tabela1[[#This Row],[Type]])</f>
        <v>44</v>
      </c>
      <c r="E1163" s="62" t="str">
        <f>IF(A1163&lt;=151,"Kanto",IF(A1163&lt;=251,"Johto",IF(A1163&lt;=386,"Hoenn",IF(A1163&lt;=493,"Sinnoh",IF(A1163&lt;=649,"Unova",IF(A1163&lt;=721,"Kalos",IF(A1163&lt;=809,"Alola",IF(A1163&lt;=905,"Galar","Paldea"))))))))</f>
        <v>Kalos</v>
      </c>
      <c r="F1163" t="str">
        <f>IF(G1163&gt;=600,"Lendário",IF(G1163&gt;=500,"Forte","Normal"))</f>
        <v>Forte</v>
      </c>
      <c r="G1163" s="3">
        <f>G1162</f>
        <v>535</v>
      </c>
      <c r="H1163" s="3">
        <f>H1162</f>
        <v>85</v>
      </c>
      <c r="I1163" s="3">
        <f>I1162</f>
        <v>70</v>
      </c>
      <c r="J1163" s="3">
        <f>J1162</f>
        <v>80</v>
      </c>
      <c r="K1163" s="3">
        <f>K1162</f>
        <v>97</v>
      </c>
      <c r="L1163" s="3">
        <f>L1162</f>
        <v>80</v>
      </c>
      <c r="M1163" s="3">
        <f>M1162</f>
        <v>123</v>
      </c>
      <c r="N1163" s="3">
        <f>AVERAGE($I$2:$I$1168)</f>
        <v>78.907455012853475</v>
      </c>
      <c r="O1163" s="3" t="str">
        <f>CONCATENATE(A1163,"-",B1163)</f>
        <v>715-Noivern</v>
      </c>
    </row>
    <row r="1164" spans="1:15">
      <c r="A1164" s="63">
        <v>716</v>
      </c>
      <c r="B1164" s="2" t="s">
        <v>803</v>
      </c>
      <c r="C1164" t="s">
        <v>64</v>
      </c>
      <c r="D1164" s="22">
        <f>COUNTIF($C$2:$C$1168,Tabela1[[#This Row],[Type]])</f>
        <v>34</v>
      </c>
      <c r="E1164" s="62" t="str">
        <f>IF(A1164&lt;=151,"Kanto",IF(A1164&lt;=251,"Johto",IF(A1164&lt;=386,"Hoenn",IF(A1164&lt;=493,"Sinnoh",IF(A1164&lt;=649,"Unova",IF(A1164&lt;=721,"Kalos",IF(A1164&lt;=809,"Alola",IF(A1164&lt;=905,"Galar","Paldea"))))))))</f>
        <v>Kalos</v>
      </c>
      <c r="F1164" t="str">
        <f>IF(G1164&gt;=600,"Lendário",IF(G1164&gt;=500,"Forte","Normal"))</f>
        <v>Lendário</v>
      </c>
      <c r="G1164" s="3">
        <v>680</v>
      </c>
      <c r="H1164" s="3">
        <v>126</v>
      </c>
      <c r="I1164" s="3">
        <v>131</v>
      </c>
      <c r="J1164" s="3">
        <v>95</v>
      </c>
      <c r="K1164" s="3">
        <v>131</v>
      </c>
      <c r="L1164" s="3">
        <v>98</v>
      </c>
      <c r="M1164" s="3">
        <v>99</v>
      </c>
      <c r="N1164" s="3">
        <f>AVERAGE($I$2:$I$1168)</f>
        <v>78.907455012853475</v>
      </c>
      <c r="O1164" s="3" t="str">
        <f>CONCATENATE(A1164,"-",B1164)</f>
        <v>716-Xerneas</v>
      </c>
    </row>
    <row r="1165" spans="1:15">
      <c r="A1165" s="63">
        <v>717</v>
      </c>
      <c r="B1165" s="2" t="s">
        <v>804</v>
      </c>
      <c r="C1165" t="s">
        <v>170</v>
      </c>
      <c r="D1165" s="22">
        <f>COUNTIF($C$2:$C$1168,Tabela1[[#This Row],[Type]])</f>
        <v>49</v>
      </c>
      <c r="E1165" s="62" t="str">
        <f>IF(A1165&lt;=151,"Kanto",IF(A1165&lt;=251,"Johto",IF(A1165&lt;=386,"Hoenn",IF(A1165&lt;=493,"Sinnoh",IF(A1165&lt;=649,"Unova",IF(A1165&lt;=721,"Kalos",IF(A1165&lt;=809,"Alola",IF(A1165&lt;=905,"Galar","Paldea"))))))))</f>
        <v>Kalos</v>
      </c>
      <c r="F1165" t="str">
        <f>IF(G1165&gt;=600,"Lendário",IF(G1165&gt;=500,"Forte","Normal"))</f>
        <v>Lendário</v>
      </c>
      <c r="G1165" s="3">
        <v>680</v>
      </c>
      <c r="H1165" s="3">
        <v>126</v>
      </c>
      <c r="I1165" s="3">
        <v>131</v>
      </c>
      <c r="J1165" s="3">
        <v>95</v>
      </c>
      <c r="K1165" s="3">
        <v>131</v>
      </c>
      <c r="L1165" s="3">
        <v>98</v>
      </c>
      <c r="M1165" s="3">
        <v>99</v>
      </c>
      <c r="N1165" s="3">
        <f>AVERAGE($I$2:$I$1168)</f>
        <v>78.907455012853475</v>
      </c>
      <c r="O1165" s="3" t="str">
        <f>CONCATENATE(A1165,"-",B1165)</f>
        <v>717-Yveltal</v>
      </c>
    </row>
    <row r="1166" spans="1:15">
      <c r="A1166" s="63">
        <v>717</v>
      </c>
      <c r="B1166" s="2" t="str">
        <f>B1165</f>
        <v>Yveltal</v>
      </c>
      <c r="C1166" t="s">
        <v>25</v>
      </c>
      <c r="D1166" s="22">
        <f>COUNTIF($C$2:$C$1168,Tabela1[[#This Row],[Type]])</f>
        <v>100</v>
      </c>
      <c r="E1166" s="62" t="str">
        <f>IF(A1166&lt;=151,"Kanto",IF(A1166&lt;=251,"Johto",IF(A1166&lt;=386,"Hoenn",IF(A1166&lt;=493,"Sinnoh",IF(A1166&lt;=649,"Unova",IF(A1166&lt;=721,"Kalos",IF(A1166&lt;=809,"Alola",IF(A1166&lt;=905,"Galar","Paldea"))))))))</f>
        <v>Kalos</v>
      </c>
      <c r="F1166" t="str">
        <f>IF(G1166&gt;=600,"Lendário",IF(G1166&gt;=500,"Forte","Normal"))</f>
        <v>Lendário</v>
      </c>
      <c r="G1166" s="3">
        <f>G1165</f>
        <v>680</v>
      </c>
      <c r="H1166" s="3">
        <f>H1165</f>
        <v>126</v>
      </c>
      <c r="I1166" s="3">
        <f>I1165</f>
        <v>131</v>
      </c>
      <c r="J1166" s="3">
        <f>J1165</f>
        <v>95</v>
      </c>
      <c r="K1166" s="3">
        <f>K1165</f>
        <v>131</v>
      </c>
      <c r="L1166" s="3">
        <f>L1165</f>
        <v>98</v>
      </c>
      <c r="M1166" s="3">
        <f>M1165</f>
        <v>99</v>
      </c>
      <c r="N1166" s="3">
        <f>AVERAGE($I$2:$I$1168)</f>
        <v>78.907455012853475</v>
      </c>
      <c r="O1166" s="3" t="str">
        <f>CONCATENATE(A1166,"-",B1166)</f>
        <v>717-Yveltal</v>
      </c>
    </row>
    <row r="1167" spans="1:15">
      <c r="A1167" s="63">
        <v>718</v>
      </c>
      <c r="B1167" s="2" t="s">
        <v>805</v>
      </c>
      <c r="C1167" t="s">
        <v>27</v>
      </c>
      <c r="D1167" s="22">
        <f>COUNTIF($C$2:$C$1168,Tabela1[[#This Row],[Type]])</f>
        <v>44</v>
      </c>
      <c r="E1167" s="62" t="str">
        <f>IF(A1167&lt;=151,"Kanto",IF(A1167&lt;=251,"Johto",IF(A1167&lt;=386,"Hoenn",IF(A1167&lt;=493,"Sinnoh",IF(A1167&lt;=649,"Unova",IF(A1167&lt;=721,"Kalos",IF(A1167&lt;=809,"Alola",IF(A1167&lt;=905,"Galar","Paldea"))))))))</f>
        <v>Kalos</v>
      </c>
      <c r="F1167" t="str">
        <f>IF(G1167&gt;=600,"Lendário",IF(G1167&gt;=500,"Forte","Normal"))</f>
        <v>Lendário</v>
      </c>
      <c r="G1167" s="3">
        <v>600</v>
      </c>
      <c r="H1167" s="3">
        <v>108</v>
      </c>
      <c r="I1167" s="3">
        <v>100</v>
      </c>
      <c r="J1167" s="3">
        <v>121</v>
      </c>
      <c r="K1167" s="3">
        <v>81</v>
      </c>
      <c r="L1167" s="3">
        <v>95</v>
      </c>
      <c r="M1167" s="3">
        <v>95</v>
      </c>
      <c r="N1167" s="3">
        <f>AVERAGE($I$2:$I$1168)</f>
        <v>78.907455012853475</v>
      </c>
      <c r="O1167" s="3" t="str">
        <f>CONCATENATE(A1167,"-",B1167)</f>
        <v>718-Zygarde</v>
      </c>
    </row>
    <row r="1168" spans="1:15">
      <c r="A1168" s="63">
        <v>718</v>
      </c>
      <c r="B1168" s="2" t="str">
        <f>B1167</f>
        <v>Zygarde</v>
      </c>
      <c r="C1168" t="s">
        <v>55</v>
      </c>
      <c r="D1168" s="22">
        <f>COUNTIF($C$2:$C$1168,Tabela1[[#This Row],[Type]])</f>
        <v>62</v>
      </c>
      <c r="E1168" s="62" t="str">
        <f>IF(A1168&lt;=151,"Kanto",IF(A1168&lt;=251,"Johto",IF(A1168&lt;=386,"Hoenn",IF(A1168&lt;=493,"Sinnoh",IF(A1168&lt;=649,"Unova",IF(A1168&lt;=721,"Kalos",IF(A1168&lt;=809,"Alola",IF(A1168&lt;=905,"Galar","Paldea"))))))))</f>
        <v>Kalos</v>
      </c>
      <c r="F1168" t="str">
        <f>IF(G1168&gt;=600,"Lendário",IF(G1168&gt;=500,"Forte","Normal"))</f>
        <v>Lendário</v>
      </c>
      <c r="G1168" s="3">
        <f>G1167</f>
        <v>600</v>
      </c>
      <c r="H1168" s="3">
        <f>H1167</f>
        <v>108</v>
      </c>
      <c r="I1168" s="3">
        <f>I1167</f>
        <v>100</v>
      </c>
      <c r="J1168" s="3">
        <f>J1167</f>
        <v>121</v>
      </c>
      <c r="K1168" s="3">
        <f>K1167</f>
        <v>81</v>
      </c>
      <c r="L1168" s="3">
        <f>L1167</f>
        <v>95</v>
      </c>
      <c r="M1168" s="3">
        <f>M1167</f>
        <v>95</v>
      </c>
      <c r="N1168" s="3">
        <f>AVERAGE($I$2:$I$1168)</f>
        <v>78.907455012853475</v>
      </c>
      <c r="O1168" s="3" t="str">
        <f>CONCATENATE(A1168,"-",B1168)</f>
        <v>718-Zygarde</v>
      </c>
    </row>
  </sheetData>
  <conditionalFormatting sqref="C2:E1168">
    <cfRule type="containsText" dxfId="129" priority="27" operator="containsText" text="GRASS">
      <formula>NOT(ISERROR(SEARCH("GRASS",C2)))</formula>
    </cfRule>
  </conditionalFormatting>
  <conditionalFormatting sqref="C2:E1168">
    <cfRule type="containsText" dxfId="128" priority="26" operator="containsText" text="POISON">
      <formula>NOT(ISERROR(SEARCH("POISON",C2)))</formula>
    </cfRule>
  </conditionalFormatting>
  <conditionalFormatting sqref="C2:E1168">
    <cfRule type="containsText" dxfId="127" priority="25" operator="containsText" text="WATER">
      <formula>NOT(ISERROR(SEARCH("WATER",C2)))</formula>
    </cfRule>
  </conditionalFormatting>
  <conditionalFormatting sqref="C2:E1168">
    <cfRule type="containsText" dxfId="126" priority="24" operator="containsText" text="FLYING">
      <formula>NOT(ISERROR(SEARCH("FLYING",C2)))</formula>
    </cfRule>
  </conditionalFormatting>
  <conditionalFormatting sqref="C2:E1168">
    <cfRule type="containsText" dxfId="125" priority="23" operator="containsText" text="FIRE">
      <formula>NOT(ISERROR(SEARCH("FIRE",C2)))</formula>
    </cfRule>
  </conditionalFormatting>
  <conditionalFormatting sqref="C2:E1168">
    <cfRule type="containsText" dxfId="124" priority="22" operator="containsText" text="DRAGON">
      <formula>NOT(ISERROR(SEARCH("DRAGON",C2)))</formula>
    </cfRule>
  </conditionalFormatting>
  <conditionalFormatting sqref="C2:E1168">
    <cfRule type="containsText" dxfId="123" priority="21" operator="containsText" text="BUG">
      <formula>NOT(ISERROR(SEARCH("BUG",C2)))</formula>
    </cfRule>
  </conditionalFormatting>
  <conditionalFormatting sqref="C2:E1168">
    <cfRule type="containsText" dxfId="122" priority="20" operator="containsText" text="ELECTRIC">
      <formula>NOT(ISERROR(SEARCH("ELECTRIC",C2)))</formula>
    </cfRule>
  </conditionalFormatting>
  <conditionalFormatting sqref="C2:E1168">
    <cfRule type="containsText" dxfId="121" priority="19" operator="containsText" text="GROUND">
      <formula>NOT(ISERROR(SEARCH("GROUND",C2)))</formula>
    </cfRule>
  </conditionalFormatting>
  <conditionalFormatting sqref="C2:E1168">
    <cfRule type="containsText" dxfId="120" priority="18" operator="containsText" text="FAIRY">
      <formula>NOT(ISERROR(SEARCH("FAIRY",C2)))</formula>
    </cfRule>
  </conditionalFormatting>
  <conditionalFormatting sqref="C2:E1168">
    <cfRule type="containsText" dxfId="119" priority="17" operator="containsText" text="FIGHTING">
      <formula>NOT(ISERROR(SEARCH("FIGHTING",C2)))</formula>
    </cfRule>
  </conditionalFormatting>
  <conditionalFormatting sqref="C2:E1168">
    <cfRule type="containsText" dxfId="118" priority="16" operator="containsText" text="PSYCHIC">
      <formula>NOT(ISERROR(SEARCH("PSYCHIC",C2)))</formula>
    </cfRule>
  </conditionalFormatting>
  <conditionalFormatting sqref="C2:E1168">
    <cfRule type="containsText" dxfId="117" priority="15" operator="containsText" text="ROCK">
      <formula>NOT(ISERROR(SEARCH("ROCK",C2)))</formula>
    </cfRule>
  </conditionalFormatting>
  <conditionalFormatting sqref="C2:E1168">
    <cfRule type="containsText" dxfId="116" priority="14" operator="containsText" text="STEEL">
      <formula>NOT(ISERROR(SEARCH("STEEL",C2)))</formula>
    </cfRule>
  </conditionalFormatting>
  <conditionalFormatting sqref="C2:E1168">
    <cfRule type="containsText" dxfId="115" priority="13" operator="containsText" text="ICE">
      <formula>NOT(ISERROR(SEARCH("ICE",C2)))</formula>
    </cfRule>
  </conditionalFormatting>
  <conditionalFormatting sqref="C2:E1168">
    <cfRule type="containsText" dxfId="114" priority="12" operator="containsText" text="GHOST">
      <formula>NOT(ISERROR(SEARCH("GHOST",C2)))</formula>
    </cfRule>
  </conditionalFormatting>
  <conditionalFormatting sqref="C2:E1168">
    <cfRule type="containsText" dxfId="113" priority="11" operator="containsText" text="DARK">
      <formula>NOT(ISERROR(SEARCH("DARK",C2)))</formula>
    </cfRule>
  </conditionalFormatting>
  <conditionalFormatting sqref="G2:G1168">
    <cfRule type="cellIs" dxfId="112" priority="10" operator="greaterThan">
      <formula>600</formula>
    </cfRule>
  </conditionalFormatting>
  <conditionalFormatting sqref="G2:G1168">
    <cfRule type="cellIs" dxfId="111" priority="9" operator="lessThan">
      <formula>300</formula>
    </cfRule>
  </conditionalFormatting>
  <conditionalFormatting sqref="M1:M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{98E2977C-7AE0-4487-B122-69EE8223F41E}</x14:id>
        </ext>
      </extLst>
    </cfRule>
  </conditionalFormatting>
  <conditionalFormatting sqref="I2:I1168">
    <cfRule type="cellIs" dxfId="110" priority="7" operator="greaterThan">
      <formula>$N$2</formula>
    </cfRule>
  </conditionalFormatting>
  <conditionalFormatting sqref="I2:I1168">
    <cfRule type="cellIs" dxfId="109" priority="6" operator="lessThan">
      <formula>$N$2</formula>
    </cfRule>
  </conditionalFormatting>
  <conditionalFormatting sqref="F2:F1168">
    <cfRule type="containsText" dxfId="108" priority="5" operator="containsText" text="Lendário">
      <formula>NOT(ISERROR(SEARCH("Lendário",F2)))</formula>
    </cfRule>
  </conditionalFormatting>
  <conditionalFormatting sqref="F2:F1168">
    <cfRule type="containsText" dxfId="107" priority="4" operator="containsText" text="Forte">
      <formula>NOT(ISERROR(SEARCH("Forte",F2)))</formula>
    </cfRule>
  </conditionalFormatting>
  <conditionalFormatting sqref="F2:F1168">
    <cfRule type="containsText" dxfId="106" priority="3" operator="containsText" text="Normal">
      <formula>NOT(ISERROR(SEARCH("Normal",F2)))</formula>
    </cfRule>
  </conditionalFormatting>
  <hyperlinks>
    <hyperlink ref="B2" r:id="rId1" tooltip="View pokedex for #001 Bulbasaur" display="http://pokemondb.net/pokedex/bulbasaur" xr:uid="{00000000-0004-0000-0000-000000000000}"/>
    <hyperlink ref="C2" r:id="rId2" display="http://pokemondb.net/type/grass" xr:uid="{00000000-0004-0000-0000-000001000000}"/>
    <hyperlink ref="C3" r:id="rId3" display="http://pokemondb.net/type/poison" xr:uid="{00000000-0004-0000-0000-000002000000}"/>
    <hyperlink ref="B4" r:id="rId4" tooltip="View pokedex for #002 Ivysaur" display="http://pokemondb.net/pokedex/ivysaur" xr:uid="{00000000-0004-0000-0000-000003000000}"/>
    <hyperlink ref="C4" r:id="rId5" display="http://pokemondb.net/type/grass" xr:uid="{00000000-0004-0000-0000-000004000000}"/>
    <hyperlink ref="C5" r:id="rId6" display="http://pokemondb.net/type/poison" xr:uid="{00000000-0004-0000-0000-000005000000}"/>
    <hyperlink ref="B6" r:id="rId7" tooltip="View pokedex for #003 Venusaur" display="http://pokemondb.net/pokedex/venusaur" xr:uid="{00000000-0004-0000-0000-000006000000}"/>
    <hyperlink ref="C6" r:id="rId8" display="http://pokemondb.net/type/grass" xr:uid="{00000000-0004-0000-0000-000007000000}"/>
    <hyperlink ref="C7" r:id="rId9" display="http://pokemondb.net/type/poison" xr:uid="{00000000-0004-0000-0000-000008000000}"/>
    <hyperlink ref="C8" r:id="rId10" display="http://pokemondb.net/type/grass" xr:uid="{00000000-0004-0000-0000-000009000000}"/>
    <hyperlink ref="C9" r:id="rId11" display="http://pokemondb.net/type/poison" xr:uid="{00000000-0004-0000-0000-00000A000000}"/>
    <hyperlink ref="B10" r:id="rId12" tooltip="View pokedex for #004 Charmander" display="http://pokemondb.net/pokedex/charmander" xr:uid="{00000000-0004-0000-0000-00000B000000}"/>
    <hyperlink ref="C10" r:id="rId13" display="http://pokemondb.net/type/fire" xr:uid="{00000000-0004-0000-0000-00000C000000}"/>
    <hyperlink ref="B11" r:id="rId14" tooltip="View pokedex for #005 Charmeleon" display="http://pokemondb.net/pokedex/charmeleon" xr:uid="{00000000-0004-0000-0000-00000D000000}"/>
    <hyperlink ref="C11" r:id="rId15" display="http://pokemondb.net/type/fire" xr:uid="{00000000-0004-0000-0000-00000E000000}"/>
    <hyperlink ref="B12" r:id="rId16" tooltip="View pokedex for #006 Charizard" display="http://pokemondb.net/pokedex/charizard" xr:uid="{00000000-0004-0000-0000-00000F000000}"/>
    <hyperlink ref="C12" r:id="rId17" display="http://pokemondb.net/type/fire" xr:uid="{00000000-0004-0000-0000-000010000000}"/>
    <hyperlink ref="C13" r:id="rId18" display="http://pokemondb.net/type/flying" xr:uid="{00000000-0004-0000-0000-000011000000}"/>
    <hyperlink ref="C14" r:id="rId19" display="http://pokemondb.net/type/fire" xr:uid="{00000000-0004-0000-0000-000012000000}"/>
    <hyperlink ref="C15" r:id="rId20" display="http://pokemondb.net/type/dragon" xr:uid="{00000000-0004-0000-0000-000013000000}"/>
    <hyperlink ref="C16" r:id="rId21" display="http://pokemondb.net/type/fire" xr:uid="{00000000-0004-0000-0000-000014000000}"/>
    <hyperlink ref="C17" r:id="rId22" display="http://pokemondb.net/type/flying" xr:uid="{00000000-0004-0000-0000-000015000000}"/>
    <hyperlink ref="B18" r:id="rId23" tooltip="View pokedex for #007 Squirtle" display="http://pokemondb.net/pokedex/squirtle" xr:uid="{00000000-0004-0000-0000-000016000000}"/>
    <hyperlink ref="C18" r:id="rId24" display="http://pokemondb.net/type/water" xr:uid="{00000000-0004-0000-0000-000017000000}"/>
    <hyperlink ref="B19" r:id="rId25" tooltip="View pokedex for #008 Wartortle" display="http://pokemondb.net/pokedex/wartortle" xr:uid="{00000000-0004-0000-0000-000018000000}"/>
    <hyperlink ref="C19" r:id="rId26" display="http://pokemondb.net/type/water" xr:uid="{00000000-0004-0000-0000-000019000000}"/>
    <hyperlink ref="B20" r:id="rId27" tooltip="View pokedex for #009 Blastoise" display="http://pokemondb.net/pokedex/blastoise" xr:uid="{00000000-0004-0000-0000-00001A000000}"/>
    <hyperlink ref="C20" r:id="rId28" display="http://pokemondb.net/type/water" xr:uid="{00000000-0004-0000-0000-00001B000000}"/>
    <hyperlink ref="C21" r:id="rId29" display="http://pokemondb.net/type/water" xr:uid="{00000000-0004-0000-0000-00001C000000}"/>
    <hyperlink ref="B22" r:id="rId30" tooltip="View pokedex for #010 Caterpie" display="http://pokemondb.net/pokedex/caterpie" xr:uid="{00000000-0004-0000-0000-00001D000000}"/>
    <hyperlink ref="C22" r:id="rId31" display="http://pokemondb.net/type/bug" xr:uid="{00000000-0004-0000-0000-00001E000000}"/>
    <hyperlink ref="B23" r:id="rId32" tooltip="View pokedex for #011 Metapod" display="http://pokemondb.net/pokedex/metapod" xr:uid="{00000000-0004-0000-0000-00001F000000}"/>
    <hyperlink ref="C23" r:id="rId33" display="http://pokemondb.net/type/bug" xr:uid="{00000000-0004-0000-0000-000020000000}"/>
    <hyperlink ref="B24" r:id="rId34" tooltip="View pokedex for #012 Butterfree" display="http://pokemondb.net/pokedex/butterfree" xr:uid="{00000000-0004-0000-0000-000021000000}"/>
    <hyperlink ref="C24" r:id="rId35" display="http://pokemondb.net/type/bug" xr:uid="{00000000-0004-0000-0000-000022000000}"/>
    <hyperlink ref="C25" r:id="rId36" display="http://pokemondb.net/type/flying" xr:uid="{00000000-0004-0000-0000-000023000000}"/>
    <hyperlink ref="B26" r:id="rId37" tooltip="View pokedex for #013 Weedle" display="http://pokemondb.net/pokedex/weedle" xr:uid="{00000000-0004-0000-0000-000024000000}"/>
    <hyperlink ref="C26" r:id="rId38" display="http://pokemondb.net/type/bug" xr:uid="{00000000-0004-0000-0000-000025000000}"/>
    <hyperlink ref="C27" r:id="rId39" display="http://pokemondb.net/type/poison" xr:uid="{00000000-0004-0000-0000-000026000000}"/>
    <hyperlink ref="B28" r:id="rId40" tooltip="View pokedex for #014 Kakuna" display="http://pokemondb.net/pokedex/kakuna" xr:uid="{00000000-0004-0000-0000-000027000000}"/>
    <hyperlink ref="C28" r:id="rId41" display="http://pokemondb.net/type/bug" xr:uid="{00000000-0004-0000-0000-000028000000}"/>
    <hyperlink ref="C29" r:id="rId42" display="http://pokemondb.net/type/poison" xr:uid="{00000000-0004-0000-0000-000029000000}"/>
    <hyperlink ref="B30" r:id="rId43" tooltip="View pokedex for #015 Beedrill" display="http://pokemondb.net/pokedex/beedrill" xr:uid="{00000000-0004-0000-0000-00002A000000}"/>
    <hyperlink ref="C30" r:id="rId44" display="http://pokemondb.net/type/bug" xr:uid="{00000000-0004-0000-0000-00002B000000}"/>
    <hyperlink ref="C31" r:id="rId45" display="http://pokemondb.net/type/poison" xr:uid="{00000000-0004-0000-0000-00002C000000}"/>
    <hyperlink ref="B32" r:id="rId46" tooltip="View pokedex for #016 Pidgey" display="http://pokemondb.net/pokedex/pidgey" xr:uid="{00000000-0004-0000-0000-00002D000000}"/>
    <hyperlink ref="C32" r:id="rId47" display="http://pokemondb.net/type/normal" xr:uid="{00000000-0004-0000-0000-00002E000000}"/>
    <hyperlink ref="C299" r:id="rId48" display="http://pokemondb.net/type/flying" xr:uid="{00000000-0004-0000-0000-00002F000000}"/>
    <hyperlink ref="B33" r:id="rId49" tooltip="View pokedex for #017 Pidgeotto" display="http://pokemondb.net/pokedex/pidgeotto" xr:uid="{00000000-0004-0000-0000-000030000000}"/>
    <hyperlink ref="C33" r:id="rId50" display="http://pokemondb.net/type/normal" xr:uid="{00000000-0004-0000-0000-000031000000}"/>
    <hyperlink ref="C679" r:id="rId51" display="http://pokemondb.net/type/flying" xr:uid="{00000000-0004-0000-0000-000032000000}"/>
    <hyperlink ref="B34" r:id="rId52" tooltip="View pokedex for #018 Pidgeot" display="http://pokemondb.net/pokedex/pidgeot" xr:uid="{00000000-0004-0000-0000-000033000000}"/>
    <hyperlink ref="C34" r:id="rId53" display="http://pokemondb.net/type/normal" xr:uid="{00000000-0004-0000-0000-000034000000}"/>
    <hyperlink ref="C804" r:id="rId54" display="http://pokemondb.net/type/flying" xr:uid="{00000000-0004-0000-0000-000035000000}"/>
    <hyperlink ref="B35" r:id="rId55" tooltip="View pokedex for #019 Rattata" display="http://pokemondb.net/pokedex/rattata" xr:uid="{00000000-0004-0000-0000-000036000000}"/>
    <hyperlink ref="C35" r:id="rId56" display="http://pokemondb.net/type/normal" xr:uid="{00000000-0004-0000-0000-000037000000}"/>
    <hyperlink ref="B37" r:id="rId57" tooltip="View pokedex for #020 Raticate" display="http://pokemondb.net/pokedex/raticate" xr:uid="{00000000-0004-0000-0000-000038000000}"/>
    <hyperlink ref="C37" r:id="rId58" display="http://pokemondb.net/type/normal" xr:uid="{00000000-0004-0000-0000-000039000000}"/>
    <hyperlink ref="B38" r:id="rId59" tooltip="View pokedex for #021 Spearow" display="http://pokemondb.net/pokedex/spearow" xr:uid="{00000000-0004-0000-0000-00003A000000}"/>
    <hyperlink ref="C38" r:id="rId60" display="http://pokemondb.net/type/normal" xr:uid="{00000000-0004-0000-0000-00003B000000}"/>
    <hyperlink ref="C856" r:id="rId61" display="http://pokemondb.net/type/flying" xr:uid="{00000000-0004-0000-0000-00003C000000}"/>
    <hyperlink ref="B39" r:id="rId62" tooltip="View pokedex for #022 Fearow" display="http://pokemondb.net/pokedex/fearow" xr:uid="{00000000-0004-0000-0000-00003D000000}"/>
    <hyperlink ref="C39" r:id="rId63" display="http://pokemondb.net/type/normal" xr:uid="{00000000-0004-0000-0000-00003E000000}"/>
    <hyperlink ref="C473" r:id="rId64" display="http://pokemondb.net/type/flying" xr:uid="{00000000-0004-0000-0000-00003F000000}"/>
    <hyperlink ref="B40" r:id="rId65" tooltip="View pokedex for #023 Ekans" display="http://pokemondb.net/pokedex/ekans" xr:uid="{00000000-0004-0000-0000-000040000000}"/>
    <hyperlink ref="C40" r:id="rId66" display="http://pokemondb.net/type/poison" xr:uid="{00000000-0004-0000-0000-000041000000}"/>
    <hyperlink ref="B41" r:id="rId67" tooltip="View pokedex for #024 Arbok" display="http://pokemondb.net/pokedex/arbok" xr:uid="{00000000-0004-0000-0000-000042000000}"/>
    <hyperlink ref="C41" r:id="rId68" display="http://pokemondb.net/type/poison" xr:uid="{00000000-0004-0000-0000-000043000000}"/>
    <hyperlink ref="B42" r:id="rId69" tooltip="View pokedex for #025 Pikachu" display="http://pokemondb.net/pokedex/pikachu" xr:uid="{00000000-0004-0000-0000-000044000000}"/>
    <hyperlink ref="C42" r:id="rId70" display="http://pokemondb.net/type/electric" xr:uid="{00000000-0004-0000-0000-000045000000}"/>
    <hyperlink ref="B43" r:id="rId71" tooltip="View pokedex for #026 Raichu" display="http://pokemondb.net/pokedex/raichu" xr:uid="{00000000-0004-0000-0000-000046000000}"/>
    <hyperlink ref="C43" r:id="rId72" display="http://pokemondb.net/type/electric" xr:uid="{00000000-0004-0000-0000-000047000000}"/>
    <hyperlink ref="B44" r:id="rId73" tooltip="View pokedex for #027 Sandshrew" display="http://pokemondb.net/pokedex/sandshrew" xr:uid="{00000000-0004-0000-0000-000048000000}"/>
    <hyperlink ref="C44" r:id="rId74" display="http://pokemondb.net/type/ground" xr:uid="{00000000-0004-0000-0000-000049000000}"/>
    <hyperlink ref="B45" r:id="rId75" tooltip="View pokedex for #028 Sandslash" display="http://pokemondb.net/pokedex/sandslash" xr:uid="{00000000-0004-0000-0000-00004A000000}"/>
    <hyperlink ref="C45" r:id="rId76" display="http://pokemondb.net/type/ground" xr:uid="{00000000-0004-0000-0000-00004B000000}"/>
    <hyperlink ref="B46" r:id="rId77" tooltip="View pokedex for #029 Nidoran♀" display="http://pokemondb.net/pokedex/nidoran-f" xr:uid="{00000000-0004-0000-0000-00004C000000}"/>
    <hyperlink ref="C46" r:id="rId78" display="http://pokemondb.net/type/poison" xr:uid="{00000000-0004-0000-0000-00004D000000}"/>
    <hyperlink ref="B47" r:id="rId79" tooltip="View pokedex for #030 Nidorina" display="http://pokemondb.net/pokedex/nidorina" xr:uid="{00000000-0004-0000-0000-00004E000000}"/>
    <hyperlink ref="C47" r:id="rId80" display="http://pokemondb.net/type/poison" xr:uid="{00000000-0004-0000-0000-00004F000000}"/>
    <hyperlink ref="B48" r:id="rId81" tooltip="View pokedex for #031 Nidoqueen" display="http://pokemondb.net/pokedex/nidoqueen" xr:uid="{00000000-0004-0000-0000-000050000000}"/>
    <hyperlink ref="C48" r:id="rId82" display="http://pokemondb.net/type/poison" xr:uid="{00000000-0004-0000-0000-000051000000}"/>
    <hyperlink ref="C49" r:id="rId83" display="http://pokemondb.net/type/ground" xr:uid="{00000000-0004-0000-0000-000052000000}"/>
    <hyperlink ref="B50" r:id="rId84" tooltip="View pokedex for #032 Nidoran♂" display="http://pokemondb.net/pokedex/nidoran-m" xr:uid="{00000000-0004-0000-0000-000053000000}"/>
    <hyperlink ref="C50" r:id="rId85" display="http://pokemondb.net/type/poison" xr:uid="{00000000-0004-0000-0000-000054000000}"/>
    <hyperlink ref="B51" r:id="rId86" tooltip="View pokedex for #033 Nidorino" display="http://pokemondb.net/pokedex/nidorino" xr:uid="{00000000-0004-0000-0000-000055000000}"/>
    <hyperlink ref="C51" r:id="rId87" display="http://pokemondb.net/type/poison" xr:uid="{00000000-0004-0000-0000-000056000000}"/>
    <hyperlink ref="B52" r:id="rId88" tooltip="View pokedex for #034 Nidoking" display="http://pokemondb.net/pokedex/nidoking" xr:uid="{00000000-0004-0000-0000-000057000000}"/>
    <hyperlink ref="C52" r:id="rId89" display="http://pokemondb.net/type/poison" xr:uid="{00000000-0004-0000-0000-000058000000}"/>
    <hyperlink ref="C53" r:id="rId90" display="http://pokemondb.net/type/ground" xr:uid="{00000000-0004-0000-0000-000059000000}"/>
    <hyperlink ref="B54" r:id="rId91" tooltip="View pokedex for #035 Clefairy" display="http://pokemondb.net/pokedex/clefairy" xr:uid="{00000000-0004-0000-0000-00005A000000}"/>
    <hyperlink ref="C54" r:id="rId92" display="http://pokemondb.net/type/fairy" xr:uid="{00000000-0004-0000-0000-00005B000000}"/>
    <hyperlink ref="B55" r:id="rId93" tooltip="View pokedex for #036 Clefable" display="http://pokemondb.net/pokedex/clefable" xr:uid="{00000000-0004-0000-0000-00005C000000}"/>
    <hyperlink ref="C55" r:id="rId94" display="http://pokemondb.net/type/fairy" xr:uid="{00000000-0004-0000-0000-00005D000000}"/>
    <hyperlink ref="B58" r:id="rId95" tooltip="View pokedex for #037 Vulpix" display="http://pokemondb.net/pokedex/vulpix" xr:uid="{00000000-0004-0000-0000-00005E000000}"/>
    <hyperlink ref="C58" r:id="rId96" display="http://pokemondb.net/type/fire" xr:uid="{00000000-0004-0000-0000-00005F000000}"/>
    <hyperlink ref="B59" r:id="rId97" tooltip="View pokedex for #038 Ninetales" display="http://pokemondb.net/pokedex/ninetales" xr:uid="{00000000-0004-0000-0000-000060000000}"/>
    <hyperlink ref="C59" r:id="rId98" display="http://pokemondb.net/type/fire" xr:uid="{00000000-0004-0000-0000-000061000000}"/>
    <hyperlink ref="B60" r:id="rId99" tooltip="View pokedex for #039 Jigglypuff" display="http://pokemondb.net/pokedex/jigglypuff" xr:uid="{00000000-0004-0000-0000-000062000000}"/>
    <hyperlink ref="C60" r:id="rId100" display="http://pokemondb.net/type/normal" xr:uid="{00000000-0004-0000-0000-000063000000}"/>
    <hyperlink ref="C56" r:id="rId101" display="http://pokemondb.net/type/fairy" xr:uid="{00000000-0004-0000-0000-000064000000}"/>
    <hyperlink ref="B61" r:id="rId102" tooltip="View pokedex for #040 Wigglytuff" display="http://pokemondb.net/pokedex/wigglytuff" xr:uid="{00000000-0004-0000-0000-000065000000}"/>
    <hyperlink ref="C61" r:id="rId103" display="http://pokemondb.net/type/normal" xr:uid="{00000000-0004-0000-0000-000066000000}"/>
    <hyperlink ref="C57" r:id="rId104" display="http://pokemondb.net/type/fairy" xr:uid="{00000000-0004-0000-0000-000067000000}"/>
    <hyperlink ref="B62" r:id="rId105" tooltip="View pokedex for #041 Zubat" display="http://pokemondb.net/pokedex/zubat" xr:uid="{00000000-0004-0000-0000-000068000000}"/>
    <hyperlink ref="C62" r:id="rId106" display="http://pokemondb.net/type/poison" xr:uid="{00000000-0004-0000-0000-000069000000}"/>
    <hyperlink ref="C63" r:id="rId107" display="http://pokemondb.net/type/flying" xr:uid="{00000000-0004-0000-0000-00006A000000}"/>
    <hyperlink ref="B64" r:id="rId108" tooltip="View pokedex for #042 Golbat" display="http://pokemondb.net/pokedex/golbat" xr:uid="{00000000-0004-0000-0000-00006B000000}"/>
    <hyperlink ref="C64" r:id="rId109" display="http://pokemondb.net/type/poison" xr:uid="{00000000-0004-0000-0000-00006C000000}"/>
    <hyperlink ref="C65" r:id="rId110" display="http://pokemondb.net/type/flying" xr:uid="{00000000-0004-0000-0000-00006D000000}"/>
    <hyperlink ref="B66" r:id="rId111" tooltip="View pokedex for #043 Oddish" display="http://pokemondb.net/pokedex/oddish" xr:uid="{00000000-0004-0000-0000-00006E000000}"/>
    <hyperlink ref="C66" r:id="rId112" display="http://pokemondb.net/type/grass" xr:uid="{00000000-0004-0000-0000-00006F000000}"/>
    <hyperlink ref="C67" r:id="rId113" display="http://pokemondb.net/type/poison" xr:uid="{00000000-0004-0000-0000-000070000000}"/>
    <hyperlink ref="B68" r:id="rId114" tooltip="View pokedex for #044 Gloom" display="http://pokemondb.net/pokedex/gloom" xr:uid="{00000000-0004-0000-0000-000071000000}"/>
    <hyperlink ref="C68" r:id="rId115" display="http://pokemondb.net/type/grass" xr:uid="{00000000-0004-0000-0000-000072000000}"/>
    <hyperlink ref="C69" r:id="rId116" display="http://pokemondb.net/type/poison" xr:uid="{00000000-0004-0000-0000-000073000000}"/>
    <hyperlink ref="B70" r:id="rId117" tooltip="View pokedex for #045 Vileplume" display="http://pokemondb.net/pokedex/vileplume" xr:uid="{00000000-0004-0000-0000-000074000000}"/>
    <hyperlink ref="C70" r:id="rId118" display="http://pokemondb.net/type/grass" xr:uid="{00000000-0004-0000-0000-000075000000}"/>
    <hyperlink ref="C71" r:id="rId119" display="http://pokemondb.net/type/poison" xr:uid="{00000000-0004-0000-0000-000076000000}"/>
    <hyperlink ref="B72" r:id="rId120" tooltip="View pokedex for #046 Paras" display="http://pokemondb.net/pokedex/paras" xr:uid="{00000000-0004-0000-0000-000077000000}"/>
    <hyperlink ref="C72" r:id="rId121" display="http://pokemondb.net/type/bug" xr:uid="{00000000-0004-0000-0000-000078000000}"/>
    <hyperlink ref="C73" r:id="rId122" display="http://pokemondb.net/type/grass" xr:uid="{00000000-0004-0000-0000-000079000000}"/>
    <hyperlink ref="B74" r:id="rId123" tooltip="View pokedex for #047 Parasect" display="http://pokemondb.net/pokedex/parasect" xr:uid="{00000000-0004-0000-0000-00007A000000}"/>
    <hyperlink ref="C74" r:id="rId124" display="http://pokemondb.net/type/bug" xr:uid="{00000000-0004-0000-0000-00007B000000}"/>
    <hyperlink ref="C75" r:id="rId125" display="http://pokemondb.net/type/grass" xr:uid="{00000000-0004-0000-0000-00007C000000}"/>
    <hyperlink ref="B76" r:id="rId126" tooltip="View pokedex for #048 Venonat" display="http://pokemondb.net/pokedex/venonat" xr:uid="{00000000-0004-0000-0000-00007D000000}"/>
    <hyperlink ref="C76" r:id="rId127" display="http://pokemondb.net/type/bug" xr:uid="{00000000-0004-0000-0000-00007E000000}"/>
    <hyperlink ref="C77" r:id="rId128" display="http://pokemondb.net/type/poison" xr:uid="{00000000-0004-0000-0000-00007F000000}"/>
    <hyperlink ref="B78" r:id="rId129" tooltip="View pokedex for #049 Venomoth" display="http://pokemondb.net/pokedex/venomoth" xr:uid="{00000000-0004-0000-0000-000080000000}"/>
    <hyperlink ref="C78" r:id="rId130" display="http://pokemondb.net/type/bug" xr:uid="{00000000-0004-0000-0000-000081000000}"/>
    <hyperlink ref="C79" r:id="rId131" display="http://pokemondb.net/type/poison" xr:uid="{00000000-0004-0000-0000-000082000000}"/>
    <hyperlink ref="B80" r:id="rId132" tooltip="View pokedex for #050 Diglett" display="http://pokemondb.net/pokedex/diglett" xr:uid="{00000000-0004-0000-0000-000083000000}"/>
    <hyperlink ref="C80" r:id="rId133" display="http://pokemondb.net/type/ground" xr:uid="{00000000-0004-0000-0000-000084000000}"/>
    <hyperlink ref="B81" r:id="rId134" tooltip="View pokedex for #051 Dugtrio" display="http://pokemondb.net/pokedex/dugtrio" xr:uid="{00000000-0004-0000-0000-000085000000}"/>
    <hyperlink ref="C81" r:id="rId135" display="http://pokemondb.net/type/ground" xr:uid="{00000000-0004-0000-0000-000086000000}"/>
    <hyperlink ref="B82" r:id="rId136" tooltip="View pokedex for #052 Meowth" display="http://pokemondb.net/pokedex/meowth" xr:uid="{00000000-0004-0000-0000-000087000000}"/>
    <hyperlink ref="C82" r:id="rId137" display="http://pokemondb.net/type/normal" xr:uid="{00000000-0004-0000-0000-000088000000}"/>
    <hyperlink ref="B83" r:id="rId138" tooltip="View pokedex for #053 Persian" display="http://pokemondb.net/pokedex/persian" xr:uid="{00000000-0004-0000-0000-000089000000}"/>
    <hyperlink ref="C83" r:id="rId139" display="http://pokemondb.net/type/normal" xr:uid="{00000000-0004-0000-0000-00008A000000}"/>
    <hyperlink ref="B85" r:id="rId140" tooltip="View pokedex for #054 Psyduck" display="http://pokemondb.net/pokedex/psyduck" xr:uid="{00000000-0004-0000-0000-00008B000000}"/>
    <hyperlink ref="C85" r:id="rId141" display="http://pokemondb.net/type/water" xr:uid="{00000000-0004-0000-0000-00008C000000}"/>
    <hyperlink ref="B86" r:id="rId142" tooltip="View pokedex for #055 Golduck" display="http://pokemondb.net/pokedex/golduck" xr:uid="{00000000-0004-0000-0000-00008D000000}"/>
    <hyperlink ref="C86" r:id="rId143" display="http://pokemondb.net/type/water" xr:uid="{00000000-0004-0000-0000-00008E000000}"/>
    <hyperlink ref="B87" r:id="rId144" tooltip="View pokedex for #056 Mankey" display="http://pokemondb.net/pokedex/mankey" xr:uid="{00000000-0004-0000-0000-00008F000000}"/>
    <hyperlink ref="C87" r:id="rId145" display="http://pokemondb.net/type/fighting" xr:uid="{00000000-0004-0000-0000-000090000000}"/>
    <hyperlink ref="B88" r:id="rId146" tooltip="View pokedex for #057 Primeape" display="http://pokemondb.net/pokedex/primeape" xr:uid="{00000000-0004-0000-0000-000091000000}"/>
    <hyperlink ref="C88" r:id="rId147" display="http://pokemondb.net/type/fighting" xr:uid="{00000000-0004-0000-0000-000092000000}"/>
    <hyperlink ref="B89" r:id="rId148" tooltip="View pokedex for #058 Growlithe" display="http://pokemondb.net/pokedex/growlithe" xr:uid="{00000000-0004-0000-0000-000093000000}"/>
    <hyperlink ref="C89" r:id="rId149" display="http://pokemondb.net/type/fire" xr:uid="{00000000-0004-0000-0000-000094000000}"/>
    <hyperlink ref="B90" r:id="rId150" tooltip="View pokedex for #059 Arcanine" display="http://pokemondb.net/pokedex/arcanine" xr:uid="{00000000-0004-0000-0000-000095000000}"/>
    <hyperlink ref="C90" r:id="rId151" display="http://pokemondb.net/type/fire" xr:uid="{00000000-0004-0000-0000-000096000000}"/>
    <hyperlink ref="B91" r:id="rId152" tooltip="View pokedex for #060 Poliwag" display="http://pokemondb.net/pokedex/poliwag" xr:uid="{00000000-0004-0000-0000-000097000000}"/>
    <hyperlink ref="C91" r:id="rId153" display="http://pokemondb.net/type/water" xr:uid="{00000000-0004-0000-0000-000098000000}"/>
    <hyperlink ref="B92" r:id="rId154" tooltip="View pokedex for #061 Poliwhirl" display="http://pokemondb.net/pokedex/poliwhirl" xr:uid="{00000000-0004-0000-0000-000099000000}"/>
    <hyperlink ref="C92" r:id="rId155" display="http://pokemondb.net/type/water" xr:uid="{00000000-0004-0000-0000-00009A000000}"/>
    <hyperlink ref="B93" r:id="rId156" tooltip="View pokedex for #062 Poliwrath" display="http://pokemondb.net/pokedex/poliwrath" xr:uid="{00000000-0004-0000-0000-00009B000000}"/>
    <hyperlink ref="C93" r:id="rId157" display="http://pokemondb.net/type/water" xr:uid="{00000000-0004-0000-0000-00009C000000}"/>
    <hyperlink ref="C94" r:id="rId158" display="http://pokemondb.net/type/fighting" xr:uid="{00000000-0004-0000-0000-00009D000000}"/>
    <hyperlink ref="B95" r:id="rId159" tooltip="View pokedex for #063 Abra" display="http://pokemondb.net/pokedex/abra" xr:uid="{00000000-0004-0000-0000-00009E000000}"/>
    <hyperlink ref="C95" r:id="rId160" display="http://pokemondb.net/type/psychic" xr:uid="{00000000-0004-0000-0000-00009F000000}"/>
    <hyperlink ref="B96" r:id="rId161" tooltip="View pokedex for #064 Kadabra" display="http://pokemondb.net/pokedex/kadabra" xr:uid="{00000000-0004-0000-0000-0000A0000000}"/>
    <hyperlink ref="C96" r:id="rId162" display="http://pokemondb.net/type/psychic" xr:uid="{00000000-0004-0000-0000-0000A1000000}"/>
    <hyperlink ref="B97" r:id="rId163" tooltip="View pokedex for #065 Alakazam" display="http://pokemondb.net/pokedex/alakazam" xr:uid="{00000000-0004-0000-0000-0000A2000000}"/>
    <hyperlink ref="C97" r:id="rId164" display="http://pokemondb.net/type/psychic" xr:uid="{00000000-0004-0000-0000-0000A3000000}"/>
    <hyperlink ref="C98" r:id="rId165" display="http://pokemondb.net/type/psychic" xr:uid="{00000000-0004-0000-0000-0000A4000000}"/>
    <hyperlink ref="B99" r:id="rId166" tooltip="View pokedex for #066 Machop" display="http://pokemondb.net/pokedex/machop" xr:uid="{00000000-0004-0000-0000-0000A5000000}"/>
    <hyperlink ref="C99" r:id="rId167" display="http://pokemondb.net/type/fighting" xr:uid="{00000000-0004-0000-0000-0000A6000000}"/>
    <hyperlink ref="B100" r:id="rId168" tooltip="View pokedex for #067 Machoke" display="http://pokemondb.net/pokedex/machoke" xr:uid="{00000000-0004-0000-0000-0000A7000000}"/>
    <hyperlink ref="C100" r:id="rId169" display="http://pokemondb.net/type/fighting" xr:uid="{00000000-0004-0000-0000-0000A8000000}"/>
    <hyperlink ref="B101" r:id="rId170" tooltip="View pokedex for #068 Machamp" display="http://pokemondb.net/pokedex/machamp" xr:uid="{00000000-0004-0000-0000-0000A9000000}"/>
    <hyperlink ref="C101" r:id="rId171" display="http://pokemondb.net/type/fighting" xr:uid="{00000000-0004-0000-0000-0000AA000000}"/>
    <hyperlink ref="B102" r:id="rId172" tooltip="View pokedex for #069 Bellsprout" display="http://pokemondb.net/pokedex/bellsprout" xr:uid="{00000000-0004-0000-0000-0000AB000000}"/>
    <hyperlink ref="C102" r:id="rId173" display="http://pokemondb.net/type/grass" xr:uid="{00000000-0004-0000-0000-0000AC000000}"/>
    <hyperlink ref="C103" r:id="rId174" display="http://pokemondb.net/type/poison" xr:uid="{00000000-0004-0000-0000-0000AD000000}"/>
    <hyperlink ref="B104" r:id="rId175" tooltip="View pokedex for #070 Weepinbell" display="http://pokemondb.net/pokedex/weepinbell" xr:uid="{00000000-0004-0000-0000-0000AE000000}"/>
    <hyperlink ref="C104" r:id="rId176" display="http://pokemondb.net/type/grass" xr:uid="{00000000-0004-0000-0000-0000AF000000}"/>
    <hyperlink ref="C105" r:id="rId177" display="http://pokemondb.net/type/poison" xr:uid="{00000000-0004-0000-0000-0000B0000000}"/>
    <hyperlink ref="B106" r:id="rId178" tooltip="View pokedex for #071 Victreebel" display="http://pokemondb.net/pokedex/victreebel" xr:uid="{00000000-0004-0000-0000-0000B1000000}"/>
    <hyperlink ref="C106" r:id="rId179" display="http://pokemondb.net/type/grass" xr:uid="{00000000-0004-0000-0000-0000B2000000}"/>
    <hyperlink ref="C107" r:id="rId180" display="http://pokemondb.net/type/poison" xr:uid="{00000000-0004-0000-0000-0000B3000000}"/>
    <hyperlink ref="B108" r:id="rId181" tooltip="View pokedex for #072 Tentacool" display="http://pokemondb.net/pokedex/tentacool" xr:uid="{00000000-0004-0000-0000-0000B4000000}"/>
    <hyperlink ref="C108" r:id="rId182" display="http://pokemondb.net/type/water" xr:uid="{00000000-0004-0000-0000-0000B5000000}"/>
    <hyperlink ref="C109" r:id="rId183" display="http://pokemondb.net/type/poison" xr:uid="{00000000-0004-0000-0000-0000B6000000}"/>
    <hyperlink ref="B110" r:id="rId184" tooltip="View pokedex for #073 Tentacruel" display="http://pokemondb.net/pokedex/tentacruel" xr:uid="{00000000-0004-0000-0000-0000B7000000}"/>
    <hyperlink ref="C110" r:id="rId185" display="http://pokemondb.net/type/water" xr:uid="{00000000-0004-0000-0000-0000B8000000}"/>
    <hyperlink ref="C111" r:id="rId186" display="http://pokemondb.net/type/poison" xr:uid="{00000000-0004-0000-0000-0000B9000000}"/>
    <hyperlink ref="B112" r:id="rId187" tooltip="View pokedex for #074 Geodude" display="http://pokemondb.net/pokedex/geodude" xr:uid="{00000000-0004-0000-0000-0000BA000000}"/>
    <hyperlink ref="C112" r:id="rId188" display="http://pokemondb.net/type/rock" xr:uid="{00000000-0004-0000-0000-0000BB000000}"/>
    <hyperlink ref="C113" r:id="rId189" display="http://pokemondb.net/type/ground" xr:uid="{00000000-0004-0000-0000-0000BC000000}"/>
    <hyperlink ref="B114" r:id="rId190" tooltip="View pokedex for #075 Graveler" display="http://pokemondb.net/pokedex/graveler" xr:uid="{00000000-0004-0000-0000-0000BD000000}"/>
    <hyperlink ref="C114" r:id="rId191" display="http://pokemondb.net/type/rock" xr:uid="{00000000-0004-0000-0000-0000BE000000}"/>
    <hyperlink ref="C115" r:id="rId192" display="http://pokemondb.net/type/ground" xr:uid="{00000000-0004-0000-0000-0000BF000000}"/>
    <hyperlink ref="B116" r:id="rId193" tooltip="View pokedex for #076 Golem" display="http://pokemondb.net/pokedex/golem" xr:uid="{00000000-0004-0000-0000-0000C0000000}"/>
    <hyperlink ref="C116" r:id="rId194" display="http://pokemondb.net/type/rock" xr:uid="{00000000-0004-0000-0000-0000C1000000}"/>
    <hyperlink ref="C117" r:id="rId195" display="http://pokemondb.net/type/ground" xr:uid="{00000000-0004-0000-0000-0000C2000000}"/>
    <hyperlink ref="B118" r:id="rId196" tooltip="View pokedex for #077 Ponyta" display="http://pokemondb.net/pokedex/ponyta" xr:uid="{00000000-0004-0000-0000-0000C3000000}"/>
    <hyperlink ref="C118" r:id="rId197" display="http://pokemondb.net/type/fire" xr:uid="{00000000-0004-0000-0000-0000C4000000}"/>
    <hyperlink ref="B119" r:id="rId198" tooltip="View pokedex for #078 Rapidash" display="http://pokemondb.net/pokedex/rapidash" xr:uid="{00000000-0004-0000-0000-0000C5000000}"/>
    <hyperlink ref="C119" r:id="rId199" display="http://pokemondb.net/type/fire" xr:uid="{00000000-0004-0000-0000-0000C6000000}"/>
    <hyperlink ref="B120" r:id="rId200" tooltip="View pokedex for #079 Slowpoke" display="http://pokemondb.net/pokedex/slowpoke" xr:uid="{00000000-0004-0000-0000-0000C7000000}"/>
    <hyperlink ref="C120" r:id="rId201" display="http://pokemondb.net/type/water" xr:uid="{00000000-0004-0000-0000-0000C8000000}"/>
    <hyperlink ref="C121" r:id="rId202" display="http://pokemondb.net/type/psychic" xr:uid="{00000000-0004-0000-0000-0000C9000000}"/>
    <hyperlink ref="B122" r:id="rId203" tooltip="View pokedex for #080 Slowbro" display="http://pokemondb.net/pokedex/slowbro" xr:uid="{00000000-0004-0000-0000-0000CA000000}"/>
    <hyperlink ref="C122" r:id="rId204" display="http://pokemondb.net/type/water" xr:uid="{00000000-0004-0000-0000-0000CB000000}"/>
    <hyperlink ref="C123" r:id="rId205" display="http://pokemondb.net/type/psychic" xr:uid="{00000000-0004-0000-0000-0000CC000000}"/>
    <hyperlink ref="B124" r:id="rId206" tooltip="View pokedex for #081 Magnemite" display="http://pokemondb.net/pokedex/magnemite" xr:uid="{00000000-0004-0000-0000-0000CD000000}"/>
    <hyperlink ref="C124" r:id="rId207" display="http://pokemondb.net/type/electric" xr:uid="{00000000-0004-0000-0000-0000CE000000}"/>
    <hyperlink ref="C125" r:id="rId208" display="http://pokemondb.net/type/steel" xr:uid="{00000000-0004-0000-0000-0000CF000000}"/>
    <hyperlink ref="B126" r:id="rId209" tooltip="View pokedex for #082 Magneton" display="http://pokemondb.net/pokedex/magneton" xr:uid="{00000000-0004-0000-0000-0000D0000000}"/>
    <hyperlink ref="C126" r:id="rId210" display="http://pokemondb.net/type/electric" xr:uid="{00000000-0004-0000-0000-0000D1000000}"/>
    <hyperlink ref="C127" r:id="rId211" display="http://pokemondb.net/type/steel" xr:uid="{00000000-0004-0000-0000-0000D2000000}"/>
    <hyperlink ref="B128" r:id="rId212" tooltip="View pokedex for #083 Farfetch'd" display="http://pokemondb.net/pokedex/farfetchd" xr:uid="{00000000-0004-0000-0000-0000D3000000}"/>
    <hyperlink ref="C128" r:id="rId213" display="http://pokemondb.net/type/normal" xr:uid="{00000000-0004-0000-0000-0000D4000000}"/>
    <hyperlink ref="C565" r:id="rId214" display="http://pokemondb.net/type/flying" xr:uid="{00000000-0004-0000-0000-0000D5000000}"/>
    <hyperlink ref="B129" r:id="rId215" tooltip="View pokedex for #084 Doduo" display="http://pokemondb.net/pokedex/doduo" xr:uid="{00000000-0004-0000-0000-0000D6000000}"/>
    <hyperlink ref="C129" r:id="rId216" display="http://pokemondb.net/type/normal" xr:uid="{00000000-0004-0000-0000-0000D7000000}"/>
    <hyperlink ref="C174" r:id="rId217" display="http://pokemondb.net/type/flying" xr:uid="{00000000-0004-0000-0000-0000D8000000}"/>
    <hyperlink ref="B132" r:id="rId218" tooltip="View pokedex for #085 Dodrio" display="http://pokemondb.net/pokedex/dodrio" xr:uid="{00000000-0004-0000-0000-0000D9000000}"/>
    <hyperlink ref="C132" r:id="rId219" display="http://pokemondb.net/type/normal" xr:uid="{00000000-0004-0000-0000-0000DA000000}"/>
    <hyperlink ref="C176" r:id="rId220" display="http://pokemondb.net/type/flying" xr:uid="{00000000-0004-0000-0000-0000DB000000}"/>
    <hyperlink ref="B134" r:id="rId221" tooltip="View pokedex for #086 Seel" display="http://pokemondb.net/pokedex/seel" xr:uid="{00000000-0004-0000-0000-0000DC000000}"/>
    <hyperlink ref="C134" r:id="rId222" display="http://pokemondb.net/type/water" xr:uid="{00000000-0004-0000-0000-0000DD000000}"/>
    <hyperlink ref="B135" r:id="rId223" tooltip="View pokedex for #087 Dewgong" display="http://pokemondb.net/pokedex/dewgong" xr:uid="{00000000-0004-0000-0000-0000DE000000}"/>
    <hyperlink ref="C135" r:id="rId224" display="http://pokemondb.net/type/water" xr:uid="{00000000-0004-0000-0000-0000DF000000}"/>
    <hyperlink ref="C136" r:id="rId225" display="http://pokemondb.net/type/ice" xr:uid="{00000000-0004-0000-0000-0000E0000000}"/>
    <hyperlink ref="B137" r:id="rId226" tooltip="View pokedex for #088 Grimer" display="http://pokemondb.net/pokedex/grimer" xr:uid="{00000000-0004-0000-0000-0000E1000000}"/>
    <hyperlink ref="C137" r:id="rId227" display="http://pokemondb.net/type/poison" xr:uid="{00000000-0004-0000-0000-0000E2000000}"/>
    <hyperlink ref="B138" r:id="rId228" tooltip="View pokedex for #089 Muk" display="http://pokemondb.net/pokedex/muk" xr:uid="{00000000-0004-0000-0000-0000E3000000}"/>
    <hyperlink ref="C138" r:id="rId229" display="http://pokemondb.net/type/poison" xr:uid="{00000000-0004-0000-0000-0000E4000000}"/>
    <hyperlink ref="B139" r:id="rId230" tooltip="View pokedex for #090 Shellder" display="http://pokemondb.net/pokedex/shellder" xr:uid="{00000000-0004-0000-0000-0000E5000000}"/>
    <hyperlink ref="C139" r:id="rId231" display="http://pokemondb.net/type/water" xr:uid="{00000000-0004-0000-0000-0000E6000000}"/>
    <hyperlink ref="B140" r:id="rId232" tooltip="View pokedex for #091 Cloyster" display="http://pokemondb.net/pokedex/cloyster" xr:uid="{00000000-0004-0000-0000-0000E7000000}"/>
    <hyperlink ref="C140" r:id="rId233" display="http://pokemondb.net/type/water" xr:uid="{00000000-0004-0000-0000-0000E8000000}"/>
    <hyperlink ref="C141" r:id="rId234" display="http://pokemondb.net/type/ice" xr:uid="{00000000-0004-0000-0000-0000E9000000}"/>
    <hyperlink ref="B142" r:id="rId235" tooltip="View pokedex for #092 Gastly" display="http://pokemondb.net/pokedex/gastly" xr:uid="{00000000-0004-0000-0000-0000EA000000}"/>
    <hyperlink ref="C142" r:id="rId236" display="http://pokemondb.net/type/ghost" xr:uid="{00000000-0004-0000-0000-0000EB000000}"/>
    <hyperlink ref="C143" r:id="rId237" display="http://pokemondb.net/type/poison" xr:uid="{00000000-0004-0000-0000-0000EC000000}"/>
    <hyperlink ref="B144" r:id="rId238" tooltip="View pokedex for #093 Haunter" display="http://pokemondb.net/pokedex/haunter" xr:uid="{00000000-0004-0000-0000-0000ED000000}"/>
    <hyperlink ref="C144" r:id="rId239" display="http://pokemondb.net/type/ghost" xr:uid="{00000000-0004-0000-0000-0000EE000000}"/>
    <hyperlink ref="C145" r:id="rId240" display="http://pokemondb.net/type/poison" xr:uid="{00000000-0004-0000-0000-0000EF000000}"/>
    <hyperlink ref="B146" r:id="rId241" tooltip="View pokedex for #094 Gengar" display="http://pokemondb.net/pokedex/gengar" xr:uid="{00000000-0004-0000-0000-0000F0000000}"/>
    <hyperlink ref="C146" r:id="rId242" display="http://pokemondb.net/type/ghost" xr:uid="{00000000-0004-0000-0000-0000F1000000}"/>
    <hyperlink ref="C147" r:id="rId243" display="http://pokemondb.net/type/poison" xr:uid="{00000000-0004-0000-0000-0000F2000000}"/>
    <hyperlink ref="C148" r:id="rId244" display="http://pokemondb.net/type/ghost" xr:uid="{00000000-0004-0000-0000-0000F3000000}"/>
    <hyperlink ref="C149" r:id="rId245" display="http://pokemondb.net/type/poison" xr:uid="{00000000-0004-0000-0000-0000F4000000}"/>
    <hyperlink ref="B150" r:id="rId246" tooltip="View pokedex for #095 Onix" display="http://pokemondb.net/pokedex/onix" xr:uid="{00000000-0004-0000-0000-0000F5000000}"/>
    <hyperlink ref="C150" r:id="rId247" display="http://pokemondb.net/type/rock" xr:uid="{00000000-0004-0000-0000-0000F6000000}"/>
    <hyperlink ref="C151" r:id="rId248" display="http://pokemondb.net/type/ground" xr:uid="{00000000-0004-0000-0000-0000F7000000}"/>
    <hyperlink ref="B152" r:id="rId249" tooltip="View pokedex for #096 Drowzee" display="http://pokemondb.net/pokedex/drowzee" xr:uid="{00000000-0004-0000-0000-0000F8000000}"/>
    <hyperlink ref="C152" r:id="rId250" display="http://pokemondb.net/type/psychic" xr:uid="{00000000-0004-0000-0000-0000F9000000}"/>
    <hyperlink ref="B153" r:id="rId251" tooltip="View pokedex for #097 Hypno" display="http://pokemondb.net/pokedex/hypno" xr:uid="{00000000-0004-0000-0000-0000FA000000}"/>
    <hyperlink ref="C153" r:id="rId252" display="http://pokemondb.net/type/psychic" xr:uid="{00000000-0004-0000-0000-0000FB000000}"/>
    <hyperlink ref="B154" r:id="rId253" tooltip="View pokedex for #098 Krabby" display="http://pokemondb.net/pokedex/krabby" xr:uid="{00000000-0004-0000-0000-0000FC000000}"/>
    <hyperlink ref="C154" r:id="rId254" display="http://pokemondb.net/type/water" xr:uid="{00000000-0004-0000-0000-0000FD000000}"/>
    <hyperlink ref="B155" r:id="rId255" tooltip="View pokedex for #099 Kingler" display="http://pokemondb.net/pokedex/kingler" xr:uid="{00000000-0004-0000-0000-0000FE000000}"/>
    <hyperlink ref="C155" r:id="rId256" display="http://pokemondb.net/type/water" xr:uid="{00000000-0004-0000-0000-0000FF000000}"/>
    <hyperlink ref="B156" r:id="rId257" tooltip="View pokedex for #100 Voltorb" display="http://pokemondb.net/pokedex/voltorb" xr:uid="{00000000-0004-0000-0000-000000010000}"/>
    <hyperlink ref="C156" r:id="rId258" display="http://pokemondb.net/type/electric" xr:uid="{00000000-0004-0000-0000-000001010000}"/>
    <hyperlink ref="B157" r:id="rId259" tooltip="View pokedex for #101 Electrode" display="http://pokemondb.net/pokedex/electrode" xr:uid="{00000000-0004-0000-0000-000002010000}"/>
    <hyperlink ref="C157" r:id="rId260" display="http://pokemondb.net/type/electric" xr:uid="{00000000-0004-0000-0000-000003010000}"/>
    <hyperlink ref="B158" r:id="rId261" tooltip="View pokedex for #102 Exeggcute" display="http://pokemondb.net/pokedex/exeggcute" xr:uid="{00000000-0004-0000-0000-000004010000}"/>
    <hyperlink ref="C158" r:id="rId262" display="http://pokemondb.net/type/grass" xr:uid="{00000000-0004-0000-0000-000005010000}"/>
    <hyperlink ref="C159" r:id="rId263" display="http://pokemondb.net/type/psychic" xr:uid="{00000000-0004-0000-0000-000006010000}"/>
    <hyperlink ref="B160" r:id="rId264" tooltip="View pokedex for #103 Exeggutor" display="http://pokemondb.net/pokedex/exeggutor" xr:uid="{00000000-0004-0000-0000-000007010000}"/>
    <hyperlink ref="C160" r:id="rId265" display="http://pokemondb.net/type/grass" xr:uid="{00000000-0004-0000-0000-000008010000}"/>
    <hyperlink ref="C161" r:id="rId266" display="http://pokemondb.net/type/psychic" xr:uid="{00000000-0004-0000-0000-000009010000}"/>
    <hyperlink ref="B162" r:id="rId267" tooltip="View pokedex for #104 Cubone" display="http://pokemondb.net/pokedex/cubone" xr:uid="{00000000-0004-0000-0000-00000A010000}"/>
    <hyperlink ref="C162" r:id="rId268" display="http://pokemondb.net/type/ground" xr:uid="{00000000-0004-0000-0000-00000B010000}"/>
    <hyperlink ref="B163" r:id="rId269" tooltip="View pokedex for #105 Marowak" display="http://pokemondb.net/pokedex/marowak" xr:uid="{00000000-0004-0000-0000-00000C010000}"/>
    <hyperlink ref="C163" r:id="rId270" display="http://pokemondb.net/type/ground" xr:uid="{00000000-0004-0000-0000-00000D010000}"/>
    <hyperlink ref="B164" r:id="rId271" tooltip="View pokedex for #106 Hitmonlee" display="http://pokemondb.net/pokedex/hitmonlee" xr:uid="{00000000-0004-0000-0000-00000E010000}"/>
    <hyperlink ref="C164" r:id="rId272" display="http://pokemondb.net/type/fighting" xr:uid="{00000000-0004-0000-0000-00000F010000}"/>
    <hyperlink ref="B165" r:id="rId273" tooltip="View pokedex for #107 Hitmonchan" display="http://pokemondb.net/pokedex/hitmonchan" xr:uid="{00000000-0004-0000-0000-000010010000}"/>
    <hyperlink ref="C165" r:id="rId274" display="http://pokemondb.net/type/fighting" xr:uid="{00000000-0004-0000-0000-000011010000}"/>
    <hyperlink ref="B166" r:id="rId275" tooltip="View pokedex for #108 Lickitung" display="http://pokemondb.net/pokedex/lickitung" xr:uid="{00000000-0004-0000-0000-000012010000}"/>
    <hyperlink ref="C166" r:id="rId276" display="http://pokemondb.net/type/normal" xr:uid="{00000000-0004-0000-0000-000013010000}"/>
    <hyperlink ref="B167" r:id="rId277" tooltip="View pokedex for #109 Koffing" display="http://pokemondb.net/pokedex/koffing" xr:uid="{00000000-0004-0000-0000-000014010000}"/>
    <hyperlink ref="C167" r:id="rId278" display="http://pokemondb.net/type/poison" xr:uid="{00000000-0004-0000-0000-000015010000}"/>
    <hyperlink ref="B168" r:id="rId279" tooltip="View pokedex for #110 Weezing" display="http://pokemondb.net/pokedex/weezing" xr:uid="{00000000-0004-0000-0000-000016010000}"/>
    <hyperlink ref="C168" r:id="rId280" display="http://pokemondb.net/type/poison" xr:uid="{00000000-0004-0000-0000-000017010000}"/>
    <hyperlink ref="B169" r:id="rId281" tooltip="View pokedex for #111 Rhyhorn" display="http://pokemondb.net/pokedex/rhyhorn" xr:uid="{00000000-0004-0000-0000-000018010000}"/>
    <hyperlink ref="C169" r:id="rId282" display="http://pokemondb.net/type/ground" xr:uid="{00000000-0004-0000-0000-000019010000}"/>
    <hyperlink ref="C170" r:id="rId283" display="http://pokemondb.net/type/rock" xr:uid="{00000000-0004-0000-0000-00001A010000}"/>
    <hyperlink ref="B171" r:id="rId284" tooltip="View pokedex for #112 Rhydon" display="http://pokemondb.net/pokedex/rhydon" xr:uid="{00000000-0004-0000-0000-00001B010000}"/>
    <hyperlink ref="C171" r:id="rId285" display="http://pokemondb.net/type/ground" xr:uid="{00000000-0004-0000-0000-00001C010000}"/>
    <hyperlink ref="C172" r:id="rId286" display="http://pokemondb.net/type/rock" xr:uid="{00000000-0004-0000-0000-00001D010000}"/>
    <hyperlink ref="B173" r:id="rId287" tooltip="View pokedex for #113 Chansey" display="http://pokemondb.net/pokedex/chansey" xr:uid="{00000000-0004-0000-0000-00001E010000}"/>
    <hyperlink ref="C173" r:id="rId288" display="http://pokemondb.net/type/normal" xr:uid="{00000000-0004-0000-0000-00001F010000}"/>
    <hyperlink ref="B177" r:id="rId289" tooltip="View pokedex for #114 Tangela" display="http://pokemondb.net/pokedex/tangela" xr:uid="{00000000-0004-0000-0000-000020010000}"/>
    <hyperlink ref="C177" r:id="rId290" display="http://pokemondb.net/type/grass" xr:uid="{00000000-0004-0000-0000-000021010000}"/>
    <hyperlink ref="B178" r:id="rId291" tooltip="View pokedex for #115 Kangaskhan" display="http://pokemondb.net/pokedex/kangaskhan" xr:uid="{00000000-0004-0000-0000-000022010000}"/>
    <hyperlink ref="C178" r:id="rId292" display="http://pokemondb.net/type/normal" xr:uid="{00000000-0004-0000-0000-000023010000}"/>
    <hyperlink ref="B480" r:id="rId293" tooltip="View pokedex for #115 Kangaskhan" display="http://pokemondb.net/pokedex/kangaskhan" xr:uid="{00000000-0004-0000-0000-000024010000}"/>
    <hyperlink ref="C480" r:id="rId294" display="http://pokemondb.net/type/normal" xr:uid="{00000000-0004-0000-0000-000025010000}"/>
    <hyperlink ref="B179" r:id="rId295" tooltip="View pokedex for #116 Horsea" display="http://pokemondb.net/pokedex/horsea" xr:uid="{00000000-0004-0000-0000-000026010000}"/>
    <hyperlink ref="C179" r:id="rId296" display="http://pokemondb.net/type/water" xr:uid="{00000000-0004-0000-0000-000027010000}"/>
    <hyperlink ref="B180" r:id="rId297" tooltip="View pokedex for #117 Seadra" display="http://pokemondb.net/pokedex/seadra" xr:uid="{00000000-0004-0000-0000-000028010000}"/>
    <hyperlink ref="C180" r:id="rId298" display="http://pokemondb.net/type/water" xr:uid="{00000000-0004-0000-0000-000029010000}"/>
    <hyperlink ref="B181" r:id="rId299" tooltip="View pokedex for #118 Goldeen" display="http://pokemondb.net/pokedex/goldeen" xr:uid="{00000000-0004-0000-0000-00002A010000}"/>
    <hyperlink ref="C181" r:id="rId300" display="http://pokemondb.net/type/water" xr:uid="{00000000-0004-0000-0000-00002B010000}"/>
    <hyperlink ref="B182" r:id="rId301" tooltip="View pokedex for #119 Seaking" display="http://pokemondb.net/pokedex/seaking" xr:uid="{00000000-0004-0000-0000-00002C010000}"/>
    <hyperlink ref="C182" r:id="rId302" display="http://pokemondb.net/type/water" xr:uid="{00000000-0004-0000-0000-00002D010000}"/>
    <hyperlink ref="B183" r:id="rId303" tooltip="View pokedex for #120 Staryu" display="http://pokemondb.net/pokedex/staryu" xr:uid="{00000000-0004-0000-0000-00002E010000}"/>
    <hyperlink ref="C183" r:id="rId304" display="http://pokemondb.net/type/water" xr:uid="{00000000-0004-0000-0000-00002F010000}"/>
    <hyperlink ref="B184" r:id="rId305" tooltip="View pokedex for #121 Starmie" display="http://pokemondb.net/pokedex/starmie" xr:uid="{00000000-0004-0000-0000-000030010000}"/>
    <hyperlink ref="C184" r:id="rId306" display="http://pokemondb.net/type/water" xr:uid="{00000000-0004-0000-0000-000031010000}"/>
    <hyperlink ref="C185" r:id="rId307" display="http://pokemondb.net/type/psychic" xr:uid="{00000000-0004-0000-0000-000032010000}"/>
    <hyperlink ref="B186" r:id="rId308" tooltip="View pokedex for #122 Mr. Mime" display="http://pokemondb.net/pokedex/mr-mime" xr:uid="{00000000-0004-0000-0000-000033010000}"/>
    <hyperlink ref="C186" r:id="rId309" display="http://pokemondb.net/type/psychic" xr:uid="{00000000-0004-0000-0000-000034010000}"/>
    <hyperlink ref="C187" r:id="rId310" display="http://pokemondb.net/type/fairy" xr:uid="{00000000-0004-0000-0000-000035010000}"/>
    <hyperlink ref="B188" r:id="rId311" tooltip="View pokedex for #123 Scyther" display="http://pokemondb.net/pokedex/scyther" xr:uid="{00000000-0004-0000-0000-000036010000}"/>
    <hyperlink ref="C188" r:id="rId312" display="http://pokemondb.net/type/bug" xr:uid="{00000000-0004-0000-0000-000037010000}"/>
    <hyperlink ref="C189" r:id="rId313" display="http://pokemondb.net/type/flying" xr:uid="{00000000-0004-0000-0000-000038010000}"/>
    <hyperlink ref="B190" r:id="rId314" tooltip="View pokedex for #124 Jynx" display="http://pokemondb.net/pokedex/jynx" xr:uid="{00000000-0004-0000-0000-000039010000}"/>
    <hyperlink ref="C190" r:id="rId315" display="http://pokemondb.net/type/ice" xr:uid="{00000000-0004-0000-0000-00003A010000}"/>
    <hyperlink ref="C191" r:id="rId316" display="http://pokemondb.net/type/psychic" xr:uid="{00000000-0004-0000-0000-00003B010000}"/>
    <hyperlink ref="B192" r:id="rId317" tooltip="View pokedex for #125 Electabuzz" display="http://pokemondb.net/pokedex/electabuzz" xr:uid="{00000000-0004-0000-0000-00003C010000}"/>
    <hyperlink ref="C192" r:id="rId318" display="http://pokemondb.net/type/electric" xr:uid="{00000000-0004-0000-0000-00003D010000}"/>
    <hyperlink ref="B193" r:id="rId319" tooltip="View pokedex for #126 Magmar" display="http://pokemondb.net/pokedex/magmar" xr:uid="{00000000-0004-0000-0000-00003E010000}"/>
    <hyperlink ref="C193" r:id="rId320" display="http://pokemondb.net/type/fire" xr:uid="{00000000-0004-0000-0000-00003F010000}"/>
    <hyperlink ref="B194" r:id="rId321" tooltip="View pokedex for #127 Pinsir" display="http://pokemondb.net/pokedex/pinsir" xr:uid="{00000000-0004-0000-0000-000040010000}"/>
    <hyperlink ref="C194" r:id="rId322" display="http://pokemondb.net/type/bug" xr:uid="{00000000-0004-0000-0000-000041010000}"/>
    <hyperlink ref="C195" r:id="rId323" display="http://pokemondb.net/type/bug" xr:uid="{00000000-0004-0000-0000-000042010000}"/>
    <hyperlink ref="C196" r:id="rId324" display="http://pokemondb.net/type/flying" xr:uid="{00000000-0004-0000-0000-000043010000}"/>
    <hyperlink ref="B197" r:id="rId325" tooltip="View pokedex for #128 Tauros" display="http://pokemondb.net/pokedex/tauros" xr:uid="{00000000-0004-0000-0000-000044010000}"/>
    <hyperlink ref="C197" r:id="rId326" display="http://pokemondb.net/type/normal" xr:uid="{00000000-0004-0000-0000-000045010000}"/>
    <hyperlink ref="B198" r:id="rId327" tooltip="View pokedex for #129 Magikarp" display="http://pokemondb.net/pokedex/magikarp" xr:uid="{00000000-0004-0000-0000-000046010000}"/>
    <hyperlink ref="C198" r:id="rId328" display="http://pokemondb.net/type/water" xr:uid="{00000000-0004-0000-0000-000047010000}"/>
    <hyperlink ref="B199" r:id="rId329" tooltip="View pokedex for #130 Gyarados" display="http://pokemondb.net/pokedex/gyarados" xr:uid="{00000000-0004-0000-0000-000048010000}"/>
    <hyperlink ref="C199" r:id="rId330" display="http://pokemondb.net/type/water" xr:uid="{00000000-0004-0000-0000-000049010000}"/>
    <hyperlink ref="C200" r:id="rId331" display="http://pokemondb.net/type/flying" xr:uid="{00000000-0004-0000-0000-00004A010000}"/>
    <hyperlink ref="C201" r:id="rId332" display="http://pokemondb.net/type/water" xr:uid="{00000000-0004-0000-0000-00004B010000}"/>
    <hyperlink ref="C202" r:id="rId333" display="http://pokemondb.net/type/dark" xr:uid="{00000000-0004-0000-0000-00004C010000}"/>
    <hyperlink ref="B203" r:id="rId334" tooltip="View pokedex for #131 Lapras" display="http://pokemondb.net/pokedex/lapras" xr:uid="{00000000-0004-0000-0000-00004D010000}"/>
    <hyperlink ref="C203" r:id="rId335" display="http://pokemondb.net/type/water" xr:uid="{00000000-0004-0000-0000-00004E010000}"/>
    <hyperlink ref="C204" r:id="rId336" display="http://pokemondb.net/type/ice" xr:uid="{00000000-0004-0000-0000-00004F010000}"/>
    <hyperlink ref="B205" r:id="rId337" tooltip="View pokedex for #132 Ditto" display="http://pokemondb.net/pokedex/ditto" xr:uid="{00000000-0004-0000-0000-000050010000}"/>
    <hyperlink ref="C205" r:id="rId338" display="http://pokemondb.net/type/normal" xr:uid="{00000000-0004-0000-0000-000051010000}"/>
    <hyperlink ref="B207" r:id="rId339" tooltip="View pokedex for #133 Eevee" display="http://pokemondb.net/pokedex/eevee" xr:uid="{00000000-0004-0000-0000-000052010000}"/>
    <hyperlink ref="C207" r:id="rId340" display="http://pokemondb.net/type/normal" xr:uid="{00000000-0004-0000-0000-000053010000}"/>
    <hyperlink ref="B209" r:id="rId341" tooltip="View pokedex for #134 Vaporeon" display="http://pokemondb.net/pokedex/vaporeon" xr:uid="{00000000-0004-0000-0000-000054010000}"/>
    <hyperlink ref="C209" r:id="rId342" display="http://pokemondb.net/type/water" xr:uid="{00000000-0004-0000-0000-000055010000}"/>
    <hyperlink ref="B210" r:id="rId343" tooltip="View pokedex for #135 Jolteon" display="http://pokemondb.net/pokedex/jolteon" xr:uid="{00000000-0004-0000-0000-000056010000}"/>
    <hyperlink ref="C210" r:id="rId344" display="http://pokemondb.net/type/electric" xr:uid="{00000000-0004-0000-0000-000057010000}"/>
    <hyperlink ref="B211" r:id="rId345" tooltip="View pokedex for #136 Flareon" display="http://pokemondb.net/pokedex/flareon" xr:uid="{00000000-0004-0000-0000-000058010000}"/>
    <hyperlink ref="C211" r:id="rId346" display="http://pokemondb.net/type/fire" xr:uid="{00000000-0004-0000-0000-000059010000}"/>
    <hyperlink ref="B213" r:id="rId347" tooltip="View pokedex for #137 Porygon" display="http://pokemondb.net/pokedex/porygon" xr:uid="{00000000-0004-0000-0000-00005A010000}"/>
    <hyperlink ref="C213" r:id="rId348" display="http://pokemondb.net/type/normal" xr:uid="{00000000-0004-0000-0000-00005B010000}"/>
    <hyperlink ref="B214" r:id="rId349" tooltip="View pokedex for #138 Omanyte" display="http://pokemondb.net/pokedex/omanyte" xr:uid="{00000000-0004-0000-0000-00005C010000}"/>
    <hyperlink ref="C214" r:id="rId350" display="http://pokemondb.net/type/rock" xr:uid="{00000000-0004-0000-0000-00005D010000}"/>
    <hyperlink ref="C215" r:id="rId351" display="http://pokemondb.net/type/water" xr:uid="{00000000-0004-0000-0000-00005E010000}"/>
    <hyperlink ref="B216" r:id="rId352" tooltip="View pokedex for #139 Omastar" display="http://pokemondb.net/pokedex/omastar" xr:uid="{00000000-0004-0000-0000-00005F010000}"/>
    <hyperlink ref="C216" r:id="rId353" display="http://pokemondb.net/type/rock" xr:uid="{00000000-0004-0000-0000-000060010000}"/>
    <hyperlink ref="C217" r:id="rId354" display="http://pokemondb.net/type/water" xr:uid="{00000000-0004-0000-0000-000061010000}"/>
    <hyperlink ref="B218" r:id="rId355" tooltip="View pokedex for #140 Kabuto" display="http://pokemondb.net/pokedex/kabuto" xr:uid="{00000000-0004-0000-0000-000062010000}"/>
    <hyperlink ref="C218" r:id="rId356" display="http://pokemondb.net/type/rock" xr:uid="{00000000-0004-0000-0000-000063010000}"/>
    <hyperlink ref="C219" r:id="rId357" display="http://pokemondb.net/type/water" xr:uid="{00000000-0004-0000-0000-000064010000}"/>
    <hyperlink ref="B220" r:id="rId358" tooltip="View pokedex for #141 Kabutops" display="http://pokemondb.net/pokedex/kabutops" xr:uid="{00000000-0004-0000-0000-000065010000}"/>
    <hyperlink ref="C220" r:id="rId359" display="http://pokemondb.net/type/rock" xr:uid="{00000000-0004-0000-0000-000066010000}"/>
    <hyperlink ref="C221" r:id="rId360" display="http://pokemondb.net/type/water" xr:uid="{00000000-0004-0000-0000-000067010000}"/>
    <hyperlink ref="B222" r:id="rId361" tooltip="View pokedex for #142 Aerodactyl" display="http://pokemondb.net/pokedex/aerodactyl" xr:uid="{00000000-0004-0000-0000-000068010000}"/>
    <hyperlink ref="C222" r:id="rId362" display="http://pokemondb.net/type/rock" xr:uid="{00000000-0004-0000-0000-000069010000}"/>
    <hyperlink ref="C223" r:id="rId363" display="http://pokemondb.net/type/flying" xr:uid="{00000000-0004-0000-0000-00006A010000}"/>
    <hyperlink ref="C224" r:id="rId364" display="http://pokemondb.net/type/rock" xr:uid="{00000000-0004-0000-0000-00006B010000}"/>
    <hyperlink ref="C225" r:id="rId365" display="http://pokemondb.net/type/flying" xr:uid="{00000000-0004-0000-0000-00006C010000}"/>
    <hyperlink ref="B226" r:id="rId366" tooltip="View pokedex for #143 Snorlax" display="http://pokemondb.net/pokedex/snorlax" xr:uid="{00000000-0004-0000-0000-00006D010000}"/>
    <hyperlink ref="C226" r:id="rId367" display="http://pokemondb.net/type/normal" xr:uid="{00000000-0004-0000-0000-00006E010000}"/>
    <hyperlink ref="B228" r:id="rId368" tooltip="View pokedex for #144 Articuno" display="http://pokemondb.net/pokedex/articuno" xr:uid="{00000000-0004-0000-0000-00006F010000}"/>
    <hyperlink ref="C228" r:id="rId369" display="http://pokemondb.net/type/ice" xr:uid="{00000000-0004-0000-0000-000070010000}"/>
    <hyperlink ref="C229" r:id="rId370" display="http://pokemondb.net/type/flying" xr:uid="{00000000-0004-0000-0000-000071010000}"/>
    <hyperlink ref="B230" r:id="rId371" tooltip="View pokedex for #145 Zapdos" display="http://pokemondb.net/pokedex/zapdos" xr:uid="{00000000-0004-0000-0000-000072010000}"/>
    <hyperlink ref="C230" r:id="rId372" display="http://pokemondb.net/type/electric" xr:uid="{00000000-0004-0000-0000-000073010000}"/>
    <hyperlink ref="C231" r:id="rId373" display="http://pokemondb.net/type/flying" xr:uid="{00000000-0004-0000-0000-000074010000}"/>
    <hyperlink ref="B232" r:id="rId374" tooltip="View pokedex for #146 Moltres" display="http://pokemondb.net/pokedex/moltres" xr:uid="{00000000-0004-0000-0000-000075010000}"/>
    <hyperlink ref="C232" r:id="rId375" display="http://pokemondb.net/type/fire" xr:uid="{00000000-0004-0000-0000-000076010000}"/>
    <hyperlink ref="C233" r:id="rId376" display="http://pokemondb.net/type/flying" xr:uid="{00000000-0004-0000-0000-000077010000}"/>
    <hyperlink ref="B234" r:id="rId377" tooltip="View pokedex for #147 Dratini" display="http://pokemondb.net/pokedex/dratini" xr:uid="{00000000-0004-0000-0000-000078010000}"/>
    <hyperlink ref="C234" r:id="rId378" display="http://pokemondb.net/type/dragon" xr:uid="{00000000-0004-0000-0000-000079010000}"/>
    <hyperlink ref="B235" r:id="rId379" tooltip="View pokedex for #148 Dragonair" display="http://pokemondb.net/pokedex/dragonair" xr:uid="{00000000-0004-0000-0000-00007A010000}"/>
    <hyperlink ref="C235" r:id="rId380" display="http://pokemondb.net/type/dragon" xr:uid="{00000000-0004-0000-0000-00007B010000}"/>
    <hyperlink ref="B236" r:id="rId381" tooltip="View pokedex for #149 Dragonite" display="http://pokemondb.net/pokedex/dragonite" xr:uid="{00000000-0004-0000-0000-00007C010000}"/>
    <hyperlink ref="C236" r:id="rId382" display="http://pokemondb.net/type/dragon" xr:uid="{00000000-0004-0000-0000-00007D010000}"/>
    <hyperlink ref="C237" r:id="rId383" display="http://pokemondb.net/type/flying" xr:uid="{00000000-0004-0000-0000-00007E010000}"/>
    <hyperlink ref="B238" r:id="rId384" tooltip="View pokedex for #150 Mewtwo" display="http://pokemondb.net/pokedex/mewtwo" xr:uid="{00000000-0004-0000-0000-00007F010000}"/>
    <hyperlink ref="C238" r:id="rId385" display="http://pokemondb.net/type/psychic" xr:uid="{00000000-0004-0000-0000-000080010000}"/>
    <hyperlink ref="C239" r:id="rId386" display="http://pokemondb.net/type/psychic" xr:uid="{00000000-0004-0000-0000-000081010000}"/>
    <hyperlink ref="C240" r:id="rId387" display="http://pokemondb.net/type/fighting" xr:uid="{00000000-0004-0000-0000-000082010000}"/>
    <hyperlink ref="C241" r:id="rId388" display="http://pokemondb.net/type/psychic" xr:uid="{00000000-0004-0000-0000-000083010000}"/>
    <hyperlink ref="B243" r:id="rId389" tooltip="View pokedex for #151 Mew" display="http://pokemondb.net/pokedex/mew" xr:uid="{00000000-0004-0000-0000-000084010000}"/>
    <hyperlink ref="C243" r:id="rId390" display="http://pokemondb.net/type/psychic" xr:uid="{00000000-0004-0000-0000-000085010000}"/>
    <hyperlink ref="B244" r:id="rId391" tooltip="View pokedex for #152 Chikorita" display="http://pokemondb.net/pokedex/chikorita" xr:uid="{00000000-0004-0000-0000-000086010000}"/>
    <hyperlink ref="C244" r:id="rId392" display="http://pokemondb.net/type/grass" xr:uid="{00000000-0004-0000-0000-000087010000}"/>
    <hyperlink ref="B245" r:id="rId393" tooltip="View pokedex for #153 Bayleef" display="http://pokemondb.net/pokedex/bayleef" xr:uid="{00000000-0004-0000-0000-000088010000}"/>
    <hyperlink ref="C245" r:id="rId394" display="http://pokemondb.net/type/grass" xr:uid="{00000000-0004-0000-0000-000089010000}"/>
    <hyperlink ref="B246" r:id="rId395" tooltip="View pokedex for #154 Meganium" display="http://pokemondb.net/pokedex/meganium" xr:uid="{00000000-0004-0000-0000-00008A010000}"/>
    <hyperlink ref="C246" r:id="rId396" display="http://pokemondb.net/type/grass" xr:uid="{00000000-0004-0000-0000-00008B010000}"/>
    <hyperlink ref="B247" r:id="rId397" tooltip="View pokedex for #155 Cyndaquil" display="http://pokemondb.net/pokedex/cyndaquil" xr:uid="{00000000-0004-0000-0000-00008C010000}"/>
    <hyperlink ref="C247" r:id="rId398" display="http://pokemondb.net/type/fire" xr:uid="{00000000-0004-0000-0000-00008D010000}"/>
    <hyperlink ref="B248" r:id="rId399" tooltip="View pokedex for #156 Quilava" display="http://pokemondb.net/pokedex/quilava" xr:uid="{00000000-0004-0000-0000-00008E010000}"/>
    <hyperlink ref="C248" r:id="rId400" display="http://pokemondb.net/type/fire" xr:uid="{00000000-0004-0000-0000-00008F010000}"/>
    <hyperlink ref="B249" r:id="rId401" tooltip="View pokedex for #157 Typhlosion" display="http://pokemondb.net/pokedex/typhlosion" xr:uid="{00000000-0004-0000-0000-000090010000}"/>
    <hyperlink ref="C249" r:id="rId402" display="http://pokemondb.net/type/fire" xr:uid="{00000000-0004-0000-0000-000091010000}"/>
    <hyperlink ref="B250" r:id="rId403" tooltip="View pokedex for #158 Totodile" display="http://pokemondb.net/pokedex/totodile" xr:uid="{00000000-0004-0000-0000-000092010000}"/>
    <hyperlink ref="C250" r:id="rId404" display="http://pokemondb.net/type/water" xr:uid="{00000000-0004-0000-0000-000093010000}"/>
    <hyperlink ref="B251" r:id="rId405" tooltip="View pokedex for #159 Croconaw" display="http://pokemondb.net/pokedex/croconaw" xr:uid="{00000000-0004-0000-0000-000094010000}"/>
    <hyperlink ref="C251" r:id="rId406" display="http://pokemondb.net/type/water" xr:uid="{00000000-0004-0000-0000-000095010000}"/>
    <hyperlink ref="B252" r:id="rId407" tooltip="View pokedex for #160 Feraligatr" display="http://pokemondb.net/pokedex/feraligatr" xr:uid="{00000000-0004-0000-0000-000096010000}"/>
    <hyperlink ref="C252" r:id="rId408" display="http://pokemondb.net/type/water" xr:uid="{00000000-0004-0000-0000-000097010000}"/>
    <hyperlink ref="B253" r:id="rId409" tooltip="View pokedex for #161 Sentret" display="http://pokemondb.net/pokedex/sentret" xr:uid="{00000000-0004-0000-0000-000098010000}"/>
    <hyperlink ref="C253" r:id="rId410" display="http://pokemondb.net/type/normal" xr:uid="{00000000-0004-0000-0000-000099010000}"/>
    <hyperlink ref="B254" r:id="rId411" tooltip="View pokedex for #162 Furret" display="http://pokemondb.net/pokedex/furret" xr:uid="{00000000-0004-0000-0000-00009A010000}"/>
    <hyperlink ref="C254" r:id="rId412" display="http://pokemondb.net/type/normal" xr:uid="{00000000-0004-0000-0000-00009B010000}"/>
    <hyperlink ref="B255" r:id="rId413" tooltip="View pokedex for #163 Hoothoot" display="http://pokemondb.net/pokedex/hoothoot" xr:uid="{00000000-0004-0000-0000-00009C010000}"/>
    <hyperlink ref="C255" r:id="rId414" display="http://pokemondb.net/type/normal" xr:uid="{00000000-0004-0000-0000-00009D010000}"/>
    <hyperlink ref="C206" r:id="rId415" display="http://pokemondb.net/type/flying" xr:uid="{00000000-0004-0000-0000-00009E010000}"/>
    <hyperlink ref="B256" r:id="rId416" tooltip="View pokedex for #164 Noctowl" display="http://pokemondb.net/pokedex/noctowl" xr:uid="{00000000-0004-0000-0000-00009F010000}"/>
    <hyperlink ref="C256" r:id="rId417" display="http://pokemondb.net/type/normal" xr:uid="{00000000-0004-0000-0000-0000A0010000}"/>
    <hyperlink ref="C133" r:id="rId418" display="http://pokemondb.net/type/flying" xr:uid="{00000000-0004-0000-0000-0000A1010000}"/>
    <hyperlink ref="B258" r:id="rId419" tooltip="View pokedex for #165 Ledyba" display="http://pokemondb.net/pokedex/ledyba" xr:uid="{00000000-0004-0000-0000-0000A2010000}"/>
    <hyperlink ref="C258" r:id="rId420" display="http://pokemondb.net/type/bug" xr:uid="{00000000-0004-0000-0000-0000A3010000}"/>
    <hyperlink ref="C259" r:id="rId421" display="http://pokemondb.net/type/flying" xr:uid="{00000000-0004-0000-0000-0000A4010000}"/>
    <hyperlink ref="B260" r:id="rId422" tooltip="View pokedex for #166 Ledian" display="http://pokemondb.net/pokedex/ledian" xr:uid="{00000000-0004-0000-0000-0000A5010000}"/>
    <hyperlink ref="C260" r:id="rId423" display="http://pokemondb.net/type/bug" xr:uid="{00000000-0004-0000-0000-0000A6010000}"/>
    <hyperlink ref="C261" r:id="rId424" display="http://pokemondb.net/type/flying" xr:uid="{00000000-0004-0000-0000-0000A7010000}"/>
    <hyperlink ref="B262" r:id="rId425" tooltip="View pokedex for #167 Spinarak" display="http://pokemondb.net/pokedex/spinarak" xr:uid="{00000000-0004-0000-0000-0000A8010000}"/>
    <hyperlink ref="C262" r:id="rId426" display="http://pokemondb.net/type/bug" xr:uid="{00000000-0004-0000-0000-0000A9010000}"/>
    <hyperlink ref="C263" r:id="rId427" display="http://pokemondb.net/type/poison" xr:uid="{00000000-0004-0000-0000-0000AA010000}"/>
    <hyperlink ref="B264" r:id="rId428" tooltip="View pokedex for #168 Ariados" display="http://pokemondb.net/pokedex/ariados" xr:uid="{00000000-0004-0000-0000-0000AB010000}"/>
    <hyperlink ref="C264" r:id="rId429" display="http://pokemondb.net/type/bug" xr:uid="{00000000-0004-0000-0000-0000AC010000}"/>
    <hyperlink ref="C265" r:id="rId430" display="http://pokemondb.net/type/poison" xr:uid="{00000000-0004-0000-0000-0000AD010000}"/>
    <hyperlink ref="B266" r:id="rId431" tooltip="View pokedex for #169 Crobat" display="http://pokemondb.net/pokedex/crobat" xr:uid="{00000000-0004-0000-0000-0000AE010000}"/>
    <hyperlink ref="C266" r:id="rId432" display="http://pokemondb.net/type/poison" xr:uid="{00000000-0004-0000-0000-0000AF010000}"/>
    <hyperlink ref="C267" r:id="rId433" display="http://pokemondb.net/type/flying" xr:uid="{00000000-0004-0000-0000-0000B0010000}"/>
    <hyperlink ref="B268" r:id="rId434" tooltip="View pokedex for #170 Chinchou" display="http://pokemondb.net/pokedex/chinchou" xr:uid="{00000000-0004-0000-0000-0000B1010000}"/>
    <hyperlink ref="C268" r:id="rId435" display="http://pokemondb.net/type/water" xr:uid="{00000000-0004-0000-0000-0000B2010000}"/>
    <hyperlink ref="C269" r:id="rId436" display="http://pokemondb.net/type/electric" xr:uid="{00000000-0004-0000-0000-0000B3010000}"/>
    <hyperlink ref="B270" r:id="rId437" tooltip="View pokedex for #171 Lanturn" display="http://pokemondb.net/pokedex/lanturn" xr:uid="{00000000-0004-0000-0000-0000B4010000}"/>
    <hyperlink ref="C270" r:id="rId438" display="http://pokemondb.net/type/water" xr:uid="{00000000-0004-0000-0000-0000B5010000}"/>
    <hyperlink ref="C271" r:id="rId439" display="http://pokemondb.net/type/electric" xr:uid="{00000000-0004-0000-0000-0000B6010000}"/>
    <hyperlink ref="B272" r:id="rId440" tooltip="View pokedex for #172 Pichu" display="http://pokemondb.net/pokedex/pichu" xr:uid="{00000000-0004-0000-0000-0000B7010000}"/>
    <hyperlink ref="C272" r:id="rId441" display="http://pokemondb.net/type/electric" xr:uid="{00000000-0004-0000-0000-0000B8010000}"/>
    <hyperlink ref="B273" r:id="rId442" tooltip="View pokedex for #173 Cleffa" display="http://pokemondb.net/pokedex/cleffa" xr:uid="{00000000-0004-0000-0000-0000B9010000}"/>
    <hyperlink ref="C273" r:id="rId443" display="http://pokemondb.net/type/fairy" xr:uid="{00000000-0004-0000-0000-0000BA010000}"/>
    <hyperlink ref="B275" r:id="rId444" tooltip="View pokedex for #174 Igglybuff" display="http://pokemondb.net/pokedex/igglybuff" xr:uid="{00000000-0004-0000-0000-0000BB010000}"/>
    <hyperlink ref="C275" r:id="rId445" display="http://pokemondb.net/type/normal" xr:uid="{00000000-0004-0000-0000-0000BC010000}"/>
    <hyperlink ref="C274" r:id="rId446" display="http://pokemondb.net/type/fairy" xr:uid="{00000000-0004-0000-0000-0000BD010000}"/>
    <hyperlink ref="B276" r:id="rId447" tooltip="View pokedex for #175 Togepi" display="http://pokemondb.net/pokedex/togepi" xr:uid="{00000000-0004-0000-0000-0000BE010000}"/>
    <hyperlink ref="C276" r:id="rId448" display="http://pokemondb.net/type/fairy" xr:uid="{00000000-0004-0000-0000-0000BF010000}"/>
    <hyperlink ref="B277" r:id="rId449" tooltip="View pokedex for #176 Togetic" display="http://pokemondb.net/pokedex/togetic" xr:uid="{00000000-0004-0000-0000-0000C0010000}"/>
    <hyperlink ref="C277" r:id="rId450" display="http://pokemondb.net/type/fairy" xr:uid="{00000000-0004-0000-0000-0000C1010000}"/>
    <hyperlink ref="C208" r:id="rId451" display="http://pokemondb.net/type/flying" xr:uid="{00000000-0004-0000-0000-0000C2010000}"/>
    <hyperlink ref="B278" r:id="rId452" tooltip="View pokedex for #177 Natu" display="http://pokemondb.net/pokedex/natu" xr:uid="{00000000-0004-0000-0000-0000C3010000}"/>
    <hyperlink ref="C278" r:id="rId453" display="http://pokemondb.net/type/psychic" xr:uid="{00000000-0004-0000-0000-0000C4010000}"/>
    <hyperlink ref="C279" r:id="rId454" display="http://pokemondb.net/type/flying" xr:uid="{00000000-0004-0000-0000-0000C5010000}"/>
    <hyperlink ref="B280" r:id="rId455" tooltip="View pokedex for #178 Xatu" display="http://pokemondb.net/pokedex/xatu" xr:uid="{00000000-0004-0000-0000-0000C6010000}"/>
    <hyperlink ref="C280" r:id="rId456" display="http://pokemondb.net/type/psychic" xr:uid="{00000000-0004-0000-0000-0000C7010000}"/>
    <hyperlink ref="C281" r:id="rId457" display="http://pokemondb.net/type/flying" xr:uid="{00000000-0004-0000-0000-0000C8010000}"/>
    <hyperlink ref="B282" r:id="rId458" tooltip="View pokedex for #179 Mareep" display="http://pokemondb.net/pokedex/mareep" xr:uid="{00000000-0004-0000-0000-0000C9010000}"/>
    <hyperlink ref="C282" r:id="rId459" display="http://pokemondb.net/type/electric" xr:uid="{00000000-0004-0000-0000-0000CA010000}"/>
    <hyperlink ref="B283" r:id="rId460" tooltip="View pokedex for #180 Flaaffy" display="http://pokemondb.net/pokedex/flaaffy" xr:uid="{00000000-0004-0000-0000-0000CB010000}"/>
    <hyperlink ref="C283" r:id="rId461" display="http://pokemondb.net/type/electric" xr:uid="{00000000-0004-0000-0000-0000CC010000}"/>
    <hyperlink ref="B284" r:id="rId462" tooltip="View pokedex for #181 Ampharos" display="http://pokemondb.net/pokedex/ampharos" xr:uid="{00000000-0004-0000-0000-0000CD010000}"/>
    <hyperlink ref="C284" r:id="rId463" display="http://pokemondb.net/type/electric" xr:uid="{00000000-0004-0000-0000-0000CE010000}"/>
    <hyperlink ref="C285" r:id="rId464" display="http://pokemondb.net/type/electric" xr:uid="{00000000-0004-0000-0000-0000CF010000}"/>
    <hyperlink ref="C286" r:id="rId465" display="http://pokemondb.net/type/dragon" xr:uid="{00000000-0004-0000-0000-0000D0010000}"/>
    <hyperlink ref="B287" r:id="rId466" tooltip="View pokedex for #182 Bellossom" display="http://pokemondb.net/pokedex/bellossom" xr:uid="{00000000-0004-0000-0000-0000D1010000}"/>
    <hyperlink ref="C287" r:id="rId467" display="http://pokemondb.net/type/grass" xr:uid="{00000000-0004-0000-0000-0000D2010000}"/>
    <hyperlink ref="B288" r:id="rId468" tooltip="View pokedex for #183 Marill" display="http://pokemondb.net/pokedex/marill" xr:uid="{00000000-0004-0000-0000-0000D3010000}"/>
    <hyperlink ref="C288" r:id="rId469" display="http://pokemondb.net/type/water" xr:uid="{00000000-0004-0000-0000-0000D4010000}"/>
    <hyperlink ref="C130" r:id="rId470" display="http://pokemondb.net/type/fairy" xr:uid="{00000000-0004-0000-0000-0000D5010000}"/>
    <hyperlink ref="B289" r:id="rId471" tooltip="View pokedex for #184 Azumarill" display="http://pokemondb.net/pokedex/azumarill" xr:uid="{00000000-0004-0000-0000-0000D6010000}"/>
    <hyperlink ref="C289" r:id="rId472" display="http://pokemondb.net/type/water" xr:uid="{00000000-0004-0000-0000-0000D7010000}"/>
    <hyperlink ref="C131" r:id="rId473" display="http://pokemondb.net/type/fairy" xr:uid="{00000000-0004-0000-0000-0000D8010000}"/>
    <hyperlink ref="B290" r:id="rId474" tooltip="View pokedex for #185 Sudowoodo" display="http://pokemondb.net/pokedex/sudowoodo" xr:uid="{00000000-0004-0000-0000-0000D9010000}"/>
    <hyperlink ref="C290" r:id="rId475" display="http://pokemondb.net/type/rock" xr:uid="{00000000-0004-0000-0000-0000DA010000}"/>
    <hyperlink ref="B291" r:id="rId476" tooltip="View pokedex for #186 Politoed" display="http://pokemondb.net/pokedex/politoed" xr:uid="{00000000-0004-0000-0000-0000DB010000}"/>
    <hyperlink ref="C291" r:id="rId477" display="http://pokemondb.net/type/water" xr:uid="{00000000-0004-0000-0000-0000DC010000}"/>
    <hyperlink ref="B292" r:id="rId478" tooltip="View pokedex for #187 Hoppip" display="http://pokemondb.net/pokedex/hoppip" xr:uid="{00000000-0004-0000-0000-0000DD010000}"/>
    <hyperlink ref="C292" r:id="rId479" display="http://pokemondb.net/type/grass" xr:uid="{00000000-0004-0000-0000-0000DE010000}"/>
    <hyperlink ref="C293" r:id="rId480" display="http://pokemondb.net/type/flying" xr:uid="{00000000-0004-0000-0000-0000DF010000}"/>
    <hyperlink ref="B294" r:id="rId481" tooltip="View pokedex for #188 Skiploom" display="http://pokemondb.net/pokedex/skiploom" xr:uid="{00000000-0004-0000-0000-0000E0010000}"/>
    <hyperlink ref="C294" r:id="rId482" display="http://pokemondb.net/type/grass" xr:uid="{00000000-0004-0000-0000-0000E1010000}"/>
    <hyperlink ref="C295" r:id="rId483" display="http://pokemondb.net/type/flying" xr:uid="{00000000-0004-0000-0000-0000E2010000}"/>
    <hyperlink ref="B296" r:id="rId484" tooltip="View pokedex for #189 Jumpluff" display="http://pokemondb.net/pokedex/jumpluff" xr:uid="{00000000-0004-0000-0000-0000E3010000}"/>
    <hyperlink ref="C296" r:id="rId485" display="http://pokemondb.net/type/grass" xr:uid="{00000000-0004-0000-0000-0000E4010000}"/>
    <hyperlink ref="C297" r:id="rId486" display="http://pokemondb.net/type/flying" xr:uid="{00000000-0004-0000-0000-0000E5010000}"/>
    <hyperlink ref="B298" r:id="rId487" tooltip="View pokedex for #190 Aipom" display="http://pokemondb.net/pokedex/aipom" xr:uid="{00000000-0004-0000-0000-0000E6010000}"/>
    <hyperlink ref="C298" r:id="rId488" display="http://pokemondb.net/type/normal" xr:uid="{00000000-0004-0000-0000-0000E7010000}"/>
    <hyperlink ref="B300" r:id="rId489" tooltip="View pokedex for #191 Sunkern" display="http://pokemondb.net/pokedex/sunkern" xr:uid="{00000000-0004-0000-0000-0000E8010000}"/>
    <hyperlink ref="C300" r:id="rId490" display="http://pokemondb.net/type/grass" xr:uid="{00000000-0004-0000-0000-0000E9010000}"/>
    <hyperlink ref="B301" r:id="rId491" tooltip="View pokedex for #192 Sunflora" display="http://pokemondb.net/pokedex/sunflora" xr:uid="{00000000-0004-0000-0000-0000EA010000}"/>
    <hyperlink ref="C301" r:id="rId492" display="http://pokemondb.net/type/grass" xr:uid="{00000000-0004-0000-0000-0000EB010000}"/>
    <hyperlink ref="B302" r:id="rId493" tooltip="View pokedex for #193 Yanma" display="http://pokemondb.net/pokedex/yanma" xr:uid="{00000000-0004-0000-0000-0000EC010000}"/>
    <hyperlink ref="C302" r:id="rId494" display="http://pokemondb.net/type/bug" xr:uid="{00000000-0004-0000-0000-0000ED010000}"/>
    <hyperlink ref="C303" r:id="rId495" display="http://pokemondb.net/type/flying" xr:uid="{00000000-0004-0000-0000-0000EE010000}"/>
    <hyperlink ref="B304" r:id="rId496" tooltip="View pokedex for #194 Wooper" display="http://pokemondb.net/pokedex/wooper" xr:uid="{00000000-0004-0000-0000-0000EF010000}"/>
    <hyperlink ref="C304" r:id="rId497" display="http://pokemondb.net/type/water" xr:uid="{00000000-0004-0000-0000-0000F0010000}"/>
    <hyperlink ref="C305" r:id="rId498" display="http://pokemondb.net/type/ground" xr:uid="{00000000-0004-0000-0000-0000F1010000}"/>
    <hyperlink ref="B306" r:id="rId499" tooltip="View pokedex for #195 Quagsire" display="http://pokemondb.net/pokedex/quagsire" xr:uid="{00000000-0004-0000-0000-0000F2010000}"/>
    <hyperlink ref="C306" r:id="rId500" display="http://pokemondb.net/type/water" xr:uid="{00000000-0004-0000-0000-0000F3010000}"/>
    <hyperlink ref="C307" r:id="rId501" display="http://pokemondb.net/type/ground" xr:uid="{00000000-0004-0000-0000-0000F4010000}"/>
    <hyperlink ref="B308" r:id="rId502" tooltip="View pokedex for #196 Espeon" display="http://pokemondb.net/pokedex/espeon" xr:uid="{00000000-0004-0000-0000-0000F5010000}"/>
    <hyperlink ref="C308" r:id="rId503" display="http://pokemondb.net/type/psychic" xr:uid="{00000000-0004-0000-0000-0000F6010000}"/>
    <hyperlink ref="B309" r:id="rId504" tooltip="View pokedex for #197 Umbreon" display="http://pokemondb.net/pokedex/umbreon" xr:uid="{00000000-0004-0000-0000-0000F7010000}"/>
    <hyperlink ref="C309" r:id="rId505" display="http://pokemondb.net/type/dark" xr:uid="{00000000-0004-0000-0000-0000F8010000}"/>
    <hyperlink ref="B310" r:id="rId506" tooltip="View pokedex for #198 Murkrow" display="http://pokemondb.net/pokedex/murkrow" xr:uid="{00000000-0004-0000-0000-0000F9010000}"/>
    <hyperlink ref="C310" r:id="rId507" display="http://pokemondb.net/type/dark" xr:uid="{00000000-0004-0000-0000-0000FA010000}"/>
    <hyperlink ref="C311" r:id="rId508" display="http://pokemondb.net/type/flying" xr:uid="{00000000-0004-0000-0000-0000FB010000}"/>
    <hyperlink ref="B312" r:id="rId509" tooltip="View pokedex for #199 Slowking" display="http://pokemondb.net/pokedex/slowking" xr:uid="{00000000-0004-0000-0000-0000FC010000}"/>
    <hyperlink ref="C312" r:id="rId510" display="http://pokemondb.net/type/water" xr:uid="{00000000-0004-0000-0000-0000FD010000}"/>
    <hyperlink ref="C313" r:id="rId511" display="http://pokemondb.net/type/psychic" xr:uid="{00000000-0004-0000-0000-0000FE010000}"/>
    <hyperlink ref="B314" r:id="rId512" tooltip="View pokedex for #200 Misdreavus" display="http://pokemondb.net/pokedex/misdreavus" xr:uid="{00000000-0004-0000-0000-0000FF010000}"/>
    <hyperlink ref="C314" r:id="rId513" display="http://pokemondb.net/type/ghost" xr:uid="{00000000-0004-0000-0000-000000020000}"/>
    <hyperlink ref="B315" r:id="rId514" tooltip="View pokedex for #201 Unown" display="http://pokemondb.net/pokedex/unown" xr:uid="{00000000-0004-0000-0000-000001020000}"/>
    <hyperlink ref="C315" r:id="rId515" display="http://pokemondb.net/type/psychic" xr:uid="{00000000-0004-0000-0000-000002020000}"/>
    <hyperlink ref="B316" r:id="rId516" tooltip="View pokedex for #202 Wobbuffet" display="http://pokemondb.net/pokedex/wobbuffet" xr:uid="{00000000-0004-0000-0000-000003020000}"/>
    <hyperlink ref="C316" r:id="rId517" display="http://pokemondb.net/type/psychic" xr:uid="{00000000-0004-0000-0000-000004020000}"/>
    <hyperlink ref="B317" r:id="rId518" tooltip="View pokedex for #203 Girafarig" display="http://pokemondb.net/pokedex/girafarig" xr:uid="{00000000-0004-0000-0000-000005020000}"/>
    <hyperlink ref="C317" r:id="rId519" display="http://pokemondb.net/type/normal" xr:uid="{00000000-0004-0000-0000-000006020000}"/>
    <hyperlink ref="C1078" r:id="rId520" display="http://pokemondb.net/type/psychic" xr:uid="{00000000-0004-0000-0000-000007020000}"/>
    <hyperlink ref="B318" r:id="rId521" tooltip="View pokedex for #204 Pineco" display="http://pokemondb.net/pokedex/pineco" xr:uid="{00000000-0004-0000-0000-000008020000}"/>
    <hyperlink ref="C318" r:id="rId522" display="http://pokemondb.net/type/bug" xr:uid="{00000000-0004-0000-0000-000009020000}"/>
    <hyperlink ref="B319" r:id="rId523" tooltip="View pokedex for #205 Forretress" display="http://pokemondb.net/pokedex/forretress" xr:uid="{00000000-0004-0000-0000-00000A020000}"/>
    <hyperlink ref="C319" r:id="rId524" display="http://pokemondb.net/type/bug" xr:uid="{00000000-0004-0000-0000-00000B020000}"/>
    <hyperlink ref="C320" r:id="rId525" display="http://pokemondb.net/type/steel" xr:uid="{00000000-0004-0000-0000-00000C020000}"/>
    <hyperlink ref="B322" r:id="rId526" tooltip="View pokedex for #206 Dunsparce" display="http://pokemondb.net/pokedex/dunsparce" xr:uid="{00000000-0004-0000-0000-00000D020000}"/>
    <hyperlink ref="C322" r:id="rId527" display="http://pokemondb.net/type/normal" xr:uid="{00000000-0004-0000-0000-00000E020000}"/>
    <hyperlink ref="B323" r:id="rId528" tooltip="View pokedex for #207 Gligar" display="http://pokemondb.net/pokedex/gligar" xr:uid="{00000000-0004-0000-0000-00000F020000}"/>
    <hyperlink ref="C323" r:id="rId529" display="http://pokemondb.net/type/ground" xr:uid="{00000000-0004-0000-0000-000010020000}"/>
    <hyperlink ref="C324" r:id="rId530" display="http://pokemondb.net/type/flying" xr:uid="{00000000-0004-0000-0000-000011020000}"/>
    <hyperlink ref="B325" r:id="rId531" tooltip="View pokedex for #208 Steelix" display="http://pokemondb.net/pokedex/steelix" xr:uid="{00000000-0004-0000-0000-000012020000}"/>
    <hyperlink ref="C325" r:id="rId532" display="http://pokemondb.net/type/steel" xr:uid="{00000000-0004-0000-0000-000013020000}"/>
    <hyperlink ref="C326" r:id="rId533" display="http://pokemondb.net/type/ground" xr:uid="{00000000-0004-0000-0000-000014020000}"/>
    <hyperlink ref="B327" r:id="rId534" tooltip="View pokedex for #209 Snubbull" display="http://pokemondb.net/pokedex/snubbull" xr:uid="{00000000-0004-0000-0000-000015020000}"/>
    <hyperlink ref="C327" r:id="rId535" display="http://pokemondb.net/type/fairy" xr:uid="{00000000-0004-0000-0000-000016020000}"/>
    <hyperlink ref="B328" r:id="rId536" tooltip="View pokedex for #210 Granbull" display="http://pokemondb.net/pokedex/granbull" xr:uid="{00000000-0004-0000-0000-000017020000}"/>
    <hyperlink ref="C328" r:id="rId537" display="http://pokemondb.net/type/fairy" xr:uid="{00000000-0004-0000-0000-000018020000}"/>
    <hyperlink ref="B329" r:id="rId538" tooltip="View pokedex for #211 Qwilfish" display="http://pokemondb.net/pokedex/qwilfish" xr:uid="{00000000-0004-0000-0000-000019020000}"/>
    <hyperlink ref="C329" r:id="rId539" display="http://pokemondb.net/type/water" xr:uid="{00000000-0004-0000-0000-00001A020000}"/>
    <hyperlink ref="C330" r:id="rId540" display="http://pokemondb.net/type/poison" xr:uid="{00000000-0004-0000-0000-00001B020000}"/>
    <hyperlink ref="B331" r:id="rId541" tooltip="View pokedex for #212 Scizor" display="http://pokemondb.net/pokedex/scizor" xr:uid="{00000000-0004-0000-0000-00001C020000}"/>
    <hyperlink ref="C331" r:id="rId542" display="http://pokemondb.net/type/bug" xr:uid="{00000000-0004-0000-0000-00001D020000}"/>
    <hyperlink ref="C332" r:id="rId543" display="http://pokemondb.net/type/steel" xr:uid="{00000000-0004-0000-0000-00001E020000}"/>
    <hyperlink ref="C333" r:id="rId544" display="http://pokemondb.net/type/bug" xr:uid="{00000000-0004-0000-0000-00001F020000}"/>
    <hyperlink ref="C334" r:id="rId545" display="http://pokemondb.net/type/steel" xr:uid="{00000000-0004-0000-0000-000020020000}"/>
    <hyperlink ref="B335" r:id="rId546" tooltip="View pokedex for #213 Shuckle" display="http://pokemondb.net/pokedex/shuckle" xr:uid="{00000000-0004-0000-0000-000021020000}"/>
    <hyperlink ref="C335" r:id="rId547" display="http://pokemondb.net/type/bug" xr:uid="{00000000-0004-0000-0000-000022020000}"/>
    <hyperlink ref="C336" r:id="rId548" display="http://pokemondb.net/type/rock" xr:uid="{00000000-0004-0000-0000-000023020000}"/>
    <hyperlink ref="B337" r:id="rId549" tooltip="View pokedex for #214 Heracross" display="http://pokemondb.net/pokedex/heracross" xr:uid="{00000000-0004-0000-0000-000024020000}"/>
    <hyperlink ref="C337" r:id="rId550" display="http://pokemondb.net/type/bug" xr:uid="{00000000-0004-0000-0000-000025020000}"/>
    <hyperlink ref="C338" r:id="rId551" display="http://pokemondb.net/type/fighting" xr:uid="{00000000-0004-0000-0000-000026020000}"/>
    <hyperlink ref="C339" r:id="rId552" display="http://pokemondb.net/type/bug" xr:uid="{00000000-0004-0000-0000-000027020000}"/>
    <hyperlink ref="C340" r:id="rId553" display="http://pokemondb.net/type/fighting" xr:uid="{00000000-0004-0000-0000-000028020000}"/>
    <hyperlink ref="B341" r:id="rId554" tooltip="View pokedex for #215 Sneasel" display="http://pokemondb.net/pokedex/sneasel" xr:uid="{00000000-0004-0000-0000-000029020000}"/>
    <hyperlink ref="C341" r:id="rId555" display="http://pokemondb.net/type/dark" xr:uid="{00000000-0004-0000-0000-00002A020000}"/>
    <hyperlink ref="C342" r:id="rId556" display="http://pokemondb.net/type/ice" xr:uid="{00000000-0004-0000-0000-00002B020000}"/>
    <hyperlink ref="B343" r:id="rId557" tooltip="View pokedex for #216 Teddiursa" display="http://pokemondb.net/pokedex/teddiursa" xr:uid="{00000000-0004-0000-0000-00002C020000}"/>
    <hyperlink ref="C343" r:id="rId558" display="http://pokemondb.net/type/normal" xr:uid="{00000000-0004-0000-0000-00002D020000}"/>
    <hyperlink ref="B344" r:id="rId559" tooltip="View pokedex for #217 Ursaring" display="http://pokemondb.net/pokedex/ursaring" xr:uid="{00000000-0004-0000-0000-00002E020000}"/>
    <hyperlink ref="C344" r:id="rId560" display="http://pokemondb.net/type/normal" xr:uid="{00000000-0004-0000-0000-00002F020000}"/>
    <hyperlink ref="B345" r:id="rId561" tooltip="View pokedex for #218 Slugma" display="http://pokemondb.net/pokedex/slugma" xr:uid="{00000000-0004-0000-0000-000030020000}"/>
    <hyperlink ref="C345" r:id="rId562" display="http://pokemondb.net/type/fire" xr:uid="{00000000-0004-0000-0000-000031020000}"/>
    <hyperlink ref="B346" r:id="rId563" tooltip="View pokedex for #219 Magcargo" display="http://pokemondb.net/pokedex/magcargo" xr:uid="{00000000-0004-0000-0000-000032020000}"/>
    <hyperlink ref="C346" r:id="rId564" display="http://pokemondb.net/type/fire" xr:uid="{00000000-0004-0000-0000-000033020000}"/>
    <hyperlink ref="C347" r:id="rId565" display="http://pokemondb.net/type/rock" xr:uid="{00000000-0004-0000-0000-000034020000}"/>
    <hyperlink ref="B348" r:id="rId566" tooltip="View pokedex for #220 Swinub" display="http://pokemondb.net/pokedex/swinub" xr:uid="{00000000-0004-0000-0000-000035020000}"/>
    <hyperlink ref="C348" r:id="rId567" display="http://pokemondb.net/type/ice" xr:uid="{00000000-0004-0000-0000-000036020000}"/>
    <hyperlink ref="C349" r:id="rId568" display="http://pokemondb.net/type/ground" xr:uid="{00000000-0004-0000-0000-000037020000}"/>
    <hyperlink ref="B350" r:id="rId569" tooltip="View pokedex for #221 Piloswine" display="http://pokemondb.net/pokedex/piloswine" xr:uid="{00000000-0004-0000-0000-000038020000}"/>
    <hyperlink ref="C350" r:id="rId570" display="http://pokemondb.net/type/ice" xr:uid="{00000000-0004-0000-0000-000039020000}"/>
    <hyperlink ref="C351" r:id="rId571" display="http://pokemondb.net/type/ground" xr:uid="{00000000-0004-0000-0000-00003A020000}"/>
    <hyperlink ref="B352" r:id="rId572" tooltip="View pokedex for #222 Corsola" display="http://pokemondb.net/pokedex/corsola" xr:uid="{00000000-0004-0000-0000-00003B020000}"/>
    <hyperlink ref="C352" r:id="rId573" display="http://pokemondb.net/type/water" xr:uid="{00000000-0004-0000-0000-00003C020000}"/>
    <hyperlink ref="C353" r:id="rId574" display="http://pokemondb.net/type/rock" xr:uid="{00000000-0004-0000-0000-00003D020000}"/>
    <hyperlink ref="B354" r:id="rId575" tooltip="View pokedex for #223 Remoraid" display="http://pokemondb.net/pokedex/remoraid" xr:uid="{00000000-0004-0000-0000-00003E020000}"/>
    <hyperlink ref="C354" r:id="rId576" display="http://pokemondb.net/type/water" xr:uid="{00000000-0004-0000-0000-00003F020000}"/>
    <hyperlink ref="B355" r:id="rId577" tooltip="View pokedex for #224 Octillery" display="http://pokemondb.net/pokedex/octillery" xr:uid="{00000000-0004-0000-0000-000040020000}"/>
    <hyperlink ref="C355" r:id="rId578" display="http://pokemondb.net/type/water" xr:uid="{00000000-0004-0000-0000-000041020000}"/>
    <hyperlink ref="B356" r:id="rId579" tooltip="View pokedex for #225 Delibird" display="http://pokemondb.net/pokedex/delibird" xr:uid="{00000000-0004-0000-0000-000042020000}"/>
    <hyperlink ref="C356" r:id="rId580" display="http://pokemondb.net/type/ice" xr:uid="{00000000-0004-0000-0000-000043020000}"/>
    <hyperlink ref="C357" r:id="rId581" display="http://pokemondb.net/type/flying" xr:uid="{00000000-0004-0000-0000-000044020000}"/>
    <hyperlink ref="B358" r:id="rId582" tooltip="View pokedex for #226 Mantine" display="http://pokemondb.net/pokedex/mantine" xr:uid="{00000000-0004-0000-0000-000045020000}"/>
    <hyperlink ref="C358" r:id="rId583" display="http://pokemondb.net/type/water" xr:uid="{00000000-0004-0000-0000-000046020000}"/>
    <hyperlink ref="C359" r:id="rId584" display="http://pokemondb.net/type/flying" xr:uid="{00000000-0004-0000-0000-000047020000}"/>
    <hyperlink ref="B360" r:id="rId585" tooltip="View pokedex for #227 Skarmory" display="http://pokemondb.net/pokedex/skarmory" xr:uid="{00000000-0004-0000-0000-000048020000}"/>
    <hyperlink ref="C360" r:id="rId586" display="http://pokemondb.net/type/steel" xr:uid="{00000000-0004-0000-0000-000049020000}"/>
    <hyperlink ref="C361" r:id="rId587" display="http://pokemondb.net/type/flying" xr:uid="{00000000-0004-0000-0000-00004A020000}"/>
    <hyperlink ref="B362" r:id="rId588" tooltip="View pokedex for #228 Houndour" display="http://pokemondb.net/pokedex/houndour" xr:uid="{00000000-0004-0000-0000-00004B020000}"/>
    <hyperlink ref="C362" r:id="rId589" display="http://pokemondb.net/type/dark" xr:uid="{00000000-0004-0000-0000-00004C020000}"/>
    <hyperlink ref="C363" r:id="rId590" display="http://pokemondb.net/type/fire" xr:uid="{00000000-0004-0000-0000-00004D020000}"/>
    <hyperlink ref="B364" r:id="rId591" tooltip="View pokedex for #229 Houndoom" display="http://pokemondb.net/pokedex/houndoom" xr:uid="{00000000-0004-0000-0000-00004E020000}"/>
    <hyperlink ref="C364" r:id="rId592" display="http://pokemondb.net/type/dark" xr:uid="{00000000-0004-0000-0000-00004F020000}"/>
    <hyperlink ref="C365" r:id="rId593" display="http://pokemondb.net/type/fire" xr:uid="{00000000-0004-0000-0000-000050020000}"/>
    <hyperlink ref="B366" r:id="rId594" tooltip="View pokedex for #229 Houndoom" display="http://pokemondb.net/pokedex/houndoom" xr:uid="{00000000-0004-0000-0000-000051020000}"/>
    <hyperlink ref="C366" r:id="rId595" display="http://pokemondb.net/type/dark" xr:uid="{00000000-0004-0000-0000-000052020000}"/>
    <hyperlink ref="C367" r:id="rId596" display="http://pokemondb.net/type/fire" xr:uid="{00000000-0004-0000-0000-000053020000}"/>
    <hyperlink ref="B368" r:id="rId597" tooltip="View pokedex for #230 Kingdra" display="http://pokemondb.net/pokedex/kingdra" xr:uid="{00000000-0004-0000-0000-000054020000}"/>
    <hyperlink ref="C368" r:id="rId598" display="http://pokemondb.net/type/water" xr:uid="{00000000-0004-0000-0000-000055020000}"/>
    <hyperlink ref="C369" r:id="rId599" display="http://pokemondb.net/type/dragon" xr:uid="{00000000-0004-0000-0000-000056020000}"/>
    <hyperlink ref="B370" r:id="rId600" tooltip="View pokedex for #231 Phanpy" display="http://pokemondb.net/pokedex/phanpy" xr:uid="{00000000-0004-0000-0000-000057020000}"/>
    <hyperlink ref="C370" r:id="rId601" display="http://pokemondb.net/type/ground" xr:uid="{00000000-0004-0000-0000-000058020000}"/>
    <hyperlink ref="B371" r:id="rId602" tooltip="View pokedex for #232 Donphan" display="http://pokemondb.net/pokedex/donphan" xr:uid="{00000000-0004-0000-0000-000059020000}"/>
    <hyperlink ref="C371" r:id="rId603" display="http://pokemondb.net/type/ground" xr:uid="{00000000-0004-0000-0000-00005A020000}"/>
    <hyperlink ref="B372" r:id="rId604" tooltip="View pokedex for #233 Porygon2" display="http://pokemondb.net/pokedex/porygon2" xr:uid="{00000000-0004-0000-0000-00005B020000}"/>
    <hyperlink ref="C372" r:id="rId605" display="http://pokemondb.net/type/normal" xr:uid="{00000000-0004-0000-0000-00005C020000}"/>
    <hyperlink ref="B373" r:id="rId606" tooltip="View pokedex for #234 Stantler" display="http://pokemondb.net/pokedex/stantler" xr:uid="{00000000-0004-0000-0000-00005D020000}"/>
    <hyperlink ref="C373" r:id="rId607" display="http://pokemondb.net/type/normal" xr:uid="{00000000-0004-0000-0000-00005E020000}"/>
    <hyperlink ref="B375" r:id="rId608" tooltip="View pokedex for #235 Smeargle" display="http://pokemondb.net/pokedex/smeargle" xr:uid="{00000000-0004-0000-0000-00005F020000}"/>
    <hyperlink ref="C375" r:id="rId609" display="http://pokemondb.net/type/normal" xr:uid="{00000000-0004-0000-0000-000060020000}"/>
    <hyperlink ref="B377" r:id="rId610" tooltip="View pokedex for #236 Tyrogue" display="http://pokemondb.net/pokedex/tyrogue" xr:uid="{00000000-0004-0000-0000-000061020000}"/>
    <hyperlink ref="C377" r:id="rId611" display="http://pokemondb.net/type/fighting" xr:uid="{00000000-0004-0000-0000-000062020000}"/>
    <hyperlink ref="B378" r:id="rId612" tooltip="View pokedex for #237 Hitmontop" display="http://pokemondb.net/pokedex/hitmontop" xr:uid="{00000000-0004-0000-0000-000063020000}"/>
    <hyperlink ref="C378" r:id="rId613" display="http://pokemondb.net/type/fighting" xr:uid="{00000000-0004-0000-0000-000064020000}"/>
    <hyperlink ref="B379" r:id="rId614" tooltip="View pokedex for #238 Smoochum" display="http://pokemondb.net/pokedex/smoochum" xr:uid="{00000000-0004-0000-0000-000065020000}"/>
    <hyperlink ref="C379" r:id="rId615" display="http://pokemondb.net/type/ice" xr:uid="{00000000-0004-0000-0000-000066020000}"/>
    <hyperlink ref="C380" r:id="rId616" display="http://pokemondb.net/type/psychic" xr:uid="{00000000-0004-0000-0000-000067020000}"/>
    <hyperlink ref="B381" r:id="rId617" tooltip="View pokedex for #239 Elekid" display="http://pokemondb.net/pokedex/elekid" xr:uid="{00000000-0004-0000-0000-000068020000}"/>
    <hyperlink ref="C381" r:id="rId618" display="http://pokemondb.net/type/electric" xr:uid="{00000000-0004-0000-0000-000069020000}"/>
    <hyperlink ref="B382" r:id="rId619" tooltip="View pokedex for #240 Magby" display="http://pokemondb.net/pokedex/magby" xr:uid="{00000000-0004-0000-0000-00006A020000}"/>
    <hyperlink ref="C382" r:id="rId620" display="http://pokemondb.net/type/fire" xr:uid="{00000000-0004-0000-0000-00006B020000}"/>
    <hyperlink ref="B383" r:id="rId621" tooltip="View pokedex for #241 Miltank" display="http://pokemondb.net/pokedex/miltank" xr:uid="{00000000-0004-0000-0000-00006C020000}"/>
    <hyperlink ref="C383" r:id="rId622" display="http://pokemondb.net/type/normal" xr:uid="{00000000-0004-0000-0000-00006D020000}"/>
    <hyperlink ref="B384" r:id="rId623" tooltip="View pokedex for #242 Blissey" display="http://pokemondb.net/pokedex/blissey" xr:uid="{00000000-0004-0000-0000-00006E020000}"/>
    <hyperlink ref="C384" r:id="rId624" display="http://pokemondb.net/type/normal" xr:uid="{00000000-0004-0000-0000-00006F020000}"/>
    <hyperlink ref="B385" r:id="rId625" tooltip="View pokedex for #243 Raikou" display="http://pokemondb.net/pokedex/raikou" xr:uid="{00000000-0004-0000-0000-000070020000}"/>
    <hyperlink ref="C385" r:id="rId626" display="http://pokemondb.net/type/electric" xr:uid="{00000000-0004-0000-0000-000071020000}"/>
    <hyperlink ref="B386" r:id="rId627" tooltip="View pokedex for #244 Entei" display="http://pokemondb.net/pokedex/entei" xr:uid="{00000000-0004-0000-0000-000072020000}"/>
    <hyperlink ref="C386" r:id="rId628" display="http://pokemondb.net/type/fire" xr:uid="{00000000-0004-0000-0000-000073020000}"/>
    <hyperlink ref="B387" r:id="rId629" tooltip="View pokedex for #245 Suicune" display="http://pokemondb.net/pokedex/suicune" xr:uid="{00000000-0004-0000-0000-000074020000}"/>
    <hyperlink ref="C387" r:id="rId630" display="http://pokemondb.net/type/water" xr:uid="{00000000-0004-0000-0000-000075020000}"/>
    <hyperlink ref="B388" r:id="rId631" tooltip="View pokedex for #246 Larvitar" display="http://pokemondb.net/pokedex/larvitar" xr:uid="{00000000-0004-0000-0000-000076020000}"/>
    <hyperlink ref="C388" r:id="rId632" display="http://pokemondb.net/type/rock" xr:uid="{00000000-0004-0000-0000-000077020000}"/>
    <hyperlink ref="C389" r:id="rId633" display="http://pokemondb.net/type/ground" xr:uid="{00000000-0004-0000-0000-000078020000}"/>
    <hyperlink ref="B390" r:id="rId634" tooltip="View pokedex for #247 Pupitar" display="http://pokemondb.net/pokedex/pupitar" xr:uid="{00000000-0004-0000-0000-000079020000}"/>
    <hyperlink ref="C390" r:id="rId635" display="http://pokemondb.net/type/rock" xr:uid="{00000000-0004-0000-0000-00007A020000}"/>
    <hyperlink ref="C391" r:id="rId636" display="http://pokemondb.net/type/ground" xr:uid="{00000000-0004-0000-0000-00007B020000}"/>
    <hyperlink ref="B392" r:id="rId637" tooltip="View pokedex for #248 Tyranitar" display="http://pokemondb.net/pokedex/tyranitar" xr:uid="{00000000-0004-0000-0000-00007C020000}"/>
    <hyperlink ref="C392" r:id="rId638" display="http://pokemondb.net/type/rock" xr:uid="{00000000-0004-0000-0000-00007D020000}"/>
    <hyperlink ref="C393" r:id="rId639" display="http://pokemondb.net/type/dark" xr:uid="{00000000-0004-0000-0000-00007E020000}"/>
    <hyperlink ref="C394" r:id="rId640" display="http://pokemondb.net/type/rock" xr:uid="{00000000-0004-0000-0000-00007F020000}"/>
    <hyperlink ref="C395" r:id="rId641" display="http://pokemondb.net/type/dark" xr:uid="{00000000-0004-0000-0000-000080020000}"/>
    <hyperlink ref="B396" r:id="rId642" tooltip="View pokedex for #249 Lugia" display="http://pokemondb.net/pokedex/lugia" xr:uid="{00000000-0004-0000-0000-000081020000}"/>
    <hyperlink ref="C396" r:id="rId643" display="http://pokemondb.net/type/psychic" xr:uid="{00000000-0004-0000-0000-000082020000}"/>
    <hyperlink ref="C397" r:id="rId644" display="http://pokemondb.net/type/flying" xr:uid="{00000000-0004-0000-0000-000083020000}"/>
    <hyperlink ref="B398" r:id="rId645" tooltip="View pokedex for #250 Ho-oh" display="http://pokemondb.net/pokedex/ho-oh" xr:uid="{00000000-0004-0000-0000-000084020000}"/>
    <hyperlink ref="C398" r:id="rId646" display="http://pokemondb.net/type/fire" xr:uid="{00000000-0004-0000-0000-000085020000}"/>
    <hyperlink ref="C399" r:id="rId647" display="http://pokemondb.net/type/flying" xr:uid="{00000000-0004-0000-0000-000086020000}"/>
    <hyperlink ref="B400" r:id="rId648" tooltip="View pokedex for #251 Celebi" display="http://pokemondb.net/pokedex/celebi" xr:uid="{00000000-0004-0000-0000-000087020000}"/>
    <hyperlink ref="C400" r:id="rId649" display="http://pokemondb.net/type/psychic" xr:uid="{00000000-0004-0000-0000-000088020000}"/>
    <hyperlink ref="C401" r:id="rId650" display="http://pokemondb.net/type/grass" xr:uid="{00000000-0004-0000-0000-000089020000}"/>
    <hyperlink ref="B402" r:id="rId651" tooltip="View pokedex for #252 Treecko" display="http://pokemondb.net/pokedex/treecko" xr:uid="{00000000-0004-0000-0000-00008A020000}"/>
    <hyperlink ref="C402" r:id="rId652" display="http://pokemondb.net/type/grass" xr:uid="{00000000-0004-0000-0000-00008B020000}"/>
    <hyperlink ref="B403" r:id="rId653" tooltip="View pokedex for #253 Grovyle" display="http://pokemondb.net/pokedex/grovyle" xr:uid="{00000000-0004-0000-0000-00008C020000}"/>
    <hyperlink ref="C403" r:id="rId654" display="http://pokemondb.net/type/grass" xr:uid="{00000000-0004-0000-0000-00008D020000}"/>
    <hyperlink ref="B404" r:id="rId655" tooltip="View pokedex for #254 Sceptile" display="http://pokemondb.net/pokedex/sceptile" xr:uid="{00000000-0004-0000-0000-00008E020000}"/>
    <hyperlink ref="C404" r:id="rId656" display="http://pokemondb.net/type/grass" xr:uid="{00000000-0004-0000-0000-00008F020000}"/>
    <hyperlink ref="B405" r:id="rId657" tooltip="View pokedex for #255 Torchic" display="http://pokemondb.net/pokedex/torchic" xr:uid="{00000000-0004-0000-0000-000090020000}"/>
    <hyperlink ref="C405" r:id="rId658" display="http://pokemondb.net/type/fire" xr:uid="{00000000-0004-0000-0000-000091020000}"/>
    <hyperlink ref="B406" r:id="rId659" tooltip="View pokedex for #256 Combusken" display="http://pokemondb.net/pokedex/combusken" xr:uid="{00000000-0004-0000-0000-000092020000}"/>
    <hyperlink ref="C406" r:id="rId660" display="http://pokemondb.net/type/fire" xr:uid="{00000000-0004-0000-0000-000093020000}"/>
    <hyperlink ref="C407" r:id="rId661" display="http://pokemondb.net/type/fighting" xr:uid="{00000000-0004-0000-0000-000094020000}"/>
    <hyperlink ref="B408" r:id="rId662" tooltip="View pokedex for #257 Blaziken" display="http://pokemondb.net/pokedex/blaziken" xr:uid="{00000000-0004-0000-0000-000095020000}"/>
    <hyperlink ref="C408" r:id="rId663" display="http://pokemondb.net/type/fire" xr:uid="{00000000-0004-0000-0000-000096020000}"/>
    <hyperlink ref="C409" r:id="rId664" display="http://pokemondb.net/type/fighting" xr:uid="{00000000-0004-0000-0000-000097020000}"/>
    <hyperlink ref="C410" r:id="rId665" display="http://pokemondb.net/type/fire" xr:uid="{00000000-0004-0000-0000-000098020000}"/>
    <hyperlink ref="C411" r:id="rId666" display="http://pokemondb.net/type/fighting" xr:uid="{00000000-0004-0000-0000-000099020000}"/>
    <hyperlink ref="B412" r:id="rId667" tooltip="View pokedex for #258 Mudkip" display="http://pokemondb.net/pokedex/mudkip" xr:uid="{00000000-0004-0000-0000-00009A020000}"/>
    <hyperlink ref="C412" r:id="rId668" display="http://pokemondb.net/type/water" xr:uid="{00000000-0004-0000-0000-00009B020000}"/>
    <hyperlink ref="B413" r:id="rId669" tooltip="View pokedex for #259 Marshtomp" display="http://pokemondb.net/pokedex/marshtomp" xr:uid="{00000000-0004-0000-0000-00009C020000}"/>
    <hyperlink ref="C413" r:id="rId670" display="http://pokemondb.net/type/water" xr:uid="{00000000-0004-0000-0000-00009D020000}"/>
    <hyperlink ref="C414" r:id="rId671" display="http://pokemondb.net/type/ground" xr:uid="{00000000-0004-0000-0000-00009E020000}"/>
    <hyperlink ref="B415" r:id="rId672" tooltip="View pokedex for #260 Swampert" display="http://pokemondb.net/pokedex/swampert" xr:uid="{00000000-0004-0000-0000-00009F020000}"/>
    <hyperlink ref="C415" r:id="rId673" display="http://pokemondb.net/type/water" xr:uid="{00000000-0004-0000-0000-0000A0020000}"/>
    <hyperlink ref="C416" r:id="rId674" display="http://pokemondb.net/type/ground" xr:uid="{00000000-0004-0000-0000-0000A1020000}"/>
    <hyperlink ref="B417" r:id="rId675" tooltip="View pokedex for #261 Poochyena" display="http://pokemondb.net/pokedex/poochyena" xr:uid="{00000000-0004-0000-0000-0000A2020000}"/>
    <hyperlink ref="C417" r:id="rId676" display="http://pokemondb.net/type/dark" xr:uid="{00000000-0004-0000-0000-0000A3020000}"/>
    <hyperlink ref="B418" r:id="rId677" tooltip="View pokedex for #262 Mightyena" display="http://pokemondb.net/pokedex/mightyena" xr:uid="{00000000-0004-0000-0000-0000A4020000}"/>
    <hyperlink ref="C418" r:id="rId678" display="http://pokemondb.net/type/dark" xr:uid="{00000000-0004-0000-0000-0000A5020000}"/>
    <hyperlink ref="B421" r:id="rId679" tooltip="View pokedex for #263 Zigzagoon" display="http://pokemondb.net/pokedex/zigzagoon" xr:uid="{00000000-0004-0000-0000-0000A6020000}"/>
    <hyperlink ref="C421" r:id="rId680" display="http://pokemondb.net/type/normal" xr:uid="{00000000-0004-0000-0000-0000A7020000}"/>
    <hyperlink ref="B422" r:id="rId681" tooltip="View pokedex for #264 Linoone" display="http://pokemondb.net/pokedex/linoone" xr:uid="{00000000-0004-0000-0000-0000A8020000}"/>
    <hyperlink ref="C422" r:id="rId682" display="http://pokemondb.net/type/normal" xr:uid="{00000000-0004-0000-0000-0000A9020000}"/>
    <hyperlink ref="B423" r:id="rId683" tooltip="View pokedex for #265 Wurmple" display="http://pokemondb.net/pokedex/wurmple" xr:uid="{00000000-0004-0000-0000-0000AA020000}"/>
    <hyperlink ref="C423" r:id="rId684" display="http://pokemondb.net/type/bug" xr:uid="{00000000-0004-0000-0000-0000AB020000}"/>
    <hyperlink ref="B424" r:id="rId685" tooltip="View pokedex for #266 Silcoon" display="http://pokemondb.net/pokedex/silcoon" xr:uid="{00000000-0004-0000-0000-0000AC020000}"/>
    <hyperlink ref="C424" r:id="rId686" display="http://pokemondb.net/type/bug" xr:uid="{00000000-0004-0000-0000-0000AD020000}"/>
    <hyperlink ref="B425" r:id="rId687" tooltip="View pokedex for #267 Beautifly" display="http://pokemondb.net/pokedex/beautifly" xr:uid="{00000000-0004-0000-0000-0000AE020000}"/>
    <hyperlink ref="C425" r:id="rId688" display="http://pokemondb.net/type/bug" xr:uid="{00000000-0004-0000-0000-0000AF020000}"/>
    <hyperlink ref="C426" r:id="rId689" display="http://pokemondb.net/type/flying" xr:uid="{00000000-0004-0000-0000-0000B0020000}"/>
    <hyperlink ref="B427" r:id="rId690" tooltip="View pokedex for #268 Cascoon" display="http://pokemondb.net/pokedex/cascoon" xr:uid="{00000000-0004-0000-0000-0000B1020000}"/>
    <hyperlink ref="C427" r:id="rId691" display="http://pokemondb.net/type/bug" xr:uid="{00000000-0004-0000-0000-0000B2020000}"/>
    <hyperlink ref="B428" r:id="rId692" tooltip="View pokedex for #269 Dustox" display="http://pokemondb.net/pokedex/dustox" xr:uid="{00000000-0004-0000-0000-0000B3020000}"/>
    <hyperlink ref="C428" r:id="rId693" display="http://pokemondb.net/type/bug" xr:uid="{00000000-0004-0000-0000-0000B4020000}"/>
    <hyperlink ref="C429" r:id="rId694" display="http://pokemondb.net/type/poison" xr:uid="{00000000-0004-0000-0000-0000B5020000}"/>
    <hyperlink ref="B430" r:id="rId695" tooltip="View pokedex for #270 Lotad" display="http://pokemondb.net/pokedex/lotad" xr:uid="{00000000-0004-0000-0000-0000B6020000}"/>
    <hyperlink ref="C430" r:id="rId696" display="http://pokemondb.net/type/water" xr:uid="{00000000-0004-0000-0000-0000B7020000}"/>
    <hyperlink ref="C431" r:id="rId697" display="http://pokemondb.net/type/grass" xr:uid="{00000000-0004-0000-0000-0000B8020000}"/>
    <hyperlink ref="B432" r:id="rId698" tooltip="View pokedex for #271 Lombre" display="http://pokemondb.net/pokedex/lombre" xr:uid="{00000000-0004-0000-0000-0000B9020000}"/>
    <hyperlink ref="C432" r:id="rId699" display="http://pokemondb.net/type/water" xr:uid="{00000000-0004-0000-0000-0000BA020000}"/>
    <hyperlink ref="C433" r:id="rId700" display="http://pokemondb.net/type/grass" xr:uid="{00000000-0004-0000-0000-0000BB020000}"/>
    <hyperlink ref="B434" r:id="rId701" tooltip="View pokedex for #272 Ludicolo" display="http://pokemondb.net/pokedex/ludicolo" xr:uid="{00000000-0004-0000-0000-0000BC020000}"/>
    <hyperlink ref="C434" r:id="rId702" display="http://pokemondb.net/type/water" xr:uid="{00000000-0004-0000-0000-0000BD020000}"/>
    <hyperlink ref="C435" r:id="rId703" display="http://pokemondb.net/type/grass" xr:uid="{00000000-0004-0000-0000-0000BE020000}"/>
    <hyperlink ref="B436" r:id="rId704" tooltip="View pokedex for #273 Seedot" display="http://pokemondb.net/pokedex/seedot" xr:uid="{00000000-0004-0000-0000-0000BF020000}"/>
    <hyperlink ref="C436" r:id="rId705" display="http://pokemondb.net/type/grass" xr:uid="{00000000-0004-0000-0000-0000C0020000}"/>
    <hyperlink ref="B437" r:id="rId706" tooltip="View pokedex for #274 Nuzleaf" display="http://pokemondb.net/pokedex/nuzleaf" xr:uid="{00000000-0004-0000-0000-0000C1020000}"/>
    <hyperlink ref="C437" r:id="rId707" display="http://pokemondb.net/type/grass" xr:uid="{00000000-0004-0000-0000-0000C2020000}"/>
    <hyperlink ref="C438" r:id="rId708" display="http://pokemondb.net/type/dark" xr:uid="{00000000-0004-0000-0000-0000C3020000}"/>
    <hyperlink ref="B439" r:id="rId709" tooltip="View pokedex for #275 Shiftry" display="http://pokemondb.net/pokedex/shiftry" xr:uid="{00000000-0004-0000-0000-0000C4020000}"/>
    <hyperlink ref="C439" r:id="rId710" display="http://pokemondb.net/type/grass" xr:uid="{00000000-0004-0000-0000-0000C5020000}"/>
    <hyperlink ref="C440" r:id="rId711" display="http://pokemondb.net/type/dark" xr:uid="{00000000-0004-0000-0000-0000C6020000}"/>
    <hyperlink ref="B441" r:id="rId712" tooltip="View pokedex for #276 Taillow" display="http://pokemondb.net/pokedex/taillow" xr:uid="{00000000-0004-0000-0000-0000C7020000}"/>
    <hyperlink ref="C441" r:id="rId713" display="http://pokemondb.net/type/normal" xr:uid="{00000000-0004-0000-0000-0000C8020000}"/>
    <hyperlink ref="C822" r:id="rId714" display="http://pokemondb.net/type/flying" xr:uid="{00000000-0004-0000-0000-0000C9020000}"/>
    <hyperlink ref="B442" r:id="rId715" tooltip="View pokedex for #277 Swellow" display="http://pokemondb.net/pokedex/swellow" xr:uid="{00000000-0004-0000-0000-0000CA020000}"/>
    <hyperlink ref="C442" r:id="rId716" display="http://pokemondb.net/type/normal" xr:uid="{00000000-0004-0000-0000-0000CB020000}"/>
    <hyperlink ref="C824" r:id="rId717" display="http://pokemondb.net/type/flying" xr:uid="{00000000-0004-0000-0000-0000CC020000}"/>
    <hyperlink ref="B443" r:id="rId718" tooltip="View pokedex for #278 Wingull" display="http://pokemondb.net/pokedex/wingull" xr:uid="{00000000-0004-0000-0000-0000CD020000}"/>
    <hyperlink ref="C443" r:id="rId719" display="http://pokemondb.net/type/water" xr:uid="{00000000-0004-0000-0000-0000CE020000}"/>
    <hyperlink ref="C444" r:id="rId720" display="http://pokemondb.net/type/flying" xr:uid="{00000000-0004-0000-0000-0000CF020000}"/>
    <hyperlink ref="B445" r:id="rId721" tooltip="View pokedex for #279 Pelipper" display="http://pokemondb.net/pokedex/pelipper" xr:uid="{00000000-0004-0000-0000-0000D0020000}"/>
    <hyperlink ref="C445" r:id="rId722" display="http://pokemondb.net/type/water" xr:uid="{00000000-0004-0000-0000-0000D1020000}"/>
    <hyperlink ref="C446" r:id="rId723" display="http://pokemondb.net/type/flying" xr:uid="{00000000-0004-0000-0000-0000D2020000}"/>
    <hyperlink ref="B447" r:id="rId724" tooltip="View pokedex for #280 Ralts" display="http://pokemondb.net/pokedex/ralts" xr:uid="{00000000-0004-0000-0000-0000D3020000}"/>
    <hyperlink ref="C447" r:id="rId725" display="http://pokemondb.net/type/psychic" xr:uid="{00000000-0004-0000-0000-0000D4020000}"/>
    <hyperlink ref="C1132" r:id="rId726" display="http://pokemondb.net/type/fairy" xr:uid="{00000000-0004-0000-0000-0000D5020000}"/>
    <hyperlink ref="B448" r:id="rId727" tooltip="View pokedex for #281 Kirlia" display="http://pokemondb.net/pokedex/kirlia" xr:uid="{00000000-0004-0000-0000-0000D6020000}"/>
    <hyperlink ref="C448" r:id="rId728" display="http://pokemondb.net/type/psychic" xr:uid="{00000000-0004-0000-0000-0000D7020000}"/>
    <hyperlink ref="C823" r:id="rId729" display="http://pokemondb.net/type/fairy" xr:uid="{00000000-0004-0000-0000-0000D8020000}"/>
    <hyperlink ref="B449" r:id="rId730" tooltip="View pokedex for #282 Gardevoir" display="http://pokemondb.net/pokedex/gardevoir" xr:uid="{00000000-0004-0000-0000-0000D9020000}"/>
    <hyperlink ref="C449" r:id="rId731" display="http://pokemondb.net/type/psychic" xr:uid="{00000000-0004-0000-0000-0000DA020000}"/>
    <hyperlink ref="C677" r:id="rId732" display="http://pokemondb.net/type/fairy" xr:uid="{00000000-0004-0000-0000-0000DB020000}"/>
    <hyperlink ref="C450" r:id="rId733" display="http://pokemondb.net/type/psychic" xr:uid="{00000000-0004-0000-0000-0000DC020000}"/>
    <hyperlink ref="C475" r:id="rId734" display="http://pokemondb.net/type/fairy" xr:uid="{00000000-0004-0000-0000-0000DD020000}"/>
    <hyperlink ref="B451" r:id="rId735" tooltip="View pokedex for #283 Surskit" display="http://pokemondb.net/pokedex/surskit" xr:uid="{00000000-0004-0000-0000-0000DE020000}"/>
    <hyperlink ref="C451" r:id="rId736" display="http://pokemondb.net/type/bug" xr:uid="{00000000-0004-0000-0000-0000DF020000}"/>
    <hyperlink ref="C452" r:id="rId737" display="http://pokemondb.net/type/water" xr:uid="{00000000-0004-0000-0000-0000E0020000}"/>
    <hyperlink ref="B453" r:id="rId738" tooltip="View pokedex for #284 Masquerain" display="http://pokemondb.net/pokedex/masquerain" xr:uid="{00000000-0004-0000-0000-0000E1020000}"/>
    <hyperlink ref="C453" r:id="rId739" display="http://pokemondb.net/type/bug" xr:uid="{00000000-0004-0000-0000-0000E2020000}"/>
    <hyperlink ref="C454" r:id="rId740" display="http://pokemondb.net/type/flying" xr:uid="{00000000-0004-0000-0000-0000E3020000}"/>
    <hyperlink ref="B455" r:id="rId741" tooltip="View pokedex for #285 Shroomish" display="http://pokemondb.net/pokedex/shroomish" xr:uid="{00000000-0004-0000-0000-0000E4020000}"/>
    <hyperlink ref="C455" r:id="rId742" display="http://pokemondb.net/type/grass" xr:uid="{00000000-0004-0000-0000-0000E5020000}"/>
    <hyperlink ref="B456" r:id="rId743" tooltip="View pokedex for #286 Breloom" display="http://pokemondb.net/pokedex/breloom" xr:uid="{00000000-0004-0000-0000-0000E6020000}"/>
    <hyperlink ref="C456" r:id="rId744" display="http://pokemondb.net/type/grass" xr:uid="{00000000-0004-0000-0000-0000E7020000}"/>
    <hyperlink ref="C457" r:id="rId745" display="http://pokemondb.net/type/fighting" xr:uid="{00000000-0004-0000-0000-0000E8020000}"/>
    <hyperlink ref="B458" r:id="rId746" tooltip="View pokedex for #287 Slakoth" display="http://pokemondb.net/pokedex/slakoth" xr:uid="{00000000-0004-0000-0000-0000E9020000}"/>
    <hyperlink ref="C458" r:id="rId747" display="http://pokemondb.net/type/normal" xr:uid="{00000000-0004-0000-0000-0000EA020000}"/>
    <hyperlink ref="B459" r:id="rId748" tooltip="View pokedex for #288 Vigoroth" display="http://pokemondb.net/pokedex/vigoroth" xr:uid="{00000000-0004-0000-0000-0000EB020000}"/>
    <hyperlink ref="C459" r:id="rId749" display="http://pokemondb.net/type/normal" xr:uid="{00000000-0004-0000-0000-0000EC020000}"/>
    <hyperlink ref="B460" r:id="rId750" tooltip="View pokedex for #289 Slaking" display="http://pokemondb.net/pokedex/slaking" xr:uid="{00000000-0004-0000-0000-0000ED020000}"/>
    <hyperlink ref="C460" r:id="rId751" display="http://pokemondb.net/type/normal" xr:uid="{00000000-0004-0000-0000-0000EE020000}"/>
    <hyperlink ref="B461" r:id="rId752" tooltip="View pokedex for #290 Nincada" display="http://pokemondb.net/pokedex/nincada" xr:uid="{00000000-0004-0000-0000-0000EF020000}"/>
    <hyperlink ref="C461" r:id="rId753" display="http://pokemondb.net/type/bug" xr:uid="{00000000-0004-0000-0000-0000F0020000}"/>
    <hyperlink ref="C462" r:id="rId754" display="http://pokemondb.net/type/ground" xr:uid="{00000000-0004-0000-0000-0000F1020000}"/>
    <hyperlink ref="B463" r:id="rId755" tooltip="View pokedex for #291 Ninjask" display="http://pokemondb.net/pokedex/ninjask" xr:uid="{00000000-0004-0000-0000-0000F2020000}"/>
    <hyperlink ref="C463" r:id="rId756" display="http://pokemondb.net/type/bug" xr:uid="{00000000-0004-0000-0000-0000F3020000}"/>
    <hyperlink ref="C464" r:id="rId757" display="http://pokemondb.net/type/flying" xr:uid="{00000000-0004-0000-0000-0000F4020000}"/>
    <hyperlink ref="B465" r:id="rId758" tooltip="View pokedex for #292 Shedinja" display="http://pokemondb.net/pokedex/shedinja" xr:uid="{00000000-0004-0000-0000-0000F5020000}"/>
    <hyperlink ref="C465" r:id="rId759" display="http://pokemondb.net/type/bug" xr:uid="{00000000-0004-0000-0000-0000F6020000}"/>
    <hyperlink ref="C466" r:id="rId760" display="http://pokemondb.net/type/ghost" xr:uid="{00000000-0004-0000-0000-0000F7020000}"/>
    <hyperlink ref="B467" r:id="rId761" tooltip="View pokedex for #293 Whismur" display="http://pokemondb.net/pokedex/whismur" xr:uid="{00000000-0004-0000-0000-0000F8020000}"/>
    <hyperlink ref="C467" r:id="rId762" display="http://pokemondb.net/type/normal" xr:uid="{00000000-0004-0000-0000-0000F9020000}"/>
    <hyperlink ref="B468" r:id="rId763" tooltip="View pokedex for #294 Loudred" display="http://pokemondb.net/pokedex/loudred" xr:uid="{00000000-0004-0000-0000-0000FA020000}"/>
    <hyperlink ref="C468" r:id="rId764" display="http://pokemondb.net/type/normal" xr:uid="{00000000-0004-0000-0000-0000FB020000}"/>
    <hyperlink ref="B469" r:id="rId765" tooltip="View pokedex for #295 Exploud" display="http://pokemondb.net/pokedex/exploud" xr:uid="{00000000-0004-0000-0000-0000FC020000}"/>
    <hyperlink ref="C469" r:id="rId766" display="http://pokemondb.net/type/normal" xr:uid="{00000000-0004-0000-0000-0000FD020000}"/>
    <hyperlink ref="B470" r:id="rId767" tooltip="View pokedex for #296 Makuhita" display="http://pokemondb.net/pokedex/makuhita" xr:uid="{00000000-0004-0000-0000-0000FE020000}"/>
    <hyperlink ref="C470" r:id="rId768" display="http://pokemondb.net/type/fighting" xr:uid="{00000000-0004-0000-0000-0000FF020000}"/>
    <hyperlink ref="B471" r:id="rId769" tooltip="View pokedex for #297 Hariyama" display="http://pokemondb.net/pokedex/hariyama" xr:uid="{00000000-0004-0000-0000-000000030000}"/>
    <hyperlink ref="C471" r:id="rId770" display="http://pokemondb.net/type/fighting" xr:uid="{00000000-0004-0000-0000-000001030000}"/>
    <hyperlink ref="B472" r:id="rId771" tooltip="View pokedex for #298 Azurill" display="http://pokemondb.net/pokedex/azurill" xr:uid="{00000000-0004-0000-0000-000002030000}"/>
    <hyperlink ref="C472" r:id="rId772" display="http://pokemondb.net/type/normal" xr:uid="{00000000-0004-0000-0000-000003030000}"/>
    <hyperlink ref="C635" r:id="rId773" display="http://pokemondb.net/type/fairy" xr:uid="{00000000-0004-0000-0000-000004030000}"/>
    <hyperlink ref="B474" r:id="rId774" tooltip="View pokedex for #299 Nosepass" display="http://pokemondb.net/pokedex/nosepass" xr:uid="{00000000-0004-0000-0000-000005030000}"/>
    <hyperlink ref="C474" r:id="rId775" display="http://pokemondb.net/type/rock" xr:uid="{00000000-0004-0000-0000-000006030000}"/>
    <hyperlink ref="B476" r:id="rId776" tooltip="View pokedex for #300 Skitty" display="http://pokemondb.net/pokedex/skitty" xr:uid="{00000000-0004-0000-0000-000007030000}"/>
    <hyperlink ref="C476" r:id="rId777" display="http://pokemondb.net/type/normal" xr:uid="{00000000-0004-0000-0000-000008030000}"/>
    <hyperlink ref="B477" r:id="rId778" tooltip="View pokedex for #301 Delcatty" display="http://pokemondb.net/pokedex/delcatty" xr:uid="{00000000-0004-0000-0000-000009030000}"/>
    <hyperlink ref="C477" r:id="rId779" display="http://pokemondb.net/type/normal" xr:uid="{00000000-0004-0000-0000-00000A030000}"/>
    <hyperlink ref="B478" r:id="rId780" tooltip="View pokedex for #302 Sableye" display="http://pokemondb.net/pokedex/sableye" xr:uid="{00000000-0004-0000-0000-00000B030000}"/>
    <hyperlink ref="C478" r:id="rId781" display="http://pokemondb.net/type/dark" xr:uid="{00000000-0004-0000-0000-00000C030000}"/>
    <hyperlink ref="C479" r:id="rId782" display="http://pokemondb.net/type/ghost" xr:uid="{00000000-0004-0000-0000-00000D030000}"/>
    <hyperlink ref="B481" r:id="rId783" tooltip="View pokedex for #303 Mawile" display="http://pokemondb.net/pokedex/mawile" xr:uid="{00000000-0004-0000-0000-00000E030000}"/>
    <hyperlink ref="C481" r:id="rId784" display="http://pokemondb.net/type/steel" xr:uid="{00000000-0004-0000-0000-00000F030000}"/>
    <hyperlink ref="C321" r:id="rId785" display="http://pokemondb.net/type/fairy" xr:uid="{00000000-0004-0000-0000-000010030000}"/>
    <hyperlink ref="C483" r:id="rId786" display="http://pokemondb.net/type/steel" xr:uid="{00000000-0004-0000-0000-000011030000}"/>
    <hyperlink ref="C484" r:id="rId787" display="http://pokemondb.net/type/fairy" xr:uid="{00000000-0004-0000-0000-000012030000}"/>
    <hyperlink ref="B485" r:id="rId788" tooltip="View pokedex for #304 Aron" display="http://pokemondb.net/pokedex/aron" xr:uid="{00000000-0004-0000-0000-000013030000}"/>
    <hyperlink ref="C485" r:id="rId789" display="http://pokemondb.net/type/steel" xr:uid="{00000000-0004-0000-0000-000014030000}"/>
    <hyperlink ref="C486" r:id="rId790" display="http://pokemondb.net/type/rock" xr:uid="{00000000-0004-0000-0000-000015030000}"/>
    <hyperlink ref="B487" r:id="rId791" tooltip="View pokedex for #305 Lairon" display="http://pokemondb.net/pokedex/lairon" xr:uid="{00000000-0004-0000-0000-000016030000}"/>
    <hyperlink ref="C487" r:id="rId792" display="http://pokemondb.net/type/steel" xr:uid="{00000000-0004-0000-0000-000017030000}"/>
    <hyperlink ref="C488" r:id="rId793" display="http://pokemondb.net/type/rock" xr:uid="{00000000-0004-0000-0000-000018030000}"/>
    <hyperlink ref="B489" r:id="rId794" tooltip="View pokedex for #306 Aggron" display="http://pokemondb.net/pokedex/aggron" xr:uid="{00000000-0004-0000-0000-000019030000}"/>
    <hyperlink ref="C489" r:id="rId795" display="http://pokemondb.net/type/steel" xr:uid="{00000000-0004-0000-0000-00001A030000}"/>
    <hyperlink ref="C490" r:id="rId796" display="http://pokemondb.net/type/rock" xr:uid="{00000000-0004-0000-0000-00001B030000}"/>
    <hyperlink ref="C491" r:id="rId797" display="http://pokemondb.net/type/steel" xr:uid="{00000000-0004-0000-0000-00001C030000}"/>
    <hyperlink ref="B493" r:id="rId798" tooltip="View pokedex for #307 Meditite" display="http://pokemondb.net/pokedex/meditite" xr:uid="{00000000-0004-0000-0000-00001D030000}"/>
    <hyperlink ref="C493" r:id="rId799" display="http://pokemondb.net/type/fighting" xr:uid="{00000000-0004-0000-0000-00001E030000}"/>
    <hyperlink ref="C494" r:id="rId800" display="http://pokemondb.net/type/psychic" xr:uid="{00000000-0004-0000-0000-00001F030000}"/>
    <hyperlink ref="B495" r:id="rId801" tooltip="View pokedex for #308 Medicham" display="http://pokemondb.net/pokedex/medicham" xr:uid="{00000000-0004-0000-0000-000020030000}"/>
    <hyperlink ref="C495" r:id="rId802" display="http://pokemondb.net/type/fighting" xr:uid="{00000000-0004-0000-0000-000021030000}"/>
    <hyperlink ref="C496" r:id="rId803" display="http://pokemondb.net/type/psychic" xr:uid="{00000000-0004-0000-0000-000022030000}"/>
    <hyperlink ref="C497" r:id="rId804" display="http://pokemondb.net/type/fighting" xr:uid="{00000000-0004-0000-0000-000023030000}"/>
    <hyperlink ref="C498" r:id="rId805" display="http://pokemondb.net/type/psychic" xr:uid="{00000000-0004-0000-0000-000024030000}"/>
    <hyperlink ref="B499" r:id="rId806" tooltip="View pokedex for #309 Electrike" display="http://pokemondb.net/pokedex/electrike" xr:uid="{00000000-0004-0000-0000-000025030000}"/>
    <hyperlink ref="C499" r:id="rId807" display="http://pokemondb.net/type/electric" xr:uid="{00000000-0004-0000-0000-000026030000}"/>
    <hyperlink ref="B500" r:id="rId808" tooltip="View pokedex for #310 Manectric" display="http://pokemondb.net/pokedex/manectric" xr:uid="{00000000-0004-0000-0000-000027030000}"/>
    <hyperlink ref="C500" r:id="rId809" display="http://pokemondb.net/type/electric" xr:uid="{00000000-0004-0000-0000-000028030000}"/>
    <hyperlink ref="C501" r:id="rId810" display="http://pokemondb.net/type/electric" xr:uid="{00000000-0004-0000-0000-000029030000}"/>
    <hyperlink ref="B503" r:id="rId811" tooltip="View pokedex for #311 Plusle" display="http://pokemondb.net/pokedex/plusle" xr:uid="{00000000-0004-0000-0000-00002A030000}"/>
    <hyperlink ref="C503" r:id="rId812" display="http://pokemondb.net/type/electric" xr:uid="{00000000-0004-0000-0000-00002B030000}"/>
    <hyperlink ref="B504" r:id="rId813" tooltip="View pokedex for #312 Minun" display="http://pokemondb.net/pokedex/minun" xr:uid="{00000000-0004-0000-0000-00002C030000}"/>
    <hyperlink ref="C504" r:id="rId814" display="http://pokemondb.net/type/electric" xr:uid="{00000000-0004-0000-0000-00002D030000}"/>
    <hyperlink ref="B505" r:id="rId815" tooltip="View pokedex for #313 Volbeat" display="http://pokemondb.net/pokedex/volbeat" xr:uid="{00000000-0004-0000-0000-00002E030000}"/>
    <hyperlink ref="C505" r:id="rId816" display="http://pokemondb.net/type/bug" xr:uid="{00000000-0004-0000-0000-00002F030000}"/>
    <hyperlink ref="B506" r:id="rId817" tooltip="View pokedex for #314 Illumise" display="http://pokemondb.net/pokedex/illumise" xr:uid="{00000000-0004-0000-0000-000030030000}"/>
    <hyperlink ref="C506" r:id="rId818" display="http://pokemondb.net/type/bug" xr:uid="{00000000-0004-0000-0000-000031030000}"/>
    <hyperlink ref="B507" r:id="rId819" tooltip="View pokedex for #315 Roselia" display="http://pokemondb.net/pokedex/roselia" xr:uid="{00000000-0004-0000-0000-000032030000}"/>
    <hyperlink ref="C507" r:id="rId820" display="http://pokemondb.net/type/grass" xr:uid="{00000000-0004-0000-0000-000033030000}"/>
    <hyperlink ref="C508" r:id="rId821" display="http://pokemondb.net/type/poison" xr:uid="{00000000-0004-0000-0000-000034030000}"/>
    <hyperlink ref="B509" r:id="rId822" tooltip="View pokedex for #316 Gulpin" display="http://pokemondb.net/pokedex/gulpin" xr:uid="{00000000-0004-0000-0000-000035030000}"/>
    <hyperlink ref="C509" r:id="rId823" display="http://pokemondb.net/type/poison" xr:uid="{00000000-0004-0000-0000-000036030000}"/>
    <hyperlink ref="B510" r:id="rId824" tooltip="View pokedex for #317 Swalot" display="http://pokemondb.net/pokedex/swalot" xr:uid="{00000000-0004-0000-0000-000037030000}"/>
    <hyperlink ref="C510" r:id="rId825" display="http://pokemondb.net/type/poison" xr:uid="{00000000-0004-0000-0000-000038030000}"/>
    <hyperlink ref="B511" r:id="rId826" tooltip="View pokedex for #318 Carvanha" display="http://pokemondb.net/pokedex/carvanha" xr:uid="{00000000-0004-0000-0000-000039030000}"/>
    <hyperlink ref="C511" r:id="rId827" display="http://pokemondb.net/type/water" xr:uid="{00000000-0004-0000-0000-00003A030000}"/>
    <hyperlink ref="C512" r:id="rId828" display="http://pokemondb.net/type/dark" xr:uid="{00000000-0004-0000-0000-00003B030000}"/>
    <hyperlink ref="B513" r:id="rId829" tooltip="View pokedex for #319 Sharpedo" display="http://pokemondb.net/pokedex/sharpedo" xr:uid="{00000000-0004-0000-0000-00003C030000}"/>
    <hyperlink ref="C513" r:id="rId830" display="http://pokemondb.net/type/water" xr:uid="{00000000-0004-0000-0000-00003D030000}"/>
    <hyperlink ref="C514" r:id="rId831" display="http://pokemondb.net/type/dark" xr:uid="{00000000-0004-0000-0000-00003E030000}"/>
    <hyperlink ref="B515" r:id="rId832" tooltip="View pokedex for #320 Wailmer" display="http://pokemondb.net/pokedex/wailmer" xr:uid="{00000000-0004-0000-0000-00003F030000}"/>
    <hyperlink ref="C515" r:id="rId833" display="http://pokemondb.net/type/water" xr:uid="{00000000-0004-0000-0000-000040030000}"/>
    <hyperlink ref="B516" r:id="rId834" tooltip="View pokedex for #321 Wailord" display="http://pokemondb.net/pokedex/wailord" xr:uid="{00000000-0004-0000-0000-000041030000}"/>
    <hyperlink ref="C516" r:id="rId835" display="http://pokemondb.net/type/water" xr:uid="{00000000-0004-0000-0000-000042030000}"/>
    <hyperlink ref="B517" r:id="rId836" tooltip="View pokedex for #322 Numel" display="http://pokemondb.net/pokedex/numel" xr:uid="{00000000-0004-0000-0000-000043030000}"/>
    <hyperlink ref="C517" r:id="rId837" display="http://pokemondb.net/type/fire" xr:uid="{00000000-0004-0000-0000-000044030000}"/>
    <hyperlink ref="C518" r:id="rId838" display="http://pokemondb.net/type/ground" xr:uid="{00000000-0004-0000-0000-000045030000}"/>
    <hyperlink ref="B519" r:id="rId839" tooltip="View pokedex for #323 Camerupt" display="http://pokemondb.net/pokedex/camerupt" xr:uid="{00000000-0004-0000-0000-000046030000}"/>
    <hyperlink ref="C519" r:id="rId840" display="http://pokemondb.net/type/fire" xr:uid="{00000000-0004-0000-0000-000047030000}"/>
    <hyperlink ref="C520" r:id="rId841" display="http://pokemondb.net/type/ground" xr:uid="{00000000-0004-0000-0000-000048030000}"/>
    <hyperlink ref="B521" r:id="rId842" tooltip="View pokedex for #324 Torkoal" display="http://pokemondb.net/pokedex/torkoal" xr:uid="{00000000-0004-0000-0000-000049030000}"/>
    <hyperlink ref="C521" r:id="rId843" display="http://pokemondb.net/type/fire" xr:uid="{00000000-0004-0000-0000-00004A030000}"/>
    <hyperlink ref="B522" r:id="rId844" tooltip="View pokedex for #325 Spoink" display="http://pokemondb.net/pokedex/spoink" xr:uid="{00000000-0004-0000-0000-00004B030000}"/>
    <hyperlink ref="C522" r:id="rId845" display="http://pokemondb.net/type/psychic" xr:uid="{00000000-0004-0000-0000-00004C030000}"/>
    <hyperlink ref="B523" r:id="rId846" tooltip="View pokedex for #326 Grumpig" display="http://pokemondb.net/pokedex/grumpig" xr:uid="{00000000-0004-0000-0000-00004D030000}"/>
    <hyperlink ref="C523" r:id="rId847" display="http://pokemondb.net/type/psychic" xr:uid="{00000000-0004-0000-0000-00004E030000}"/>
    <hyperlink ref="B524" r:id="rId848" tooltip="View pokedex for #327 Spinda" display="http://pokemondb.net/pokedex/spinda" xr:uid="{00000000-0004-0000-0000-00004F030000}"/>
    <hyperlink ref="C524" r:id="rId849" display="http://pokemondb.net/type/normal" xr:uid="{00000000-0004-0000-0000-000050030000}"/>
    <hyperlink ref="B525" r:id="rId850" tooltip="View pokedex for #328 Trapinch" display="http://pokemondb.net/pokedex/trapinch" xr:uid="{00000000-0004-0000-0000-000051030000}"/>
    <hyperlink ref="C525" r:id="rId851" display="http://pokemondb.net/type/ground" xr:uid="{00000000-0004-0000-0000-000052030000}"/>
    <hyperlink ref="B526" r:id="rId852" tooltip="View pokedex for #329 Vibrava" display="http://pokemondb.net/pokedex/vibrava" xr:uid="{00000000-0004-0000-0000-000053030000}"/>
    <hyperlink ref="C526" r:id="rId853" display="http://pokemondb.net/type/ground" xr:uid="{00000000-0004-0000-0000-000054030000}"/>
    <hyperlink ref="C527" r:id="rId854" display="http://pokemondb.net/type/dragon" xr:uid="{00000000-0004-0000-0000-000055030000}"/>
    <hyperlink ref="B528" r:id="rId855" tooltip="View pokedex for #330 Flygon" display="http://pokemondb.net/pokedex/flygon" xr:uid="{00000000-0004-0000-0000-000056030000}"/>
    <hyperlink ref="C528" r:id="rId856" display="http://pokemondb.net/type/ground" xr:uid="{00000000-0004-0000-0000-000057030000}"/>
    <hyperlink ref="C529" r:id="rId857" display="http://pokemondb.net/type/dragon" xr:uid="{00000000-0004-0000-0000-000058030000}"/>
    <hyperlink ref="B530" r:id="rId858" tooltip="View pokedex for #331 Cacnea" display="http://pokemondb.net/pokedex/cacnea" xr:uid="{00000000-0004-0000-0000-000059030000}"/>
    <hyperlink ref="C530" r:id="rId859" display="http://pokemondb.net/type/grass" xr:uid="{00000000-0004-0000-0000-00005A030000}"/>
    <hyperlink ref="B531" r:id="rId860" tooltip="View pokedex for #332 Cacturne" display="http://pokemondb.net/pokedex/cacturne" xr:uid="{00000000-0004-0000-0000-00005B030000}"/>
    <hyperlink ref="C531" r:id="rId861" display="http://pokemondb.net/type/grass" xr:uid="{00000000-0004-0000-0000-00005C030000}"/>
    <hyperlink ref="C532" r:id="rId862" display="http://pokemondb.net/type/dark" xr:uid="{00000000-0004-0000-0000-00005D030000}"/>
    <hyperlink ref="B533" r:id="rId863" tooltip="View pokedex for #333 Swablu" display="http://pokemondb.net/pokedex/swablu" xr:uid="{00000000-0004-0000-0000-00005E030000}"/>
    <hyperlink ref="C533" r:id="rId864" display="http://pokemondb.net/type/normal" xr:uid="{00000000-0004-0000-0000-00005F030000}"/>
    <hyperlink ref="C1048" r:id="rId865" display="http://pokemondb.net/type/flying" xr:uid="{00000000-0004-0000-0000-000060030000}"/>
    <hyperlink ref="B535" r:id="rId866" tooltip="View pokedex for #334 Altaria" display="http://pokemondb.net/pokedex/altaria" xr:uid="{00000000-0004-0000-0000-000061030000}"/>
    <hyperlink ref="C535" r:id="rId867" display="http://pokemondb.net/type/dragon" xr:uid="{00000000-0004-0000-0000-000062030000}"/>
    <hyperlink ref="C536" r:id="rId868" display="http://pokemondb.net/type/flying" xr:uid="{00000000-0004-0000-0000-000063030000}"/>
    <hyperlink ref="B537" r:id="rId869" tooltip="View pokedex for #335 Zangoose" display="http://pokemondb.net/pokedex/zangoose" xr:uid="{00000000-0004-0000-0000-000064030000}"/>
    <hyperlink ref="C537" r:id="rId870" display="http://pokemondb.net/type/normal" xr:uid="{00000000-0004-0000-0000-000065030000}"/>
    <hyperlink ref="B538" r:id="rId871" tooltip="View pokedex for #336 Seviper" display="http://pokemondb.net/pokedex/seviper" xr:uid="{00000000-0004-0000-0000-000066030000}"/>
    <hyperlink ref="C538" r:id="rId872" display="http://pokemondb.net/type/poison" xr:uid="{00000000-0004-0000-0000-000067030000}"/>
    <hyperlink ref="B539" r:id="rId873" tooltip="View pokedex for #337 Lunatone" display="http://pokemondb.net/pokedex/lunatone" xr:uid="{00000000-0004-0000-0000-000068030000}"/>
    <hyperlink ref="C539" r:id="rId874" display="http://pokemondb.net/type/rock" xr:uid="{00000000-0004-0000-0000-000069030000}"/>
    <hyperlink ref="C540" r:id="rId875" display="http://pokemondb.net/type/psychic" xr:uid="{00000000-0004-0000-0000-00006A030000}"/>
    <hyperlink ref="B541" r:id="rId876" tooltip="View pokedex for #338 Solrock" display="http://pokemondb.net/pokedex/solrock" xr:uid="{00000000-0004-0000-0000-00006B030000}"/>
    <hyperlink ref="C541" r:id="rId877" display="http://pokemondb.net/type/rock" xr:uid="{00000000-0004-0000-0000-00006C030000}"/>
    <hyperlink ref="C542" r:id="rId878" display="http://pokemondb.net/type/psychic" xr:uid="{00000000-0004-0000-0000-00006D030000}"/>
    <hyperlink ref="B543" r:id="rId879" tooltip="View pokedex for #339 Barboach" display="http://pokemondb.net/pokedex/barboach" xr:uid="{00000000-0004-0000-0000-00006E030000}"/>
    <hyperlink ref="C543" r:id="rId880" display="http://pokemondb.net/type/water" xr:uid="{00000000-0004-0000-0000-00006F030000}"/>
    <hyperlink ref="C544" r:id="rId881" display="http://pokemondb.net/type/ground" xr:uid="{00000000-0004-0000-0000-000070030000}"/>
    <hyperlink ref="B545" r:id="rId882" tooltip="View pokedex for #340 Whiscash" display="http://pokemondb.net/pokedex/whiscash" xr:uid="{00000000-0004-0000-0000-000071030000}"/>
    <hyperlink ref="C545" r:id="rId883" display="http://pokemondb.net/type/water" xr:uid="{00000000-0004-0000-0000-000072030000}"/>
    <hyperlink ref="C546" r:id="rId884" display="http://pokemondb.net/type/ground" xr:uid="{00000000-0004-0000-0000-000073030000}"/>
    <hyperlink ref="B547" r:id="rId885" tooltip="View pokedex for #341 Corphish" display="http://pokemondb.net/pokedex/corphish" xr:uid="{00000000-0004-0000-0000-000074030000}"/>
    <hyperlink ref="C547" r:id="rId886" display="http://pokemondb.net/type/water" xr:uid="{00000000-0004-0000-0000-000075030000}"/>
    <hyperlink ref="B548" r:id="rId887" tooltip="View pokedex for #342 Crawdaunt" display="http://pokemondb.net/pokedex/crawdaunt" xr:uid="{00000000-0004-0000-0000-000076030000}"/>
    <hyperlink ref="C548" r:id="rId888" display="http://pokemondb.net/type/water" xr:uid="{00000000-0004-0000-0000-000077030000}"/>
    <hyperlink ref="C549" r:id="rId889" display="http://pokemondb.net/type/dark" xr:uid="{00000000-0004-0000-0000-000078030000}"/>
    <hyperlink ref="B550" r:id="rId890" tooltip="View pokedex for #343 Baltoy" display="http://pokemondb.net/pokedex/baltoy" xr:uid="{00000000-0004-0000-0000-000079030000}"/>
    <hyperlink ref="C550" r:id="rId891" display="http://pokemondb.net/type/ground" xr:uid="{00000000-0004-0000-0000-00007A030000}"/>
    <hyperlink ref="C551" r:id="rId892" display="http://pokemondb.net/type/psychic" xr:uid="{00000000-0004-0000-0000-00007B030000}"/>
    <hyperlink ref="B552" r:id="rId893" tooltip="View pokedex for #344 Claydol" display="http://pokemondb.net/pokedex/claydol" xr:uid="{00000000-0004-0000-0000-00007C030000}"/>
    <hyperlink ref="C552" r:id="rId894" display="http://pokemondb.net/type/ground" xr:uid="{00000000-0004-0000-0000-00007D030000}"/>
    <hyperlink ref="C553" r:id="rId895" display="http://pokemondb.net/type/psychic" xr:uid="{00000000-0004-0000-0000-00007E030000}"/>
    <hyperlink ref="B554" r:id="rId896" tooltip="View pokedex for #345 Lileep" display="http://pokemondb.net/pokedex/lileep" xr:uid="{00000000-0004-0000-0000-00007F030000}"/>
    <hyperlink ref="C554" r:id="rId897" display="http://pokemondb.net/type/rock" xr:uid="{00000000-0004-0000-0000-000080030000}"/>
    <hyperlink ref="C555" r:id="rId898" display="http://pokemondb.net/type/grass" xr:uid="{00000000-0004-0000-0000-000081030000}"/>
    <hyperlink ref="B556" r:id="rId899" tooltip="View pokedex for #346 Cradily" display="http://pokemondb.net/pokedex/cradily" xr:uid="{00000000-0004-0000-0000-000082030000}"/>
    <hyperlink ref="C556" r:id="rId900" display="http://pokemondb.net/type/rock" xr:uid="{00000000-0004-0000-0000-000083030000}"/>
    <hyperlink ref="C557" r:id="rId901" display="http://pokemondb.net/type/grass" xr:uid="{00000000-0004-0000-0000-000084030000}"/>
    <hyperlink ref="B558" r:id="rId902" tooltip="View pokedex for #347 Anorith" display="http://pokemondb.net/pokedex/anorith" xr:uid="{00000000-0004-0000-0000-000085030000}"/>
    <hyperlink ref="C558" r:id="rId903" display="http://pokemondb.net/type/rock" xr:uid="{00000000-0004-0000-0000-000086030000}"/>
    <hyperlink ref="C559" r:id="rId904" display="http://pokemondb.net/type/bug" xr:uid="{00000000-0004-0000-0000-000087030000}"/>
    <hyperlink ref="B560" r:id="rId905" tooltip="View pokedex for #348 Armaldo" display="http://pokemondb.net/pokedex/armaldo" xr:uid="{00000000-0004-0000-0000-000088030000}"/>
    <hyperlink ref="C560" r:id="rId906" display="http://pokemondb.net/type/rock" xr:uid="{00000000-0004-0000-0000-000089030000}"/>
    <hyperlink ref="C561" r:id="rId907" display="http://pokemondb.net/type/bug" xr:uid="{00000000-0004-0000-0000-00008A030000}"/>
    <hyperlink ref="B562" r:id="rId908" tooltip="View pokedex for #349 Feebas" display="http://pokemondb.net/pokedex/feebas" xr:uid="{00000000-0004-0000-0000-00008B030000}"/>
    <hyperlink ref="C562" r:id="rId909" display="http://pokemondb.net/type/water" xr:uid="{00000000-0004-0000-0000-00008C030000}"/>
    <hyperlink ref="B563" r:id="rId910" tooltip="View pokedex for #350 Milotic" display="http://pokemondb.net/pokedex/milotic" xr:uid="{00000000-0004-0000-0000-00008D030000}"/>
    <hyperlink ref="C563" r:id="rId911" display="http://pokemondb.net/type/water" xr:uid="{00000000-0004-0000-0000-00008E030000}"/>
    <hyperlink ref="B564" r:id="rId912" tooltip="View pokedex for #351 Castform" display="http://pokemondb.net/pokedex/castform" xr:uid="{00000000-0004-0000-0000-00008F030000}"/>
    <hyperlink ref="C564" r:id="rId913" display="http://pokemondb.net/type/normal" xr:uid="{00000000-0004-0000-0000-000090030000}"/>
    <hyperlink ref="B566" r:id="rId914" tooltip="View pokedex for #352 Kecleon" display="http://pokemondb.net/pokedex/kecleon" xr:uid="{00000000-0004-0000-0000-000091030000}"/>
    <hyperlink ref="C566" r:id="rId915" display="http://pokemondb.net/type/normal" xr:uid="{00000000-0004-0000-0000-000092030000}"/>
    <hyperlink ref="B568" r:id="rId916" tooltip="View pokedex for #353 Shuppet" display="http://pokemondb.net/pokedex/shuppet" xr:uid="{00000000-0004-0000-0000-000093030000}"/>
    <hyperlink ref="C568" r:id="rId917" display="http://pokemondb.net/type/ghost" xr:uid="{00000000-0004-0000-0000-000094030000}"/>
    <hyperlink ref="B569" r:id="rId918" tooltip="View pokedex for #354 Banette" display="http://pokemondb.net/pokedex/banette" xr:uid="{00000000-0004-0000-0000-000095030000}"/>
    <hyperlink ref="C569" r:id="rId919" display="http://pokemondb.net/type/ghost" xr:uid="{00000000-0004-0000-0000-000096030000}"/>
    <hyperlink ref="C570" r:id="rId920" display="http://pokemondb.net/type/ghost" xr:uid="{00000000-0004-0000-0000-000097030000}"/>
    <hyperlink ref="B572" r:id="rId921" tooltip="View pokedex for #355 Duskull" display="http://pokemondb.net/pokedex/duskull" xr:uid="{00000000-0004-0000-0000-000098030000}"/>
    <hyperlink ref="C572" r:id="rId922" display="http://pokemondb.net/type/ghost" xr:uid="{00000000-0004-0000-0000-000099030000}"/>
    <hyperlink ref="B573" r:id="rId923" tooltip="View pokedex for #356 Dusclops" display="http://pokemondb.net/pokedex/dusclops" xr:uid="{00000000-0004-0000-0000-00009A030000}"/>
    <hyperlink ref="C573" r:id="rId924" display="http://pokemondb.net/type/ghost" xr:uid="{00000000-0004-0000-0000-00009B030000}"/>
    <hyperlink ref="B574" r:id="rId925" tooltip="View pokedex for #357 Tropius" display="http://pokemondb.net/pokedex/tropius" xr:uid="{00000000-0004-0000-0000-00009C030000}"/>
    <hyperlink ref="C574" r:id="rId926" display="http://pokemondb.net/type/grass" xr:uid="{00000000-0004-0000-0000-00009D030000}"/>
    <hyperlink ref="C575" r:id="rId927" display="http://pokemondb.net/type/flying" xr:uid="{00000000-0004-0000-0000-00009E030000}"/>
    <hyperlink ref="B576" r:id="rId928" tooltip="View pokedex for #358 Chimecho" display="http://pokemondb.net/pokedex/chimecho" xr:uid="{00000000-0004-0000-0000-00009F030000}"/>
    <hyperlink ref="C576" r:id="rId929" display="http://pokemondb.net/type/psychic" xr:uid="{00000000-0004-0000-0000-0000A0030000}"/>
    <hyperlink ref="B577" r:id="rId930" tooltip="View pokedex for #359 Absol" display="http://pokemondb.net/pokedex/absol" xr:uid="{00000000-0004-0000-0000-0000A1030000}"/>
    <hyperlink ref="C577" r:id="rId931" display="http://pokemondb.net/type/dark" xr:uid="{00000000-0004-0000-0000-0000A2030000}"/>
    <hyperlink ref="C578" r:id="rId932" display="http://pokemondb.net/type/dark" xr:uid="{00000000-0004-0000-0000-0000A3030000}"/>
    <hyperlink ref="B580" r:id="rId933" tooltip="View pokedex for #360 Wynaut" display="http://pokemondb.net/pokedex/wynaut" xr:uid="{00000000-0004-0000-0000-0000A4030000}"/>
    <hyperlink ref="C580" r:id="rId934" display="http://pokemondb.net/type/psychic" xr:uid="{00000000-0004-0000-0000-0000A5030000}"/>
    <hyperlink ref="B581" r:id="rId935" tooltip="View pokedex for #361 Snorunt" display="http://pokemondb.net/pokedex/snorunt" xr:uid="{00000000-0004-0000-0000-0000A6030000}"/>
    <hyperlink ref="C581" r:id="rId936" display="http://pokemondb.net/type/ice" xr:uid="{00000000-0004-0000-0000-0000A7030000}"/>
    <hyperlink ref="B582" r:id="rId937" tooltip="View pokedex for #362 Glalie" display="http://pokemondb.net/pokedex/glalie" xr:uid="{00000000-0004-0000-0000-0000A8030000}"/>
    <hyperlink ref="C582" r:id="rId938" display="http://pokemondb.net/type/ice" xr:uid="{00000000-0004-0000-0000-0000A9030000}"/>
    <hyperlink ref="B583" r:id="rId939" tooltip="View pokedex for #363 Spheal" display="http://pokemondb.net/pokedex/spheal" xr:uid="{00000000-0004-0000-0000-0000AA030000}"/>
    <hyperlink ref="C583" r:id="rId940" display="http://pokemondb.net/type/ice" xr:uid="{00000000-0004-0000-0000-0000AB030000}"/>
    <hyperlink ref="C584" r:id="rId941" display="http://pokemondb.net/type/water" xr:uid="{00000000-0004-0000-0000-0000AC030000}"/>
    <hyperlink ref="B585" r:id="rId942" tooltip="View pokedex for #364 Sealeo" display="http://pokemondb.net/pokedex/sealeo" xr:uid="{00000000-0004-0000-0000-0000AD030000}"/>
    <hyperlink ref="C585" r:id="rId943" display="http://pokemondb.net/type/ice" xr:uid="{00000000-0004-0000-0000-0000AE030000}"/>
    <hyperlink ref="C586" r:id="rId944" display="http://pokemondb.net/type/water" xr:uid="{00000000-0004-0000-0000-0000AF030000}"/>
    <hyperlink ref="B587" r:id="rId945" tooltip="View pokedex for #365 Walrein" display="http://pokemondb.net/pokedex/walrein" xr:uid="{00000000-0004-0000-0000-0000B0030000}"/>
    <hyperlink ref="C587" r:id="rId946" display="http://pokemondb.net/type/ice" xr:uid="{00000000-0004-0000-0000-0000B1030000}"/>
    <hyperlink ref="C588" r:id="rId947" display="http://pokemondb.net/type/water" xr:uid="{00000000-0004-0000-0000-0000B2030000}"/>
    <hyperlink ref="B589" r:id="rId948" tooltip="View pokedex for #366 Clamperl" display="http://pokemondb.net/pokedex/clamperl" xr:uid="{00000000-0004-0000-0000-0000B3030000}"/>
    <hyperlink ref="C589" r:id="rId949" display="http://pokemondb.net/type/water" xr:uid="{00000000-0004-0000-0000-0000B4030000}"/>
    <hyperlink ref="B590" r:id="rId950" tooltip="View pokedex for #367 Huntail" display="http://pokemondb.net/pokedex/huntail" xr:uid="{00000000-0004-0000-0000-0000B5030000}"/>
    <hyperlink ref="C590" r:id="rId951" display="http://pokemondb.net/type/water" xr:uid="{00000000-0004-0000-0000-0000B6030000}"/>
    <hyperlink ref="B591" r:id="rId952" tooltip="View pokedex for #368 Gorebyss" display="http://pokemondb.net/pokedex/gorebyss" xr:uid="{00000000-0004-0000-0000-0000B7030000}"/>
    <hyperlink ref="C591" r:id="rId953" display="http://pokemondb.net/type/water" xr:uid="{00000000-0004-0000-0000-0000B8030000}"/>
    <hyperlink ref="B592" r:id="rId954" tooltip="View pokedex for #369 Relicanth" display="http://pokemondb.net/pokedex/relicanth" xr:uid="{00000000-0004-0000-0000-0000B9030000}"/>
    <hyperlink ref="C592" r:id="rId955" display="http://pokemondb.net/type/water" xr:uid="{00000000-0004-0000-0000-0000BA030000}"/>
    <hyperlink ref="C593" r:id="rId956" display="http://pokemondb.net/type/rock" xr:uid="{00000000-0004-0000-0000-0000BB030000}"/>
    <hyperlink ref="B594" r:id="rId957" tooltip="View pokedex for #370 Luvdisc" display="http://pokemondb.net/pokedex/luvdisc" xr:uid="{00000000-0004-0000-0000-0000BC030000}"/>
    <hyperlink ref="C594" r:id="rId958" display="http://pokemondb.net/type/water" xr:uid="{00000000-0004-0000-0000-0000BD030000}"/>
    <hyperlink ref="B595" r:id="rId959" tooltip="View pokedex for #371 Bagon" display="http://pokemondb.net/pokedex/bagon" xr:uid="{00000000-0004-0000-0000-0000BE030000}"/>
    <hyperlink ref="C595" r:id="rId960" display="http://pokemondb.net/type/dragon" xr:uid="{00000000-0004-0000-0000-0000BF030000}"/>
    <hyperlink ref="B596" r:id="rId961" tooltip="View pokedex for #372 Shelgon" display="http://pokemondb.net/pokedex/shelgon" xr:uid="{00000000-0004-0000-0000-0000C0030000}"/>
    <hyperlink ref="C596" r:id="rId962" display="http://pokemondb.net/type/dragon" xr:uid="{00000000-0004-0000-0000-0000C1030000}"/>
    <hyperlink ref="B597" r:id="rId963" tooltip="View pokedex for #373 Salamence" display="http://pokemondb.net/pokedex/salamence" xr:uid="{00000000-0004-0000-0000-0000C2030000}"/>
    <hyperlink ref="C597" r:id="rId964" display="http://pokemondb.net/type/dragon" xr:uid="{00000000-0004-0000-0000-0000C3030000}"/>
    <hyperlink ref="C598" r:id="rId965" display="http://pokemondb.net/type/flying" xr:uid="{00000000-0004-0000-0000-0000C4030000}"/>
    <hyperlink ref="B599" r:id="rId966" tooltip="View pokedex for #374 Beldum" display="http://pokemondb.net/pokedex/beldum" xr:uid="{00000000-0004-0000-0000-0000C5030000}"/>
    <hyperlink ref="C599" r:id="rId967" display="http://pokemondb.net/type/steel" xr:uid="{00000000-0004-0000-0000-0000C6030000}"/>
    <hyperlink ref="C600" r:id="rId968" display="http://pokemondb.net/type/psychic" xr:uid="{00000000-0004-0000-0000-0000C7030000}"/>
    <hyperlink ref="B601" r:id="rId969" tooltip="View pokedex for #375 Metang" display="http://pokemondb.net/pokedex/metang" xr:uid="{00000000-0004-0000-0000-0000C8030000}"/>
    <hyperlink ref="C601" r:id="rId970" display="http://pokemondb.net/type/steel" xr:uid="{00000000-0004-0000-0000-0000C9030000}"/>
    <hyperlink ref="C602" r:id="rId971" display="http://pokemondb.net/type/psychic" xr:uid="{00000000-0004-0000-0000-0000CA030000}"/>
    <hyperlink ref="B603" r:id="rId972" tooltip="View pokedex for #376 Metagross" display="http://pokemondb.net/pokedex/metagross" xr:uid="{00000000-0004-0000-0000-0000CB030000}"/>
    <hyperlink ref="C603" r:id="rId973" display="http://pokemondb.net/type/steel" xr:uid="{00000000-0004-0000-0000-0000CC030000}"/>
    <hyperlink ref="C604" r:id="rId974" display="http://pokemondb.net/type/psychic" xr:uid="{00000000-0004-0000-0000-0000CD030000}"/>
    <hyperlink ref="B605" r:id="rId975" tooltip="View pokedex for #377 Regirock" display="http://pokemondb.net/pokedex/regirock" xr:uid="{00000000-0004-0000-0000-0000CE030000}"/>
    <hyperlink ref="C605" r:id="rId976" display="http://pokemondb.net/type/rock" xr:uid="{00000000-0004-0000-0000-0000CF030000}"/>
    <hyperlink ref="B606" r:id="rId977" tooltip="View pokedex for #378 Regice" display="http://pokemondb.net/pokedex/regice" xr:uid="{00000000-0004-0000-0000-0000D0030000}"/>
    <hyperlink ref="C606" r:id="rId978" display="http://pokemondb.net/type/ice" xr:uid="{00000000-0004-0000-0000-0000D1030000}"/>
    <hyperlink ref="B607" r:id="rId979" tooltip="View pokedex for #379 Registeel" display="http://pokemondb.net/pokedex/registeel" xr:uid="{00000000-0004-0000-0000-0000D2030000}"/>
    <hyperlink ref="C607" r:id="rId980" display="http://pokemondb.net/type/steel" xr:uid="{00000000-0004-0000-0000-0000D3030000}"/>
    <hyperlink ref="B608" r:id="rId981" tooltip="View pokedex for #380 Latias" display="http://pokemondb.net/pokedex/latias" xr:uid="{00000000-0004-0000-0000-0000D4030000}"/>
    <hyperlink ref="C608" r:id="rId982" display="http://pokemondb.net/type/dragon" xr:uid="{00000000-0004-0000-0000-0000D5030000}"/>
    <hyperlink ref="C609" r:id="rId983" display="http://pokemondb.net/type/psychic" xr:uid="{00000000-0004-0000-0000-0000D6030000}"/>
    <hyperlink ref="B610" r:id="rId984" tooltip="View pokedex for #381 Latios" display="http://pokemondb.net/pokedex/latios" xr:uid="{00000000-0004-0000-0000-0000D7030000}"/>
    <hyperlink ref="C610" r:id="rId985" display="http://pokemondb.net/type/dragon" xr:uid="{00000000-0004-0000-0000-0000D8030000}"/>
    <hyperlink ref="C611" r:id="rId986" display="http://pokemondb.net/type/psychic" xr:uid="{00000000-0004-0000-0000-0000D9030000}"/>
    <hyperlink ref="B612" r:id="rId987" tooltip="View pokedex for #382 Kyogre" display="http://pokemondb.net/pokedex/kyogre" xr:uid="{00000000-0004-0000-0000-0000DA030000}"/>
    <hyperlink ref="C612" r:id="rId988" display="http://pokemondb.net/type/water" xr:uid="{00000000-0004-0000-0000-0000DB030000}"/>
    <hyperlink ref="B613" r:id="rId989" tooltip="View pokedex for #383 Groudon" display="http://pokemondb.net/pokedex/groudon" xr:uid="{00000000-0004-0000-0000-0000DC030000}"/>
    <hyperlink ref="C613" r:id="rId990" display="http://pokemondb.net/type/ground" xr:uid="{00000000-0004-0000-0000-0000DD030000}"/>
    <hyperlink ref="B614" r:id="rId991" tooltip="View pokedex for #384 Rayquaza" display="http://pokemondb.net/pokedex/rayquaza" xr:uid="{00000000-0004-0000-0000-0000DE030000}"/>
    <hyperlink ref="C614" r:id="rId992" display="http://pokemondb.net/type/dragon" xr:uid="{00000000-0004-0000-0000-0000DF030000}"/>
    <hyperlink ref="C615" r:id="rId993" display="http://pokemondb.net/type/flying" xr:uid="{00000000-0004-0000-0000-0000E0030000}"/>
    <hyperlink ref="B616" r:id="rId994" tooltip="View pokedex for #385 Jirachi" display="http://pokemondb.net/pokedex/jirachi" xr:uid="{00000000-0004-0000-0000-0000E1030000}"/>
    <hyperlink ref="C616" r:id="rId995" display="http://pokemondb.net/type/steel" xr:uid="{00000000-0004-0000-0000-0000E2030000}"/>
    <hyperlink ref="C617" r:id="rId996" display="http://pokemondb.net/type/psychic" xr:uid="{00000000-0004-0000-0000-0000E3030000}"/>
    <hyperlink ref="B618" r:id="rId997" tooltip="View pokedex for #386 Deoxys" display="http://pokemondb.net/pokedex/deoxys" xr:uid="{00000000-0004-0000-0000-0000E4030000}"/>
    <hyperlink ref="C618" r:id="rId998" display="http://pokemondb.net/type/psychic" xr:uid="{00000000-0004-0000-0000-0000E5030000}"/>
    <hyperlink ref="B619" r:id="rId999" tooltip="View pokedex for #386 Deoxys" display="http://pokemondb.net/pokedex/deoxys" xr:uid="{00000000-0004-0000-0000-0000E6030000}"/>
    <hyperlink ref="C619" r:id="rId1000" display="http://pokemondb.net/type/psychic" xr:uid="{00000000-0004-0000-0000-0000E7030000}"/>
    <hyperlink ref="B620" r:id="rId1001" tooltip="View pokedex for #386 Deoxys" display="http://pokemondb.net/pokedex/deoxys" xr:uid="{00000000-0004-0000-0000-0000E8030000}"/>
    <hyperlink ref="C620" r:id="rId1002" display="http://pokemondb.net/type/psychic" xr:uid="{00000000-0004-0000-0000-0000E9030000}"/>
    <hyperlink ref="B621" r:id="rId1003" tooltip="View pokedex for #386 Deoxys" display="http://pokemondb.net/pokedex/deoxys" xr:uid="{00000000-0004-0000-0000-0000EA030000}"/>
    <hyperlink ref="C621" r:id="rId1004" display="http://pokemondb.net/type/psychic" xr:uid="{00000000-0004-0000-0000-0000EB030000}"/>
    <hyperlink ref="B622" r:id="rId1005" tooltip="View pokedex for #387 Turtwig" display="http://pokemondb.net/pokedex/turtwig" xr:uid="{00000000-0004-0000-0000-0000EC030000}"/>
    <hyperlink ref="C622" r:id="rId1006" display="http://pokemondb.net/type/grass" xr:uid="{00000000-0004-0000-0000-0000ED030000}"/>
    <hyperlink ref="B623" r:id="rId1007" tooltip="View pokedex for #388 Grotle" display="http://pokemondb.net/pokedex/grotle" xr:uid="{00000000-0004-0000-0000-0000EE030000}"/>
    <hyperlink ref="C623" r:id="rId1008" display="http://pokemondb.net/type/grass" xr:uid="{00000000-0004-0000-0000-0000EF030000}"/>
    <hyperlink ref="B624" r:id="rId1009" tooltip="View pokedex for #389 Torterra" display="http://pokemondb.net/pokedex/torterra" xr:uid="{00000000-0004-0000-0000-0000F0030000}"/>
    <hyperlink ref="C624" r:id="rId1010" display="http://pokemondb.net/type/grass" xr:uid="{00000000-0004-0000-0000-0000F1030000}"/>
    <hyperlink ref="C625" r:id="rId1011" display="http://pokemondb.net/type/ground" xr:uid="{00000000-0004-0000-0000-0000F2030000}"/>
    <hyperlink ref="B626" r:id="rId1012" tooltip="View pokedex for #390 Chimchar" display="http://pokemondb.net/pokedex/chimchar" xr:uid="{00000000-0004-0000-0000-0000F3030000}"/>
    <hyperlink ref="C626" r:id="rId1013" display="http://pokemondb.net/type/fire" xr:uid="{00000000-0004-0000-0000-0000F4030000}"/>
    <hyperlink ref="B627" r:id="rId1014" tooltip="View pokedex for #391 Monferno" display="http://pokemondb.net/pokedex/monferno" xr:uid="{00000000-0004-0000-0000-0000F5030000}"/>
    <hyperlink ref="C627" r:id="rId1015" display="http://pokemondb.net/type/fire" xr:uid="{00000000-0004-0000-0000-0000F6030000}"/>
    <hyperlink ref="C628" r:id="rId1016" display="http://pokemondb.net/type/fighting" xr:uid="{00000000-0004-0000-0000-0000F7030000}"/>
    <hyperlink ref="B629" r:id="rId1017" tooltip="View pokedex for #392 Infernape" display="http://pokemondb.net/pokedex/infernape" xr:uid="{00000000-0004-0000-0000-0000F8030000}"/>
    <hyperlink ref="C629" r:id="rId1018" display="http://pokemondb.net/type/fire" xr:uid="{00000000-0004-0000-0000-0000F9030000}"/>
    <hyperlink ref="C630" r:id="rId1019" display="http://pokemondb.net/type/fighting" xr:uid="{00000000-0004-0000-0000-0000FA030000}"/>
    <hyperlink ref="B631" r:id="rId1020" tooltip="View pokedex for #393 Piplup" display="http://pokemondb.net/pokedex/piplup" xr:uid="{00000000-0004-0000-0000-0000FB030000}"/>
    <hyperlink ref="C631" r:id="rId1021" display="http://pokemondb.net/type/water" xr:uid="{00000000-0004-0000-0000-0000FC030000}"/>
    <hyperlink ref="B632" r:id="rId1022" tooltip="View pokedex for #394 Prinplup" display="http://pokemondb.net/pokedex/prinplup" xr:uid="{00000000-0004-0000-0000-0000FD030000}"/>
    <hyperlink ref="C632" r:id="rId1023" display="http://pokemondb.net/type/water" xr:uid="{00000000-0004-0000-0000-0000FE030000}"/>
    <hyperlink ref="B633" r:id="rId1024" tooltip="View pokedex for #395 Empoleon" display="http://pokemondb.net/pokedex/empoleon" xr:uid="{00000000-0004-0000-0000-0000FF030000}"/>
    <hyperlink ref="C633" r:id="rId1025" display="http://pokemondb.net/type/water" xr:uid="{00000000-0004-0000-0000-000000040000}"/>
    <hyperlink ref="C634" r:id="rId1026" display="http://pokemondb.net/type/steel" xr:uid="{00000000-0004-0000-0000-000001040000}"/>
    <hyperlink ref="B637" r:id="rId1027" tooltip="View pokedex for #396 Starly" display="http://pokemondb.net/pokedex/starly" xr:uid="{00000000-0004-0000-0000-000002040000}"/>
    <hyperlink ref="C637" r:id="rId1028" display="http://pokemondb.net/type/normal" xr:uid="{00000000-0004-0000-0000-000003040000}"/>
    <hyperlink ref="C636" r:id="rId1029" display="http://pokemondb.net/type/flying" xr:uid="{00000000-0004-0000-0000-000004040000}"/>
    <hyperlink ref="B639" r:id="rId1030" tooltip="View pokedex for #397 Staravia" display="http://pokemondb.net/pokedex/staravia" xr:uid="{00000000-0004-0000-0000-000005040000}"/>
    <hyperlink ref="C639" r:id="rId1031" display="http://pokemondb.net/type/normal" xr:uid="{00000000-0004-0000-0000-000006040000}"/>
    <hyperlink ref="C715" r:id="rId1032" display="http://pokemondb.net/type/flying" xr:uid="{00000000-0004-0000-0000-000007040000}"/>
    <hyperlink ref="B641" r:id="rId1033" tooltip="View pokedex for #398 Staraptor" display="http://pokemondb.net/pokedex/staraptor" xr:uid="{00000000-0004-0000-0000-000008040000}"/>
    <hyperlink ref="C641" r:id="rId1034" display="http://pokemondb.net/type/normal" xr:uid="{00000000-0004-0000-0000-000009040000}"/>
    <hyperlink ref="C257" r:id="rId1035" display="http://pokemondb.net/type/flying" xr:uid="{00000000-0004-0000-0000-00000A040000}"/>
    <hyperlink ref="B642" r:id="rId1036" tooltip="View pokedex for #399 Bidoof" display="http://pokemondb.net/pokedex/bidoof" xr:uid="{00000000-0004-0000-0000-00000B040000}"/>
    <hyperlink ref="C642" r:id="rId1037" display="http://pokemondb.net/type/normal" xr:uid="{00000000-0004-0000-0000-00000C040000}"/>
    <hyperlink ref="B643" r:id="rId1038" tooltip="View pokedex for #400 Bibarel" display="http://pokemondb.net/pokedex/bibarel" xr:uid="{00000000-0004-0000-0000-00000D040000}"/>
    <hyperlink ref="C643" r:id="rId1039" display="http://pokemondb.net/type/normal" xr:uid="{00000000-0004-0000-0000-00000E040000}"/>
    <hyperlink ref="C84" r:id="rId1040" display="http://pokemondb.net/type/water" xr:uid="{00000000-0004-0000-0000-00000F040000}"/>
    <hyperlink ref="B644" r:id="rId1041" tooltip="View pokedex for #401 Kricketot" display="http://pokemondb.net/pokedex/kricketot" xr:uid="{00000000-0004-0000-0000-000010040000}"/>
    <hyperlink ref="C644" r:id="rId1042" display="http://pokemondb.net/type/bug" xr:uid="{00000000-0004-0000-0000-000011040000}"/>
    <hyperlink ref="B645" r:id="rId1043" tooltip="View pokedex for #402 Kricketune" display="http://pokemondb.net/pokedex/kricketune" xr:uid="{00000000-0004-0000-0000-000012040000}"/>
    <hyperlink ref="C645" r:id="rId1044" display="http://pokemondb.net/type/bug" xr:uid="{00000000-0004-0000-0000-000013040000}"/>
    <hyperlink ref="B646" r:id="rId1045" tooltip="View pokedex for #403 Shinx" display="http://pokemondb.net/pokedex/shinx" xr:uid="{00000000-0004-0000-0000-000014040000}"/>
    <hyperlink ref="C646" r:id="rId1046" display="http://pokemondb.net/type/electric" xr:uid="{00000000-0004-0000-0000-000015040000}"/>
    <hyperlink ref="B647" r:id="rId1047" tooltip="View pokedex for #404 Luxio" display="http://pokemondb.net/pokedex/luxio" xr:uid="{00000000-0004-0000-0000-000016040000}"/>
    <hyperlink ref="C647" r:id="rId1048" display="http://pokemondb.net/type/electric" xr:uid="{00000000-0004-0000-0000-000017040000}"/>
    <hyperlink ref="B648" r:id="rId1049" tooltip="View pokedex for #405 Luxray" display="http://pokemondb.net/pokedex/luxray" xr:uid="{00000000-0004-0000-0000-000018040000}"/>
    <hyperlink ref="C648" r:id="rId1050" display="http://pokemondb.net/type/electric" xr:uid="{00000000-0004-0000-0000-000019040000}"/>
    <hyperlink ref="B649" r:id="rId1051" tooltip="View pokedex for #406 Budew" display="http://pokemondb.net/pokedex/budew" xr:uid="{00000000-0004-0000-0000-00001A040000}"/>
    <hyperlink ref="C649" r:id="rId1052" display="http://pokemondb.net/type/grass" xr:uid="{00000000-0004-0000-0000-00001B040000}"/>
    <hyperlink ref="C650" r:id="rId1053" display="http://pokemondb.net/type/poison" xr:uid="{00000000-0004-0000-0000-00001C040000}"/>
    <hyperlink ref="B651" r:id="rId1054" tooltip="View pokedex for #407 Roserade" display="http://pokemondb.net/pokedex/roserade" xr:uid="{00000000-0004-0000-0000-00001D040000}"/>
    <hyperlink ref="C651" r:id="rId1055" display="http://pokemondb.net/type/grass" xr:uid="{00000000-0004-0000-0000-00001E040000}"/>
    <hyperlink ref="C652" r:id="rId1056" display="http://pokemondb.net/type/poison" xr:uid="{00000000-0004-0000-0000-00001F040000}"/>
    <hyperlink ref="B653" r:id="rId1057" tooltip="View pokedex for #408 Cranidos" display="http://pokemondb.net/pokedex/cranidos" xr:uid="{00000000-0004-0000-0000-000020040000}"/>
    <hyperlink ref="C653" r:id="rId1058" display="http://pokemondb.net/type/rock" xr:uid="{00000000-0004-0000-0000-000021040000}"/>
    <hyperlink ref="B654" r:id="rId1059" tooltip="View pokedex for #409 Rampardos" display="http://pokemondb.net/pokedex/rampardos" xr:uid="{00000000-0004-0000-0000-000022040000}"/>
    <hyperlink ref="C654" r:id="rId1060" display="http://pokemondb.net/type/rock" xr:uid="{00000000-0004-0000-0000-000023040000}"/>
    <hyperlink ref="B655" r:id="rId1061" tooltip="View pokedex for #410 Shieldon" display="http://pokemondb.net/pokedex/shieldon" xr:uid="{00000000-0004-0000-0000-000024040000}"/>
    <hyperlink ref="C655" r:id="rId1062" display="http://pokemondb.net/type/rock" xr:uid="{00000000-0004-0000-0000-000025040000}"/>
    <hyperlink ref="C656" r:id="rId1063" display="http://pokemondb.net/type/steel" xr:uid="{00000000-0004-0000-0000-000026040000}"/>
    <hyperlink ref="B657" r:id="rId1064" tooltip="View pokedex for #411 Bastiodon" display="http://pokemondb.net/pokedex/bastiodon" xr:uid="{00000000-0004-0000-0000-000027040000}"/>
    <hyperlink ref="C657" r:id="rId1065" display="http://pokemondb.net/type/rock" xr:uid="{00000000-0004-0000-0000-000028040000}"/>
    <hyperlink ref="C658" r:id="rId1066" display="http://pokemondb.net/type/steel" xr:uid="{00000000-0004-0000-0000-000029040000}"/>
    <hyperlink ref="B659" r:id="rId1067" tooltip="View pokedex for #412 Burmy" display="http://pokemondb.net/pokedex/burmy" xr:uid="{00000000-0004-0000-0000-00002A040000}"/>
    <hyperlink ref="C659" r:id="rId1068" display="http://pokemondb.net/type/bug" xr:uid="{00000000-0004-0000-0000-00002B040000}"/>
    <hyperlink ref="B660" r:id="rId1069" tooltip="View pokedex for #413 Wormadam" display="http://pokemondb.net/pokedex/wormadam" xr:uid="{00000000-0004-0000-0000-00002C040000}"/>
    <hyperlink ref="C660" r:id="rId1070" display="http://pokemondb.net/type/bug" xr:uid="{00000000-0004-0000-0000-00002D040000}"/>
    <hyperlink ref="B661" r:id="rId1071" tooltip="View pokedex for #413 Wormadam" display="http://pokemondb.net/pokedex/wormadam" xr:uid="{00000000-0004-0000-0000-00002E040000}"/>
    <hyperlink ref="C661" r:id="rId1072" display="http://pokemondb.net/type/bug" xr:uid="{00000000-0004-0000-0000-00002F040000}"/>
    <hyperlink ref="B662" r:id="rId1073" tooltip="View pokedex for #413 Wormadam" display="http://pokemondb.net/pokedex/wormadam" xr:uid="{00000000-0004-0000-0000-000030040000}"/>
    <hyperlink ref="C662" r:id="rId1074" display="http://pokemondb.net/type/bug" xr:uid="{00000000-0004-0000-0000-000031040000}"/>
    <hyperlink ref="B663" r:id="rId1075" tooltip="View pokedex for #414 Mothim" display="http://pokemondb.net/pokedex/mothim" xr:uid="{00000000-0004-0000-0000-000032040000}"/>
    <hyperlink ref="C663" r:id="rId1076" display="http://pokemondb.net/type/bug" xr:uid="{00000000-0004-0000-0000-000033040000}"/>
    <hyperlink ref="C664" r:id="rId1077" display="http://pokemondb.net/type/flying" xr:uid="{00000000-0004-0000-0000-000034040000}"/>
    <hyperlink ref="B665" r:id="rId1078" tooltip="View pokedex for #415 Combee" display="http://pokemondb.net/pokedex/combee" xr:uid="{00000000-0004-0000-0000-000035040000}"/>
    <hyperlink ref="C665" r:id="rId1079" display="http://pokemondb.net/type/bug" xr:uid="{00000000-0004-0000-0000-000036040000}"/>
    <hyperlink ref="C666" r:id="rId1080" display="http://pokemondb.net/type/flying" xr:uid="{00000000-0004-0000-0000-000037040000}"/>
    <hyperlink ref="B667" r:id="rId1081" tooltip="View pokedex for #416 Vespiquen" display="http://pokemondb.net/pokedex/vespiquen" xr:uid="{00000000-0004-0000-0000-000038040000}"/>
    <hyperlink ref="C667" r:id="rId1082" display="http://pokemondb.net/type/bug" xr:uid="{00000000-0004-0000-0000-000039040000}"/>
    <hyperlink ref="C668" r:id="rId1083" display="http://pokemondb.net/type/flying" xr:uid="{00000000-0004-0000-0000-00003A040000}"/>
    <hyperlink ref="B669" r:id="rId1084" tooltip="View pokedex for #417 Pachirisu" display="http://pokemondb.net/pokedex/pachirisu" xr:uid="{00000000-0004-0000-0000-00003B040000}"/>
    <hyperlink ref="C669" r:id="rId1085" display="http://pokemondb.net/type/electric" xr:uid="{00000000-0004-0000-0000-00003C040000}"/>
    <hyperlink ref="B670" r:id="rId1086" tooltip="View pokedex for #418 Buizel" display="http://pokemondb.net/pokedex/buizel" xr:uid="{00000000-0004-0000-0000-00003D040000}"/>
    <hyperlink ref="C670" r:id="rId1087" display="http://pokemondb.net/type/water" xr:uid="{00000000-0004-0000-0000-00003E040000}"/>
    <hyperlink ref="B671" r:id="rId1088" tooltip="View pokedex for #419 Floatzel" display="http://pokemondb.net/pokedex/floatzel" xr:uid="{00000000-0004-0000-0000-00003F040000}"/>
    <hyperlink ref="C671" r:id="rId1089" display="http://pokemondb.net/type/water" xr:uid="{00000000-0004-0000-0000-000040040000}"/>
    <hyperlink ref="B672" r:id="rId1090" tooltip="View pokedex for #420 Cherubi" display="http://pokemondb.net/pokedex/cherubi" xr:uid="{00000000-0004-0000-0000-000041040000}"/>
    <hyperlink ref="C672" r:id="rId1091" display="http://pokemondb.net/type/grass" xr:uid="{00000000-0004-0000-0000-000042040000}"/>
    <hyperlink ref="B673" r:id="rId1092" tooltip="View pokedex for #421 Cherrim" display="http://pokemondb.net/pokedex/cherrim" xr:uid="{00000000-0004-0000-0000-000043040000}"/>
    <hyperlink ref="C673" r:id="rId1093" display="http://pokemondb.net/type/grass" xr:uid="{00000000-0004-0000-0000-000044040000}"/>
    <hyperlink ref="B674" r:id="rId1094" tooltip="View pokedex for #422 Shellos" display="http://pokemondb.net/pokedex/shellos" xr:uid="{00000000-0004-0000-0000-000045040000}"/>
    <hyperlink ref="C674" r:id="rId1095" display="http://pokemondb.net/type/water" xr:uid="{00000000-0004-0000-0000-000046040000}"/>
    <hyperlink ref="B675" r:id="rId1096" tooltip="View pokedex for #423 Gastrodon" display="http://pokemondb.net/pokedex/gastrodon" xr:uid="{00000000-0004-0000-0000-000047040000}"/>
    <hyperlink ref="C675" r:id="rId1097" display="http://pokemondb.net/type/water" xr:uid="{00000000-0004-0000-0000-000048040000}"/>
    <hyperlink ref="C676" r:id="rId1098" display="http://pokemondb.net/type/ground" xr:uid="{00000000-0004-0000-0000-000049040000}"/>
    <hyperlink ref="B678" r:id="rId1099" tooltip="View pokedex for #424 Ambipom" display="http://pokemondb.net/pokedex/ambipom" xr:uid="{00000000-0004-0000-0000-00004A040000}"/>
    <hyperlink ref="C678" r:id="rId1100" display="http://pokemondb.net/type/normal" xr:uid="{00000000-0004-0000-0000-00004B040000}"/>
    <hyperlink ref="B680" r:id="rId1101" tooltip="View pokedex for #425 Drifloon" display="http://pokemondb.net/pokedex/drifloon" xr:uid="{00000000-0004-0000-0000-00004C040000}"/>
    <hyperlink ref="C680" r:id="rId1102" display="http://pokemondb.net/type/ghost" xr:uid="{00000000-0004-0000-0000-00004D040000}"/>
    <hyperlink ref="C681" r:id="rId1103" display="http://pokemondb.net/type/flying" xr:uid="{00000000-0004-0000-0000-00004E040000}"/>
    <hyperlink ref="B682" r:id="rId1104" tooltip="View pokedex for #426 Drifblim" display="http://pokemondb.net/pokedex/drifblim" xr:uid="{00000000-0004-0000-0000-00004F040000}"/>
    <hyperlink ref="C682" r:id="rId1105" display="http://pokemondb.net/type/ghost" xr:uid="{00000000-0004-0000-0000-000050040000}"/>
    <hyperlink ref="C683" r:id="rId1106" display="http://pokemondb.net/type/flying" xr:uid="{00000000-0004-0000-0000-000051040000}"/>
    <hyperlink ref="B684" r:id="rId1107" tooltip="View pokedex for #427 Buneary" display="http://pokemondb.net/pokedex/buneary" xr:uid="{00000000-0004-0000-0000-000052040000}"/>
    <hyperlink ref="C684" r:id="rId1108" display="http://pokemondb.net/type/normal" xr:uid="{00000000-0004-0000-0000-000053040000}"/>
    <hyperlink ref="B685" r:id="rId1109" tooltip="View pokedex for #428 Lopunny" display="http://pokemondb.net/pokedex/lopunny" xr:uid="{00000000-0004-0000-0000-000054040000}"/>
    <hyperlink ref="C685" r:id="rId1110" display="http://pokemondb.net/type/normal" xr:uid="{00000000-0004-0000-0000-000055040000}"/>
    <hyperlink ref="B686" r:id="rId1111" tooltip="View pokedex for #429 Mismagius" display="http://pokemondb.net/pokedex/mismagius" xr:uid="{00000000-0004-0000-0000-000056040000}"/>
    <hyperlink ref="C686" r:id="rId1112" display="http://pokemondb.net/type/ghost" xr:uid="{00000000-0004-0000-0000-000057040000}"/>
    <hyperlink ref="B687" r:id="rId1113" tooltip="View pokedex for #430 Honchkrow" display="http://pokemondb.net/pokedex/honchkrow" xr:uid="{00000000-0004-0000-0000-000058040000}"/>
    <hyperlink ref="C687" r:id="rId1114" display="http://pokemondb.net/type/dark" xr:uid="{00000000-0004-0000-0000-000059040000}"/>
    <hyperlink ref="C688" r:id="rId1115" display="http://pokemondb.net/type/flying" xr:uid="{00000000-0004-0000-0000-00005A040000}"/>
    <hyperlink ref="B689" r:id="rId1116" tooltip="View pokedex for #431 Glameow" display="http://pokemondb.net/pokedex/glameow" xr:uid="{00000000-0004-0000-0000-00005B040000}"/>
    <hyperlink ref="C689" r:id="rId1117" display="http://pokemondb.net/type/normal" xr:uid="{00000000-0004-0000-0000-00005C040000}"/>
    <hyperlink ref="B690" r:id="rId1118" tooltip="View pokedex for #432 Purugly" display="http://pokemondb.net/pokedex/purugly" xr:uid="{00000000-0004-0000-0000-00005D040000}"/>
    <hyperlink ref="C690" r:id="rId1119" display="http://pokemondb.net/type/normal" xr:uid="{00000000-0004-0000-0000-00005E040000}"/>
    <hyperlink ref="B691" r:id="rId1120" tooltip="View pokedex for #433 Chingling" display="http://pokemondb.net/pokedex/chingling" xr:uid="{00000000-0004-0000-0000-00005F040000}"/>
    <hyperlink ref="C691" r:id="rId1121" display="http://pokemondb.net/type/psychic" xr:uid="{00000000-0004-0000-0000-000060040000}"/>
    <hyperlink ref="B692" r:id="rId1122" tooltip="View pokedex for #434 Stunky" display="http://pokemondb.net/pokedex/stunky" xr:uid="{00000000-0004-0000-0000-000061040000}"/>
    <hyperlink ref="C692" r:id="rId1123" display="http://pokemondb.net/type/poison" xr:uid="{00000000-0004-0000-0000-000062040000}"/>
    <hyperlink ref="C693" r:id="rId1124" display="http://pokemondb.net/type/dark" xr:uid="{00000000-0004-0000-0000-000063040000}"/>
    <hyperlink ref="B694" r:id="rId1125" tooltip="View pokedex for #435 Skuntank" display="http://pokemondb.net/pokedex/skuntank" xr:uid="{00000000-0004-0000-0000-000064040000}"/>
    <hyperlink ref="C694" r:id="rId1126" display="http://pokemondb.net/type/poison" xr:uid="{00000000-0004-0000-0000-000065040000}"/>
    <hyperlink ref="C695" r:id="rId1127" display="http://pokemondb.net/type/dark" xr:uid="{00000000-0004-0000-0000-000066040000}"/>
    <hyperlink ref="B696" r:id="rId1128" tooltip="View pokedex for #436 Bronzor" display="http://pokemondb.net/pokedex/bronzor" xr:uid="{00000000-0004-0000-0000-000067040000}"/>
    <hyperlink ref="C696" r:id="rId1129" display="http://pokemondb.net/type/steel" xr:uid="{00000000-0004-0000-0000-000068040000}"/>
    <hyperlink ref="C697" r:id="rId1130" display="http://pokemondb.net/type/psychic" xr:uid="{00000000-0004-0000-0000-000069040000}"/>
    <hyperlink ref="B698" r:id="rId1131" tooltip="View pokedex for #437 Bronzong" display="http://pokemondb.net/pokedex/bronzong" xr:uid="{00000000-0004-0000-0000-00006A040000}"/>
    <hyperlink ref="C698" r:id="rId1132" display="http://pokemondb.net/type/steel" xr:uid="{00000000-0004-0000-0000-00006B040000}"/>
    <hyperlink ref="C699" r:id="rId1133" display="http://pokemondb.net/type/psychic" xr:uid="{00000000-0004-0000-0000-00006C040000}"/>
    <hyperlink ref="B700" r:id="rId1134" tooltip="View pokedex for #438 Bonsly" display="http://pokemondb.net/pokedex/bonsly" xr:uid="{00000000-0004-0000-0000-00006D040000}"/>
    <hyperlink ref="C700" r:id="rId1135" display="http://pokemondb.net/type/rock" xr:uid="{00000000-0004-0000-0000-00006E040000}"/>
    <hyperlink ref="B701" r:id="rId1136" tooltip="View pokedex for #439 Mime Jr." display="http://pokemondb.net/pokedex/mime-jr" xr:uid="{00000000-0004-0000-0000-00006F040000}"/>
    <hyperlink ref="C701" r:id="rId1137" display="http://pokemondb.net/type/psychic" xr:uid="{00000000-0004-0000-0000-000070040000}"/>
    <hyperlink ref="C175" r:id="rId1138" display="http://pokemondb.net/type/fairy" xr:uid="{00000000-0004-0000-0000-000071040000}"/>
    <hyperlink ref="B702" r:id="rId1139" tooltip="View pokedex for #440 Happiny" display="http://pokemondb.net/pokedex/happiny" xr:uid="{00000000-0004-0000-0000-000072040000}"/>
    <hyperlink ref="C702" r:id="rId1140" display="http://pokemondb.net/type/normal" xr:uid="{00000000-0004-0000-0000-000073040000}"/>
    <hyperlink ref="B703" r:id="rId1141" tooltip="View pokedex for #441 Chatot" display="http://pokemondb.net/pokedex/chatot" xr:uid="{00000000-0004-0000-0000-000074040000}"/>
    <hyperlink ref="C703" r:id="rId1142" display="http://pokemondb.net/type/normal" xr:uid="{00000000-0004-0000-0000-000075040000}"/>
    <hyperlink ref="C762" r:id="rId1143" display="http://pokemondb.net/type/flying" xr:uid="{00000000-0004-0000-0000-000076040000}"/>
    <hyperlink ref="B704" r:id="rId1144" tooltip="View pokedex for #442 Spiritomb" display="http://pokemondb.net/pokedex/spiritomb" xr:uid="{00000000-0004-0000-0000-000077040000}"/>
    <hyperlink ref="C704" r:id="rId1145" display="http://pokemondb.net/type/ghost" xr:uid="{00000000-0004-0000-0000-000078040000}"/>
    <hyperlink ref="C705" r:id="rId1146" display="http://pokemondb.net/type/dark" xr:uid="{00000000-0004-0000-0000-000079040000}"/>
    <hyperlink ref="B706" r:id="rId1147" tooltip="View pokedex for #443 Gible" display="http://pokemondb.net/pokedex/gible" xr:uid="{00000000-0004-0000-0000-00007A040000}"/>
    <hyperlink ref="C706" r:id="rId1148" display="http://pokemondb.net/type/dragon" xr:uid="{00000000-0004-0000-0000-00007B040000}"/>
    <hyperlink ref="C707" r:id="rId1149" display="http://pokemondb.net/type/ground" xr:uid="{00000000-0004-0000-0000-00007C040000}"/>
    <hyperlink ref="B708" r:id="rId1150" tooltip="View pokedex for #444 Gabite" display="http://pokemondb.net/pokedex/gabite" xr:uid="{00000000-0004-0000-0000-00007D040000}"/>
    <hyperlink ref="C708" r:id="rId1151" display="http://pokemondb.net/type/dragon" xr:uid="{00000000-0004-0000-0000-00007E040000}"/>
    <hyperlink ref="C709" r:id="rId1152" display="http://pokemondb.net/type/ground" xr:uid="{00000000-0004-0000-0000-00007F040000}"/>
    <hyperlink ref="B710" r:id="rId1153" tooltip="View pokedex for #445 Garchomp" display="http://pokemondb.net/pokedex/garchomp" xr:uid="{00000000-0004-0000-0000-000080040000}"/>
    <hyperlink ref="C710" r:id="rId1154" display="http://pokemondb.net/type/dragon" xr:uid="{00000000-0004-0000-0000-000081040000}"/>
    <hyperlink ref="C711" r:id="rId1155" display="http://pokemondb.net/type/ground" xr:uid="{00000000-0004-0000-0000-000082040000}"/>
    <hyperlink ref="C712" r:id="rId1156" display="http://pokemondb.net/type/dragon" xr:uid="{00000000-0004-0000-0000-000083040000}"/>
    <hyperlink ref="C713" r:id="rId1157" display="http://pokemondb.net/type/ground" xr:uid="{00000000-0004-0000-0000-000084040000}"/>
    <hyperlink ref="B714" r:id="rId1158" tooltip="View pokedex for #446 Munchlax" display="http://pokemondb.net/pokedex/munchlax" xr:uid="{00000000-0004-0000-0000-000085040000}"/>
    <hyperlink ref="C714" r:id="rId1159" display="http://pokemondb.net/type/normal" xr:uid="{00000000-0004-0000-0000-000086040000}"/>
    <hyperlink ref="B716" r:id="rId1160" tooltip="View pokedex for #447 Riolu" display="http://pokemondb.net/pokedex/riolu" xr:uid="{00000000-0004-0000-0000-000087040000}"/>
    <hyperlink ref="C716" r:id="rId1161" display="http://pokemondb.net/type/fighting" xr:uid="{00000000-0004-0000-0000-000088040000}"/>
    <hyperlink ref="B717" r:id="rId1162" tooltip="View pokedex for #448 Lucario" display="http://pokemondb.net/pokedex/lucario" xr:uid="{00000000-0004-0000-0000-000089040000}"/>
    <hyperlink ref="C717" r:id="rId1163" display="http://pokemondb.net/type/fighting" xr:uid="{00000000-0004-0000-0000-00008A040000}"/>
    <hyperlink ref="C718" r:id="rId1164" display="http://pokemondb.net/type/steel" xr:uid="{00000000-0004-0000-0000-00008B040000}"/>
    <hyperlink ref="C719" r:id="rId1165" display="http://pokemondb.net/type/fighting" xr:uid="{00000000-0004-0000-0000-00008C040000}"/>
    <hyperlink ref="C720" r:id="rId1166" display="http://pokemondb.net/type/steel" xr:uid="{00000000-0004-0000-0000-00008D040000}"/>
    <hyperlink ref="B721" r:id="rId1167" tooltip="View pokedex for #449 Hippopotas" display="http://pokemondb.net/pokedex/hippopotas" xr:uid="{00000000-0004-0000-0000-00008E040000}"/>
    <hyperlink ref="C721" r:id="rId1168" display="http://pokemondb.net/type/ground" xr:uid="{00000000-0004-0000-0000-00008F040000}"/>
    <hyperlink ref="B722" r:id="rId1169" tooltip="View pokedex for #450 Hippowdon" display="http://pokemondb.net/pokedex/hippowdon" xr:uid="{00000000-0004-0000-0000-000090040000}"/>
    <hyperlink ref="C722" r:id="rId1170" display="http://pokemondb.net/type/ground" xr:uid="{00000000-0004-0000-0000-000091040000}"/>
    <hyperlink ref="B723" r:id="rId1171" tooltip="View pokedex for #451 Skorupi" display="http://pokemondb.net/pokedex/skorupi" xr:uid="{00000000-0004-0000-0000-000092040000}"/>
    <hyperlink ref="C723" r:id="rId1172" display="http://pokemondb.net/type/poison" xr:uid="{00000000-0004-0000-0000-000093040000}"/>
    <hyperlink ref="C724" r:id="rId1173" display="http://pokemondb.net/type/bug" xr:uid="{00000000-0004-0000-0000-000094040000}"/>
    <hyperlink ref="B725" r:id="rId1174" tooltip="View pokedex for #452 Drapion" display="http://pokemondb.net/pokedex/drapion" xr:uid="{00000000-0004-0000-0000-000095040000}"/>
    <hyperlink ref="C725" r:id="rId1175" display="http://pokemondb.net/type/poison" xr:uid="{00000000-0004-0000-0000-000096040000}"/>
    <hyperlink ref="C726" r:id="rId1176" display="http://pokemondb.net/type/dark" xr:uid="{00000000-0004-0000-0000-000097040000}"/>
    <hyperlink ref="B727" r:id="rId1177" tooltip="View pokedex for #453 Croagunk" display="http://pokemondb.net/pokedex/croagunk" xr:uid="{00000000-0004-0000-0000-000098040000}"/>
    <hyperlink ref="C727" r:id="rId1178" display="http://pokemondb.net/type/poison" xr:uid="{00000000-0004-0000-0000-000099040000}"/>
    <hyperlink ref="C728" r:id="rId1179" display="http://pokemondb.net/type/fighting" xr:uid="{00000000-0004-0000-0000-00009A040000}"/>
    <hyperlink ref="B729" r:id="rId1180" tooltip="View pokedex for #454 Toxicroak" display="http://pokemondb.net/pokedex/toxicroak" xr:uid="{00000000-0004-0000-0000-00009B040000}"/>
    <hyperlink ref="C729" r:id="rId1181" display="http://pokemondb.net/type/poison" xr:uid="{00000000-0004-0000-0000-00009C040000}"/>
    <hyperlink ref="C730" r:id="rId1182" display="http://pokemondb.net/type/fighting" xr:uid="{00000000-0004-0000-0000-00009D040000}"/>
    <hyperlink ref="B731" r:id="rId1183" tooltip="View pokedex for #455 Carnivine" display="http://pokemondb.net/pokedex/carnivine" xr:uid="{00000000-0004-0000-0000-00009E040000}"/>
    <hyperlink ref="C731" r:id="rId1184" display="http://pokemondb.net/type/grass" xr:uid="{00000000-0004-0000-0000-00009F040000}"/>
    <hyperlink ref="B732" r:id="rId1185" tooltip="View pokedex for #456 Finneon" display="http://pokemondb.net/pokedex/finneon" xr:uid="{00000000-0004-0000-0000-0000A0040000}"/>
    <hyperlink ref="C732" r:id="rId1186" display="http://pokemondb.net/type/water" xr:uid="{00000000-0004-0000-0000-0000A1040000}"/>
    <hyperlink ref="B733" r:id="rId1187" tooltip="View pokedex for #457 Lumineon" display="http://pokemondb.net/pokedex/lumineon" xr:uid="{00000000-0004-0000-0000-0000A2040000}"/>
    <hyperlink ref="C733" r:id="rId1188" display="http://pokemondb.net/type/water" xr:uid="{00000000-0004-0000-0000-0000A3040000}"/>
    <hyperlink ref="B734" r:id="rId1189" tooltip="View pokedex for #458 Mantyke" display="http://pokemondb.net/pokedex/mantyke" xr:uid="{00000000-0004-0000-0000-0000A4040000}"/>
    <hyperlink ref="C734" r:id="rId1190" display="http://pokemondb.net/type/water" xr:uid="{00000000-0004-0000-0000-0000A5040000}"/>
    <hyperlink ref="C735" r:id="rId1191" display="http://pokemondb.net/type/flying" xr:uid="{00000000-0004-0000-0000-0000A6040000}"/>
    <hyperlink ref="B736" r:id="rId1192" tooltip="View pokedex for #459 Snover" display="http://pokemondb.net/pokedex/snover" xr:uid="{00000000-0004-0000-0000-0000A7040000}"/>
    <hyperlink ref="C736" r:id="rId1193" display="http://pokemondb.net/type/grass" xr:uid="{00000000-0004-0000-0000-0000A8040000}"/>
    <hyperlink ref="C737" r:id="rId1194" display="http://pokemondb.net/type/ice" xr:uid="{00000000-0004-0000-0000-0000A9040000}"/>
    <hyperlink ref="B738" r:id="rId1195" tooltip="View pokedex for #460 Abomasnow" display="http://pokemondb.net/pokedex/abomasnow" xr:uid="{00000000-0004-0000-0000-0000AA040000}"/>
    <hyperlink ref="C738" r:id="rId1196" display="http://pokemondb.net/type/grass" xr:uid="{00000000-0004-0000-0000-0000AB040000}"/>
    <hyperlink ref="C739" r:id="rId1197" display="http://pokemondb.net/type/ice" xr:uid="{00000000-0004-0000-0000-0000AC040000}"/>
    <hyperlink ref="C740" r:id="rId1198" display="http://pokemondb.net/type/grass" xr:uid="{00000000-0004-0000-0000-0000AD040000}"/>
    <hyperlink ref="C741" r:id="rId1199" display="http://pokemondb.net/type/ice" xr:uid="{00000000-0004-0000-0000-0000AE040000}"/>
    <hyperlink ref="B742" r:id="rId1200" tooltip="View pokedex for #461 Weavile" display="http://pokemondb.net/pokedex/weavile" xr:uid="{00000000-0004-0000-0000-0000AF040000}"/>
    <hyperlink ref="C742" r:id="rId1201" display="http://pokemondb.net/type/dark" xr:uid="{00000000-0004-0000-0000-0000B0040000}"/>
    <hyperlink ref="C743" r:id="rId1202" display="http://pokemondb.net/type/ice" xr:uid="{00000000-0004-0000-0000-0000B1040000}"/>
    <hyperlink ref="B744" r:id="rId1203" tooltip="View pokedex for #462 Magnezone" display="http://pokemondb.net/pokedex/magnezone" xr:uid="{00000000-0004-0000-0000-0000B2040000}"/>
    <hyperlink ref="C744" r:id="rId1204" display="http://pokemondb.net/type/electric" xr:uid="{00000000-0004-0000-0000-0000B3040000}"/>
    <hyperlink ref="C745" r:id="rId1205" display="http://pokemondb.net/type/steel" xr:uid="{00000000-0004-0000-0000-0000B4040000}"/>
    <hyperlink ref="B746" r:id="rId1206" tooltip="View pokedex for #463 Lickilicky" display="http://pokemondb.net/pokedex/lickilicky" xr:uid="{00000000-0004-0000-0000-0000B5040000}"/>
    <hyperlink ref="C746" r:id="rId1207" display="http://pokemondb.net/type/normal" xr:uid="{00000000-0004-0000-0000-0000B6040000}"/>
    <hyperlink ref="B747" r:id="rId1208" tooltip="View pokedex for #464 Rhyperior" display="http://pokemondb.net/pokedex/rhyperior" xr:uid="{00000000-0004-0000-0000-0000B7040000}"/>
    <hyperlink ref="C747" r:id="rId1209" display="http://pokemondb.net/type/ground" xr:uid="{00000000-0004-0000-0000-0000B8040000}"/>
    <hyperlink ref="C748" r:id="rId1210" display="http://pokemondb.net/type/rock" xr:uid="{00000000-0004-0000-0000-0000B9040000}"/>
    <hyperlink ref="B749" r:id="rId1211" tooltip="View pokedex for #465 Tangrowth" display="http://pokemondb.net/pokedex/tangrowth" xr:uid="{00000000-0004-0000-0000-0000BA040000}"/>
    <hyperlink ref="C749" r:id="rId1212" display="http://pokemondb.net/type/grass" xr:uid="{00000000-0004-0000-0000-0000BB040000}"/>
    <hyperlink ref="B750" r:id="rId1213" tooltip="View pokedex for #466 Electivire" display="http://pokemondb.net/pokedex/electivire" xr:uid="{00000000-0004-0000-0000-0000BC040000}"/>
    <hyperlink ref="C750" r:id="rId1214" display="http://pokemondb.net/type/electric" xr:uid="{00000000-0004-0000-0000-0000BD040000}"/>
    <hyperlink ref="B751" r:id="rId1215" tooltip="View pokedex for #467 Magmortar" display="http://pokemondb.net/pokedex/magmortar" xr:uid="{00000000-0004-0000-0000-0000BE040000}"/>
    <hyperlink ref="C751" r:id="rId1216" display="http://pokemondb.net/type/fire" xr:uid="{00000000-0004-0000-0000-0000BF040000}"/>
    <hyperlink ref="B752" r:id="rId1217" tooltip="View pokedex for #468 Togekiss" display="http://pokemondb.net/pokedex/togekiss" xr:uid="{00000000-0004-0000-0000-0000C0040000}"/>
    <hyperlink ref="C752" r:id="rId1218" display="http://pokemondb.net/type/fairy" xr:uid="{00000000-0004-0000-0000-0000C1040000}"/>
    <hyperlink ref="C36" r:id="rId1219" display="http://pokemondb.net/type/flying" xr:uid="{00000000-0004-0000-0000-0000C2040000}"/>
    <hyperlink ref="B753" r:id="rId1220" tooltip="View pokedex for #469 Yanmega" display="http://pokemondb.net/pokedex/yanmega" xr:uid="{00000000-0004-0000-0000-0000C3040000}"/>
    <hyperlink ref="C753" r:id="rId1221" display="http://pokemondb.net/type/bug" xr:uid="{00000000-0004-0000-0000-0000C4040000}"/>
    <hyperlink ref="C754" r:id="rId1222" display="http://pokemondb.net/type/flying" xr:uid="{00000000-0004-0000-0000-0000C5040000}"/>
    <hyperlink ref="B755" r:id="rId1223" tooltip="View pokedex for #470 Leafeon" display="http://pokemondb.net/pokedex/leafeon" xr:uid="{00000000-0004-0000-0000-0000C6040000}"/>
    <hyperlink ref="C755" r:id="rId1224" display="http://pokemondb.net/type/grass" xr:uid="{00000000-0004-0000-0000-0000C7040000}"/>
    <hyperlink ref="B756" r:id="rId1225" tooltip="View pokedex for #471 Glaceon" display="http://pokemondb.net/pokedex/glaceon" xr:uid="{00000000-0004-0000-0000-0000C8040000}"/>
    <hyperlink ref="C756" r:id="rId1226" display="http://pokemondb.net/type/ice" xr:uid="{00000000-0004-0000-0000-0000C9040000}"/>
    <hyperlink ref="B757" r:id="rId1227" tooltip="View pokedex for #472 Gliscor" display="http://pokemondb.net/pokedex/gliscor" xr:uid="{00000000-0004-0000-0000-0000CA040000}"/>
    <hyperlink ref="C757" r:id="rId1228" display="http://pokemondb.net/type/ground" xr:uid="{00000000-0004-0000-0000-0000CB040000}"/>
    <hyperlink ref="C758" r:id="rId1229" display="http://pokemondb.net/type/flying" xr:uid="{00000000-0004-0000-0000-0000CC040000}"/>
    <hyperlink ref="B759" r:id="rId1230" tooltip="View pokedex for #473 Mamoswine" display="http://pokemondb.net/pokedex/mamoswine" xr:uid="{00000000-0004-0000-0000-0000CD040000}"/>
    <hyperlink ref="C759" r:id="rId1231" display="http://pokemondb.net/type/ice" xr:uid="{00000000-0004-0000-0000-0000CE040000}"/>
    <hyperlink ref="C760" r:id="rId1232" display="http://pokemondb.net/type/ground" xr:uid="{00000000-0004-0000-0000-0000CF040000}"/>
    <hyperlink ref="B761" r:id="rId1233" tooltip="View pokedex for #474 Porygon-Z" display="http://pokemondb.net/pokedex/porygon-z" xr:uid="{00000000-0004-0000-0000-0000D0040000}"/>
    <hyperlink ref="C761" r:id="rId1234" display="http://pokemondb.net/type/normal" xr:uid="{00000000-0004-0000-0000-0000D1040000}"/>
    <hyperlink ref="B763" r:id="rId1235" tooltip="View pokedex for #475 Gallade" display="http://pokemondb.net/pokedex/gallade" xr:uid="{00000000-0004-0000-0000-0000D2040000}"/>
    <hyperlink ref="C763" r:id="rId1236" display="http://pokemondb.net/type/psychic" xr:uid="{00000000-0004-0000-0000-0000D3040000}"/>
    <hyperlink ref="C764" r:id="rId1237" display="http://pokemondb.net/type/fighting" xr:uid="{00000000-0004-0000-0000-0000D4040000}"/>
    <hyperlink ref="B765" r:id="rId1238" tooltip="View pokedex for #476 Probopass" display="http://pokemondb.net/pokedex/probopass" xr:uid="{00000000-0004-0000-0000-0000D5040000}"/>
    <hyperlink ref="C765" r:id="rId1239" display="http://pokemondb.net/type/rock" xr:uid="{00000000-0004-0000-0000-0000D6040000}"/>
    <hyperlink ref="C766" r:id="rId1240" display="http://pokemondb.net/type/steel" xr:uid="{00000000-0004-0000-0000-0000D7040000}"/>
    <hyperlink ref="B767" r:id="rId1241" tooltip="View pokedex for #477 Dusknoir" display="http://pokemondb.net/pokedex/dusknoir" xr:uid="{00000000-0004-0000-0000-0000D8040000}"/>
    <hyperlink ref="C767" r:id="rId1242" display="http://pokemondb.net/type/ghost" xr:uid="{00000000-0004-0000-0000-0000D9040000}"/>
    <hyperlink ref="B768" r:id="rId1243" tooltip="View pokedex for #478 Froslass" display="http://pokemondb.net/pokedex/froslass" xr:uid="{00000000-0004-0000-0000-0000DA040000}"/>
    <hyperlink ref="C768" r:id="rId1244" display="http://pokemondb.net/type/ice" xr:uid="{00000000-0004-0000-0000-0000DB040000}"/>
    <hyperlink ref="C769" r:id="rId1245" display="http://pokemondb.net/type/ghost" xr:uid="{00000000-0004-0000-0000-0000DC040000}"/>
    <hyperlink ref="B770" r:id="rId1246" tooltip="View pokedex for #479 Rotom" display="http://pokemondb.net/pokedex/rotom" xr:uid="{00000000-0004-0000-0000-0000DD040000}"/>
    <hyperlink ref="C770" r:id="rId1247" display="http://pokemondb.net/type/electric" xr:uid="{00000000-0004-0000-0000-0000DE040000}"/>
    <hyperlink ref="C771" r:id="rId1248" display="http://pokemondb.net/type/ghost" xr:uid="{00000000-0004-0000-0000-0000DF040000}"/>
    <hyperlink ref="C772" r:id="rId1249" display="http://pokemondb.net/type/electric" xr:uid="{00000000-0004-0000-0000-0000E0040000}"/>
    <hyperlink ref="C773" r:id="rId1250" display="http://pokemondb.net/type/fire" xr:uid="{00000000-0004-0000-0000-0000E1040000}"/>
    <hyperlink ref="C774" r:id="rId1251" display="http://pokemondb.net/type/electric" xr:uid="{00000000-0004-0000-0000-0000E2040000}"/>
    <hyperlink ref="C775" r:id="rId1252" display="http://pokemondb.net/type/water" xr:uid="{00000000-0004-0000-0000-0000E3040000}"/>
    <hyperlink ref="C776" r:id="rId1253" display="http://pokemondb.net/type/electric" xr:uid="{00000000-0004-0000-0000-0000E4040000}"/>
    <hyperlink ref="C777" r:id="rId1254" display="http://pokemondb.net/type/ice" xr:uid="{00000000-0004-0000-0000-0000E5040000}"/>
    <hyperlink ref="C778" r:id="rId1255" display="http://pokemondb.net/type/electric" xr:uid="{00000000-0004-0000-0000-0000E6040000}"/>
    <hyperlink ref="C779" r:id="rId1256" display="http://pokemondb.net/type/flying" xr:uid="{00000000-0004-0000-0000-0000E7040000}"/>
    <hyperlink ref="C780" r:id="rId1257" display="http://pokemondb.net/type/electric" xr:uid="{00000000-0004-0000-0000-0000E8040000}"/>
    <hyperlink ref="C781" r:id="rId1258" display="http://pokemondb.net/type/grass" xr:uid="{00000000-0004-0000-0000-0000E9040000}"/>
    <hyperlink ref="B782" r:id="rId1259" tooltip="View pokedex for #480 Uxie" display="http://pokemondb.net/pokedex/uxie" xr:uid="{00000000-0004-0000-0000-0000EA040000}"/>
    <hyperlink ref="C782" r:id="rId1260" display="http://pokemondb.net/type/psychic" xr:uid="{00000000-0004-0000-0000-0000EB040000}"/>
    <hyperlink ref="B783" r:id="rId1261" tooltip="View pokedex for #481 Mesprit" display="http://pokemondb.net/pokedex/mesprit" xr:uid="{00000000-0004-0000-0000-0000EC040000}"/>
    <hyperlink ref="C783" r:id="rId1262" display="http://pokemondb.net/type/psychic" xr:uid="{00000000-0004-0000-0000-0000ED040000}"/>
    <hyperlink ref="B784" r:id="rId1263" tooltip="View pokedex for #482 Azelf" display="http://pokemondb.net/pokedex/azelf" xr:uid="{00000000-0004-0000-0000-0000EE040000}"/>
    <hyperlink ref="C784" r:id="rId1264" display="http://pokemondb.net/type/psychic" xr:uid="{00000000-0004-0000-0000-0000EF040000}"/>
    <hyperlink ref="B785" r:id="rId1265" tooltip="View pokedex for #483 Dialga" display="http://pokemondb.net/pokedex/dialga" xr:uid="{00000000-0004-0000-0000-0000F0040000}"/>
    <hyperlink ref="C785" r:id="rId1266" display="http://pokemondb.net/type/steel" xr:uid="{00000000-0004-0000-0000-0000F1040000}"/>
    <hyperlink ref="C786" r:id="rId1267" display="http://pokemondb.net/type/dragon" xr:uid="{00000000-0004-0000-0000-0000F2040000}"/>
    <hyperlink ref="B787" r:id="rId1268" tooltip="View pokedex for #484 Palkia" display="http://pokemondb.net/pokedex/palkia" xr:uid="{00000000-0004-0000-0000-0000F3040000}"/>
    <hyperlink ref="C787" r:id="rId1269" display="http://pokemondb.net/type/water" xr:uid="{00000000-0004-0000-0000-0000F4040000}"/>
    <hyperlink ref="C788" r:id="rId1270" display="http://pokemondb.net/type/dragon" xr:uid="{00000000-0004-0000-0000-0000F5040000}"/>
    <hyperlink ref="B789" r:id="rId1271" tooltip="View pokedex for #485 Heatran" display="http://pokemondb.net/pokedex/heatran" xr:uid="{00000000-0004-0000-0000-0000F6040000}"/>
    <hyperlink ref="C789" r:id="rId1272" display="http://pokemondb.net/type/fire" xr:uid="{00000000-0004-0000-0000-0000F7040000}"/>
    <hyperlink ref="C790" r:id="rId1273" display="http://pokemondb.net/type/steel" xr:uid="{00000000-0004-0000-0000-0000F8040000}"/>
    <hyperlink ref="B791" r:id="rId1274" tooltip="View pokedex for #486 Regigigas" display="http://pokemondb.net/pokedex/regigigas" xr:uid="{00000000-0004-0000-0000-0000F9040000}"/>
    <hyperlink ref="C791" r:id="rId1275" display="http://pokemondb.net/type/normal" xr:uid="{00000000-0004-0000-0000-0000FA040000}"/>
    <hyperlink ref="B792" r:id="rId1276" tooltip="View pokedex for #487 Giratina" display="http://pokemondb.net/pokedex/giratina" xr:uid="{00000000-0004-0000-0000-0000FB040000}"/>
    <hyperlink ref="C792" r:id="rId1277" display="http://pokemondb.net/type/ghost" xr:uid="{00000000-0004-0000-0000-0000FC040000}"/>
    <hyperlink ref="C793" r:id="rId1278" display="http://pokemondb.net/type/dragon" xr:uid="{00000000-0004-0000-0000-0000FD040000}"/>
    <hyperlink ref="B794" r:id="rId1279" tooltip="View pokedex for #487 Giratina" display="http://pokemondb.net/pokedex/giratina" xr:uid="{00000000-0004-0000-0000-0000FE040000}"/>
    <hyperlink ref="C794" r:id="rId1280" display="http://pokemondb.net/type/ghost" xr:uid="{00000000-0004-0000-0000-0000FF040000}"/>
    <hyperlink ref="C795" r:id="rId1281" display="http://pokemondb.net/type/dragon" xr:uid="{00000000-0004-0000-0000-000000050000}"/>
    <hyperlink ref="B796" r:id="rId1282" tooltip="View pokedex for #488 Cresselia" display="http://pokemondb.net/pokedex/cresselia" xr:uid="{00000000-0004-0000-0000-000001050000}"/>
    <hyperlink ref="C796" r:id="rId1283" display="http://pokemondb.net/type/psychic" xr:uid="{00000000-0004-0000-0000-000002050000}"/>
    <hyperlink ref="B797" r:id="rId1284" tooltip="View pokedex for #489 Phione" display="http://pokemondb.net/pokedex/phione" xr:uid="{00000000-0004-0000-0000-000003050000}"/>
    <hyperlink ref="C797" r:id="rId1285" display="http://pokemondb.net/type/water" xr:uid="{00000000-0004-0000-0000-000004050000}"/>
    <hyperlink ref="B798" r:id="rId1286" tooltip="View pokedex for #490 Manaphy" display="http://pokemondb.net/pokedex/manaphy" xr:uid="{00000000-0004-0000-0000-000005050000}"/>
    <hyperlink ref="C798" r:id="rId1287" display="http://pokemondb.net/type/water" xr:uid="{00000000-0004-0000-0000-000006050000}"/>
    <hyperlink ref="B799" r:id="rId1288" tooltip="View pokedex for #491 Darkrai" display="http://pokemondb.net/pokedex/darkrai" xr:uid="{00000000-0004-0000-0000-000007050000}"/>
    <hyperlink ref="C799" r:id="rId1289" display="http://pokemondb.net/type/dark" xr:uid="{00000000-0004-0000-0000-000008050000}"/>
    <hyperlink ref="B800" r:id="rId1290" tooltip="View pokedex for #492 Shaymin" display="http://pokemondb.net/pokedex/shaymin" xr:uid="{00000000-0004-0000-0000-000009050000}"/>
    <hyperlink ref="C800" r:id="rId1291" display="http://pokemondb.net/type/grass" xr:uid="{00000000-0004-0000-0000-00000A050000}"/>
    <hyperlink ref="B801" r:id="rId1292" tooltip="View pokedex for #492 Shaymin" display="http://pokemondb.net/pokedex/shaymin" xr:uid="{00000000-0004-0000-0000-00000B050000}"/>
    <hyperlink ref="C801" r:id="rId1293" display="http://pokemondb.net/type/grass" xr:uid="{00000000-0004-0000-0000-00000C050000}"/>
    <hyperlink ref="C802" r:id="rId1294" display="http://pokemondb.net/type/flying" xr:uid="{00000000-0004-0000-0000-00000D050000}"/>
    <hyperlink ref="B803" r:id="rId1295" tooltip="View pokedex for #493 Arceus" display="http://pokemondb.net/pokedex/arceus" xr:uid="{00000000-0004-0000-0000-00000E050000}"/>
    <hyperlink ref="C803" r:id="rId1296" display="http://pokemondb.net/type/normal" xr:uid="{00000000-0004-0000-0000-00000F050000}"/>
    <hyperlink ref="B805" r:id="rId1297" tooltip="View pokedex for #494 Victini" display="http://pokemondb.net/pokedex/victini" xr:uid="{00000000-0004-0000-0000-000010050000}"/>
    <hyperlink ref="C805" r:id="rId1298" display="http://pokemondb.net/type/psychic" xr:uid="{00000000-0004-0000-0000-000011050000}"/>
    <hyperlink ref="C806" r:id="rId1299" display="http://pokemondb.net/type/fire" xr:uid="{00000000-0004-0000-0000-000012050000}"/>
    <hyperlink ref="B807" r:id="rId1300" tooltip="View pokedex for #495 Snivy" display="http://pokemondb.net/pokedex/snivy" xr:uid="{00000000-0004-0000-0000-000013050000}"/>
    <hyperlink ref="C807" r:id="rId1301" display="http://pokemondb.net/type/grass" xr:uid="{00000000-0004-0000-0000-000014050000}"/>
    <hyperlink ref="B808" r:id="rId1302" tooltip="View pokedex for #496 Servine" display="http://pokemondb.net/pokedex/servine" xr:uid="{00000000-0004-0000-0000-000015050000}"/>
    <hyperlink ref="C808" r:id="rId1303" display="http://pokemondb.net/type/grass" xr:uid="{00000000-0004-0000-0000-000016050000}"/>
    <hyperlink ref="B809" r:id="rId1304" tooltip="View pokedex for #497 Serperior" display="http://pokemondb.net/pokedex/serperior" xr:uid="{00000000-0004-0000-0000-000017050000}"/>
    <hyperlink ref="C809" r:id="rId1305" display="http://pokemondb.net/type/grass" xr:uid="{00000000-0004-0000-0000-000018050000}"/>
    <hyperlink ref="B810" r:id="rId1306" tooltip="View pokedex for #498 Tepig" display="http://pokemondb.net/pokedex/tepig" xr:uid="{00000000-0004-0000-0000-000019050000}"/>
    <hyperlink ref="C810" r:id="rId1307" display="http://pokemondb.net/type/fire" xr:uid="{00000000-0004-0000-0000-00001A050000}"/>
    <hyperlink ref="B811" r:id="rId1308" tooltip="View pokedex for #499 Pignite" display="http://pokemondb.net/pokedex/pignite" xr:uid="{00000000-0004-0000-0000-00001B050000}"/>
    <hyperlink ref="C811" r:id="rId1309" display="http://pokemondb.net/type/fire" xr:uid="{00000000-0004-0000-0000-00001C050000}"/>
    <hyperlink ref="C812" r:id="rId1310" display="http://pokemondb.net/type/fighting" xr:uid="{00000000-0004-0000-0000-00001D050000}"/>
    <hyperlink ref="B813" r:id="rId1311" tooltip="View pokedex for #500 Emboar" display="http://pokemondb.net/pokedex/emboar" xr:uid="{00000000-0004-0000-0000-00001E050000}"/>
    <hyperlink ref="C813" r:id="rId1312" display="http://pokemondb.net/type/fire" xr:uid="{00000000-0004-0000-0000-00001F050000}"/>
    <hyperlink ref="C814" r:id="rId1313" display="http://pokemondb.net/type/fighting" xr:uid="{00000000-0004-0000-0000-000020050000}"/>
    <hyperlink ref="B815" r:id="rId1314" tooltip="View pokedex for #501 Oshawott" display="http://pokemondb.net/pokedex/oshawott" xr:uid="{00000000-0004-0000-0000-000021050000}"/>
    <hyperlink ref="C815" r:id="rId1315" display="http://pokemondb.net/type/water" xr:uid="{00000000-0004-0000-0000-000022050000}"/>
    <hyperlink ref="B816" r:id="rId1316" tooltip="View pokedex for #502 Dewott" display="http://pokemondb.net/pokedex/dewott" xr:uid="{00000000-0004-0000-0000-000023050000}"/>
    <hyperlink ref="C816" r:id="rId1317" display="http://pokemondb.net/type/water" xr:uid="{00000000-0004-0000-0000-000024050000}"/>
    <hyperlink ref="B817" r:id="rId1318" tooltip="View pokedex for #503 Samurott" display="http://pokemondb.net/pokedex/samurott" xr:uid="{00000000-0004-0000-0000-000025050000}"/>
    <hyperlink ref="C817" r:id="rId1319" display="http://pokemondb.net/type/water" xr:uid="{00000000-0004-0000-0000-000026050000}"/>
    <hyperlink ref="B818" r:id="rId1320" tooltip="View pokedex for #504 Patrat" display="http://pokemondb.net/pokedex/patrat" xr:uid="{00000000-0004-0000-0000-000027050000}"/>
    <hyperlink ref="C818" r:id="rId1321" display="http://pokemondb.net/type/normal" xr:uid="{00000000-0004-0000-0000-000028050000}"/>
    <hyperlink ref="B819" r:id="rId1322" tooltip="View pokedex for #505 Watchog" display="http://pokemondb.net/pokedex/watchog" xr:uid="{00000000-0004-0000-0000-000029050000}"/>
    <hyperlink ref="C819" r:id="rId1323" display="http://pokemondb.net/type/normal" xr:uid="{00000000-0004-0000-0000-00002A050000}"/>
    <hyperlink ref="B820" r:id="rId1324" tooltip="View pokedex for #506 Lillipup" display="http://pokemondb.net/pokedex/lillipup" xr:uid="{00000000-0004-0000-0000-00002B050000}"/>
    <hyperlink ref="C820" r:id="rId1325" display="http://pokemondb.net/type/normal" xr:uid="{00000000-0004-0000-0000-00002C050000}"/>
    <hyperlink ref="B821" r:id="rId1326" tooltip="View pokedex for #507 Herdier" display="http://pokemondb.net/pokedex/herdier" xr:uid="{00000000-0004-0000-0000-00002D050000}"/>
    <hyperlink ref="C821" r:id="rId1327" display="http://pokemondb.net/type/normal" xr:uid="{00000000-0004-0000-0000-00002E050000}"/>
    <hyperlink ref="B825" r:id="rId1328" tooltip="View pokedex for #508 Stoutland" display="http://pokemondb.net/pokedex/stoutland" xr:uid="{00000000-0004-0000-0000-00002F050000}"/>
    <hyperlink ref="C825" r:id="rId1329" display="http://pokemondb.net/type/normal" xr:uid="{00000000-0004-0000-0000-000030050000}"/>
    <hyperlink ref="B827" r:id="rId1330" tooltip="View pokedex for #509 Purrloin" display="http://pokemondb.net/pokedex/purrloin" xr:uid="{00000000-0004-0000-0000-000031050000}"/>
    <hyperlink ref="C827" r:id="rId1331" display="http://pokemondb.net/type/dark" xr:uid="{00000000-0004-0000-0000-000032050000}"/>
    <hyperlink ref="B828" r:id="rId1332" tooltip="View pokedex for #510 Liepard" display="http://pokemondb.net/pokedex/liepard" xr:uid="{00000000-0004-0000-0000-000033050000}"/>
    <hyperlink ref="C828" r:id="rId1333" display="http://pokemondb.net/type/dark" xr:uid="{00000000-0004-0000-0000-000034050000}"/>
    <hyperlink ref="B829" r:id="rId1334" tooltip="View pokedex for #511 Pansage" display="http://pokemondb.net/pokedex/pansage" xr:uid="{00000000-0004-0000-0000-000035050000}"/>
    <hyperlink ref="C829" r:id="rId1335" display="http://pokemondb.net/type/grass" xr:uid="{00000000-0004-0000-0000-000036050000}"/>
    <hyperlink ref="B830" r:id="rId1336" tooltip="View pokedex for #512 Simisage" display="http://pokemondb.net/pokedex/simisage" xr:uid="{00000000-0004-0000-0000-000037050000}"/>
    <hyperlink ref="C830" r:id="rId1337" display="http://pokemondb.net/type/grass" xr:uid="{00000000-0004-0000-0000-000038050000}"/>
    <hyperlink ref="B831" r:id="rId1338" tooltip="View pokedex for #513 Pansear" display="http://pokemondb.net/pokedex/pansear" xr:uid="{00000000-0004-0000-0000-000039050000}"/>
    <hyperlink ref="C831" r:id="rId1339" display="http://pokemondb.net/type/fire" xr:uid="{00000000-0004-0000-0000-00003A050000}"/>
    <hyperlink ref="B832" r:id="rId1340" tooltip="View pokedex for #514 Simisear" display="http://pokemondb.net/pokedex/simisear" xr:uid="{00000000-0004-0000-0000-00003B050000}"/>
    <hyperlink ref="C832" r:id="rId1341" display="http://pokemondb.net/type/fire" xr:uid="{00000000-0004-0000-0000-00003C050000}"/>
    <hyperlink ref="B833" r:id="rId1342" tooltip="View pokedex for #515 Panpour" display="http://pokemondb.net/pokedex/panpour" xr:uid="{00000000-0004-0000-0000-00003D050000}"/>
    <hyperlink ref="C833" r:id="rId1343" display="http://pokemondb.net/type/water" xr:uid="{00000000-0004-0000-0000-00003E050000}"/>
    <hyperlink ref="B834" r:id="rId1344" tooltip="View pokedex for #516 Simipour" display="http://pokemondb.net/pokedex/simipour" xr:uid="{00000000-0004-0000-0000-00003F050000}"/>
    <hyperlink ref="C834" r:id="rId1345" display="http://pokemondb.net/type/water" xr:uid="{00000000-0004-0000-0000-000040050000}"/>
    <hyperlink ref="B835" r:id="rId1346" tooltip="View pokedex for #517 Munna" display="http://pokemondb.net/pokedex/munna" xr:uid="{00000000-0004-0000-0000-000041050000}"/>
    <hyperlink ref="C835" r:id="rId1347" display="http://pokemondb.net/type/psychic" xr:uid="{00000000-0004-0000-0000-000042050000}"/>
    <hyperlink ref="B836" r:id="rId1348" tooltip="View pokedex for #518 Musharna" display="http://pokemondb.net/pokedex/musharna" xr:uid="{00000000-0004-0000-0000-000043050000}"/>
    <hyperlink ref="C836" r:id="rId1349" display="http://pokemondb.net/type/psychic" xr:uid="{00000000-0004-0000-0000-000044050000}"/>
    <hyperlink ref="B839" r:id="rId1350" tooltip="View pokedex for #519 Pidove" display="http://pokemondb.net/pokedex/pidove" xr:uid="{00000000-0004-0000-0000-000045050000}"/>
    <hyperlink ref="C839" r:id="rId1351" display="http://pokemondb.net/type/normal" xr:uid="{00000000-0004-0000-0000-000046050000}"/>
    <hyperlink ref="C838" r:id="rId1352" display="http://pokemondb.net/type/flying" xr:uid="{00000000-0004-0000-0000-000047050000}"/>
    <hyperlink ref="B840" r:id="rId1353" tooltip="View pokedex for #520 Tranquill" display="http://pokemondb.net/pokedex/tranquill" xr:uid="{00000000-0004-0000-0000-000048050000}"/>
    <hyperlink ref="C840" r:id="rId1354" display="http://pokemondb.net/type/normal" xr:uid="{00000000-0004-0000-0000-000049050000}"/>
    <hyperlink ref="C376" r:id="rId1355" display="http://pokemondb.net/type/flying" xr:uid="{00000000-0004-0000-0000-00004A050000}"/>
    <hyperlink ref="B841" r:id="rId1356" tooltip="View pokedex for #521 Unfezant" display="http://pokemondb.net/pokedex/unfezant" xr:uid="{00000000-0004-0000-0000-00004B050000}"/>
    <hyperlink ref="C841" r:id="rId1357" display="http://pokemondb.net/type/normal" xr:uid="{00000000-0004-0000-0000-00004C050000}"/>
    <hyperlink ref="C227" r:id="rId1358" display="http://pokemondb.net/type/flying" xr:uid="{00000000-0004-0000-0000-00004D050000}"/>
    <hyperlink ref="B842" r:id="rId1359" tooltip="View pokedex for #522 Blitzle" display="http://pokemondb.net/pokedex/blitzle" xr:uid="{00000000-0004-0000-0000-00004E050000}"/>
    <hyperlink ref="C842" r:id="rId1360" display="http://pokemondb.net/type/electric" xr:uid="{00000000-0004-0000-0000-00004F050000}"/>
    <hyperlink ref="B843" r:id="rId1361" tooltip="View pokedex for #523 Zebstrika" display="http://pokemondb.net/pokedex/zebstrika" xr:uid="{00000000-0004-0000-0000-000050050000}"/>
    <hyperlink ref="C843" r:id="rId1362" display="http://pokemondb.net/type/electric" xr:uid="{00000000-0004-0000-0000-000051050000}"/>
    <hyperlink ref="B844" r:id="rId1363" tooltip="View pokedex for #524 Roggenrola" display="http://pokemondb.net/pokedex/roggenrola" xr:uid="{00000000-0004-0000-0000-000052050000}"/>
    <hyperlink ref="C844" r:id="rId1364" display="http://pokemondb.net/type/rock" xr:uid="{00000000-0004-0000-0000-000053050000}"/>
    <hyperlink ref="B845" r:id="rId1365" tooltip="View pokedex for #525 Boldore" display="http://pokemondb.net/pokedex/boldore" xr:uid="{00000000-0004-0000-0000-000054050000}"/>
    <hyperlink ref="C845" r:id="rId1366" display="http://pokemondb.net/type/rock" xr:uid="{00000000-0004-0000-0000-000055050000}"/>
    <hyperlink ref="B846" r:id="rId1367" tooltip="View pokedex for #526 Gigalith" display="http://pokemondb.net/pokedex/gigalith" xr:uid="{00000000-0004-0000-0000-000056050000}"/>
    <hyperlink ref="C846" r:id="rId1368" display="http://pokemondb.net/type/rock" xr:uid="{00000000-0004-0000-0000-000057050000}"/>
    <hyperlink ref="B847" r:id="rId1369" tooltip="View pokedex for #527 Woobat" display="http://pokemondb.net/pokedex/woobat" xr:uid="{00000000-0004-0000-0000-000058050000}"/>
    <hyperlink ref="C847" r:id="rId1370" display="http://pokemondb.net/type/psychic" xr:uid="{00000000-0004-0000-0000-000059050000}"/>
    <hyperlink ref="C848" r:id="rId1371" display="http://pokemondb.net/type/flying" xr:uid="{00000000-0004-0000-0000-00005A050000}"/>
    <hyperlink ref="B849" r:id="rId1372" tooltip="View pokedex for #528 Swoobat" display="http://pokemondb.net/pokedex/swoobat" xr:uid="{00000000-0004-0000-0000-00005B050000}"/>
    <hyperlink ref="C849" r:id="rId1373" display="http://pokemondb.net/type/psychic" xr:uid="{00000000-0004-0000-0000-00005C050000}"/>
    <hyperlink ref="C850" r:id="rId1374" display="http://pokemondb.net/type/flying" xr:uid="{00000000-0004-0000-0000-00005D050000}"/>
    <hyperlink ref="B851" r:id="rId1375" tooltip="View pokedex for #529 Drilbur" display="http://pokemondb.net/pokedex/drilbur" xr:uid="{00000000-0004-0000-0000-00005E050000}"/>
    <hyperlink ref="C851" r:id="rId1376" display="http://pokemondb.net/type/ground" xr:uid="{00000000-0004-0000-0000-00005F050000}"/>
    <hyperlink ref="B852" r:id="rId1377" tooltip="View pokedex for #530 Excadrill" display="http://pokemondb.net/pokedex/excadrill" xr:uid="{00000000-0004-0000-0000-000060050000}"/>
    <hyperlink ref="C852" r:id="rId1378" display="http://pokemondb.net/type/ground" xr:uid="{00000000-0004-0000-0000-000061050000}"/>
    <hyperlink ref="C853" r:id="rId1379" display="http://pokemondb.net/type/steel" xr:uid="{00000000-0004-0000-0000-000062050000}"/>
    <hyperlink ref="B854" r:id="rId1380" tooltip="View pokedex for #531 Audino" display="http://pokemondb.net/pokedex/audino" xr:uid="{00000000-0004-0000-0000-000063050000}"/>
    <hyperlink ref="C854" r:id="rId1381" display="http://pokemondb.net/type/normal" xr:uid="{00000000-0004-0000-0000-000064050000}"/>
    <hyperlink ref="B857" r:id="rId1382" tooltip="View pokedex for #532 Timburr" display="http://pokemondb.net/pokedex/timburr" xr:uid="{00000000-0004-0000-0000-000065050000}"/>
    <hyperlink ref="C857" r:id="rId1383" display="http://pokemondb.net/type/fighting" xr:uid="{00000000-0004-0000-0000-000066050000}"/>
    <hyperlink ref="B858" r:id="rId1384" tooltip="View pokedex for #533 Gurdurr" display="http://pokemondb.net/pokedex/gurdurr" xr:uid="{00000000-0004-0000-0000-000067050000}"/>
    <hyperlink ref="C858" r:id="rId1385" display="http://pokemondb.net/type/fighting" xr:uid="{00000000-0004-0000-0000-000068050000}"/>
    <hyperlink ref="B859" r:id="rId1386" tooltip="View pokedex for #534 Conkeldurr" display="http://pokemondb.net/pokedex/conkeldurr" xr:uid="{00000000-0004-0000-0000-000069050000}"/>
    <hyperlink ref="C859" r:id="rId1387" display="http://pokemondb.net/type/fighting" xr:uid="{00000000-0004-0000-0000-00006A050000}"/>
    <hyperlink ref="B860" r:id="rId1388" tooltip="View pokedex for #535 Tympole" display="http://pokemondb.net/pokedex/tympole" xr:uid="{00000000-0004-0000-0000-00006B050000}"/>
    <hyperlink ref="C860" r:id="rId1389" display="http://pokemondb.net/type/water" xr:uid="{00000000-0004-0000-0000-00006C050000}"/>
    <hyperlink ref="B861" r:id="rId1390" tooltip="View pokedex for #536 Palpitoad" display="http://pokemondb.net/pokedex/palpitoad" xr:uid="{00000000-0004-0000-0000-00006D050000}"/>
    <hyperlink ref="C861" r:id="rId1391" display="http://pokemondb.net/type/water" xr:uid="{00000000-0004-0000-0000-00006E050000}"/>
    <hyperlink ref="C862" r:id="rId1392" display="http://pokemondb.net/type/ground" xr:uid="{00000000-0004-0000-0000-00006F050000}"/>
    <hyperlink ref="B863" r:id="rId1393" tooltip="View pokedex for #537 Seismitoad" display="http://pokemondb.net/pokedex/seismitoad" xr:uid="{00000000-0004-0000-0000-000070050000}"/>
    <hyperlink ref="C863" r:id="rId1394" display="http://pokemondb.net/type/water" xr:uid="{00000000-0004-0000-0000-000071050000}"/>
    <hyperlink ref="C864" r:id="rId1395" display="http://pokemondb.net/type/ground" xr:uid="{00000000-0004-0000-0000-000072050000}"/>
    <hyperlink ref="B865" r:id="rId1396" tooltip="View pokedex for #538 Throh" display="http://pokemondb.net/pokedex/throh" xr:uid="{00000000-0004-0000-0000-000073050000}"/>
    <hyperlink ref="C865" r:id="rId1397" display="http://pokemondb.net/type/fighting" xr:uid="{00000000-0004-0000-0000-000074050000}"/>
    <hyperlink ref="B866" r:id="rId1398" tooltip="View pokedex for #539 Sawk" display="http://pokemondb.net/pokedex/sawk" xr:uid="{00000000-0004-0000-0000-000075050000}"/>
    <hyperlink ref="C866" r:id="rId1399" display="http://pokemondb.net/type/fighting" xr:uid="{00000000-0004-0000-0000-000076050000}"/>
    <hyperlink ref="B867" r:id="rId1400" tooltip="View pokedex for #540 Sewaddle" display="http://pokemondb.net/pokedex/sewaddle" xr:uid="{00000000-0004-0000-0000-000077050000}"/>
    <hyperlink ref="C867" r:id="rId1401" display="http://pokemondb.net/type/bug" xr:uid="{00000000-0004-0000-0000-000078050000}"/>
    <hyperlink ref="C868" r:id="rId1402" display="http://pokemondb.net/type/grass" xr:uid="{00000000-0004-0000-0000-000079050000}"/>
    <hyperlink ref="B869" r:id="rId1403" tooltip="View pokedex for #541 Swadloon" display="http://pokemondb.net/pokedex/swadloon" xr:uid="{00000000-0004-0000-0000-00007A050000}"/>
    <hyperlink ref="C869" r:id="rId1404" display="http://pokemondb.net/type/bug" xr:uid="{00000000-0004-0000-0000-00007B050000}"/>
    <hyperlink ref="C870" r:id="rId1405" display="http://pokemondb.net/type/grass" xr:uid="{00000000-0004-0000-0000-00007C050000}"/>
    <hyperlink ref="B871" r:id="rId1406" tooltip="View pokedex for #542 Leavanny" display="http://pokemondb.net/pokedex/leavanny" xr:uid="{00000000-0004-0000-0000-00007D050000}"/>
    <hyperlink ref="C871" r:id="rId1407" display="http://pokemondb.net/type/bug" xr:uid="{00000000-0004-0000-0000-00007E050000}"/>
    <hyperlink ref="C872" r:id="rId1408" display="http://pokemondb.net/type/grass" xr:uid="{00000000-0004-0000-0000-00007F050000}"/>
    <hyperlink ref="B873" r:id="rId1409" tooltip="View pokedex for #543 Venipede" display="http://pokemondb.net/pokedex/venipede" xr:uid="{00000000-0004-0000-0000-000080050000}"/>
    <hyperlink ref="C873" r:id="rId1410" display="http://pokemondb.net/type/bug" xr:uid="{00000000-0004-0000-0000-000081050000}"/>
    <hyperlink ref="C874" r:id="rId1411" display="http://pokemondb.net/type/poison" xr:uid="{00000000-0004-0000-0000-000082050000}"/>
    <hyperlink ref="B875" r:id="rId1412" tooltip="View pokedex for #544 Whirlipede" display="http://pokemondb.net/pokedex/whirlipede" xr:uid="{00000000-0004-0000-0000-000083050000}"/>
    <hyperlink ref="C875" r:id="rId1413" display="http://pokemondb.net/type/bug" xr:uid="{00000000-0004-0000-0000-000084050000}"/>
    <hyperlink ref="C876" r:id="rId1414" display="http://pokemondb.net/type/poison" xr:uid="{00000000-0004-0000-0000-000085050000}"/>
    <hyperlink ref="B877" r:id="rId1415" tooltip="View pokedex for #545 Scolipede" display="http://pokemondb.net/pokedex/scolipede" xr:uid="{00000000-0004-0000-0000-000086050000}"/>
    <hyperlink ref="C877" r:id="rId1416" display="http://pokemondb.net/type/bug" xr:uid="{00000000-0004-0000-0000-000087050000}"/>
    <hyperlink ref="C878" r:id="rId1417" display="http://pokemondb.net/type/poison" xr:uid="{00000000-0004-0000-0000-000088050000}"/>
    <hyperlink ref="B879" r:id="rId1418" tooltip="View pokedex for #546 Cottonee" display="http://pokemondb.net/pokedex/cottonee" xr:uid="{00000000-0004-0000-0000-000089050000}"/>
    <hyperlink ref="C879" r:id="rId1419" display="http://pokemondb.net/type/grass" xr:uid="{00000000-0004-0000-0000-00008A050000}"/>
    <hyperlink ref="B880" r:id="rId1420" tooltip="View pokedex for #547 Whimsicott" display="http://pokemondb.net/pokedex/whimsicott" xr:uid="{00000000-0004-0000-0000-00008B050000}"/>
    <hyperlink ref="C880" r:id="rId1421" display="http://pokemondb.net/type/grass" xr:uid="{00000000-0004-0000-0000-00008C050000}"/>
    <hyperlink ref="B881" r:id="rId1422" tooltip="View pokedex for #548 Petilil" display="http://pokemondb.net/pokedex/petilil" xr:uid="{00000000-0004-0000-0000-00008D050000}"/>
    <hyperlink ref="C881" r:id="rId1423" display="http://pokemondb.net/type/grass" xr:uid="{00000000-0004-0000-0000-00008E050000}"/>
    <hyperlink ref="B882" r:id="rId1424" tooltip="View pokedex for #549 Lilligant" display="http://pokemondb.net/pokedex/lilligant" xr:uid="{00000000-0004-0000-0000-00008F050000}"/>
    <hyperlink ref="C882" r:id="rId1425" display="http://pokemondb.net/type/grass" xr:uid="{00000000-0004-0000-0000-000090050000}"/>
    <hyperlink ref="B883" r:id="rId1426" tooltip="View pokedex for #550 Basculin" display="http://pokemondb.net/pokedex/basculin" xr:uid="{00000000-0004-0000-0000-000091050000}"/>
    <hyperlink ref="C883" r:id="rId1427" display="http://pokemondb.net/type/water" xr:uid="{00000000-0004-0000-0000-000092050000}"/>
    <hyperlink ref="B884" r:id="rId1428" tooltip="View pokedex for #551 Sandile" display="http://pokemondb.net/pokedex/sandile" xr:uid="{00000000-0004-0000-0000-000093050000}"/>
    <hyperlink ref="C884" r:id="rId1429" display="http://pokemondb.net/type/ground" xr:uid="{00000000-0004-0000-0000-000094050000}"/>
    <hyperlink ref="C885" r:id="rId1430" display="http://pokemondb.net/type/dark" xr:uid="{00000000-0004-0000-0000-000095050000}"/>
    <hyperlink ref="B886" r:id="rId1431" tooltip="View pokedex for #552 Krokorok" display="http://pokemondb.net/pokedex/krokorok" xr:uid="{00000000-0004-0000-0000-000096050000}"/>
    <hyperlink ref="C886" r:id="rId1432" display="http://pokemondb.net/type/ground" xr:uid="{00000000-0004-0000-0000-000097050000}"/>
    <hyperlink ref="C887" r:id="rId1433" display="http://pokemondb.net/type/dark" xr:uid="{00000000-0004-0000-0000-000098050000}"/>
    <hyperlink ref="B888" r:id="rId1434" tooltip="View pokedex for #553 Krookodile" display="http://pokemondb.net/pokedex/krookodile" xr:uid="{00000000-0004-0000-0000-000099050000}"/>
    <hyperlink ref="C888" r:id="rId1435" display="http://pokemondb.net/type/ground" xr:uid="{00000000-0004-0000-0000-00009A050000}"/>
    <hyperlink ref="C889" r:id="rId1436" display="http://pokemondb.net/type/dark" xr:uid="{00000000-0004-0000-0000-00009B050000}"/>
    <hyperlink ref="B890" r:id="rId1437" tooltip="View pokedex for #554 Darumaka" display="http://pokemondb.net/pokedex/darumaka" xr:uid="{00000000-0004-0000-0000-00009C050000}"/>
    <hyperlink ref="C890" r:id="rId1438" display="http://pokemondb.net/type/fire" xr:uid="{00000000-0004-0000-0000-00009D050000}"/>
    <hyperlink ref="B891" r:id="rId1439" tooltip="View pokedex for #555 Darmanitan" display="http://pokemondb.net/pokedex/darmanitan" xr:uid="{00000000-0004-0000-0000-00009E050000}"/>
    <hyperlink ref="C891" r:id="rId1440" display="http://pokemondb.net/type/fire" xr:uid="{00000000-0004-0000-0000-00009F050000}"/>
    <hyperlink ref="B893" r:id="rId1441" tooltip="View pokedex for #555 Darmanitan" display="http://pokemondb.net/pokedex/darmanitan" xr:uid="{00000000-0004-0000-0000-0000A0050000}"/>
    <hyperlink ref="C893" r:id="rId1442" display="http://pokemondb.net/type/fire" xr:uid="{00000000-0004-0000-0000-0000A1050000}"/>
    <hyperlink ref="C894" r:id="rId1443" display="http://pokemondb.net/type/psychic" xr:uid="{00000000-0004-0000-0000-0000A2050000}"/>
    <hyperlink ref="B895" r:id="rId1444" tooltip="View pokedex for #556 Maractus" display="http://pokemondb.net/pokedex/maractus" xr:uid="{00000000-0004-0000-0000-0000A3050000}"/>
    <hyperlink ref="C895" r:id="rId1445" display="http://pokemondb.net/type/grass" xr:uid="{00000000-0004-0000-0000-0000A4050000}"/>
    <hyperlink ref="B896" r:id="rId1446" tooltip="View pokedex for #557 Dwebble" display="http://pokemondb.net/pokedex/dwebble" xr:uid="{00000000-0004-0000-0000-0000A5050000}"/>
    <hyperlink ref="C896" r:id="rId1447" display="http://pokemondb.net/type/bug" xr:uid="{00000000-0004-0000-0000-0000A6050000}"/>
    <hyperlink ref="C897" r:id="rId1448" display="http://pokemondb.net/type/rock" xr:uid="{00000000-0004-0000-0000-0000A7050000}"/>
    <hyperlink ref="B898" r:id="rId1449" tooltip="View pokedex for #558 Crustle" display="http://pokemondb.net/pokedex/crustle" xr:uid="{00000000-0004-0000-0000-0000A8050000}"/>
    <hyperlink ref="C898" r:id="rId1450" display="http://pokemondb.net/type/bug" xr:uid="{00000000-0004-0000-0000-0000A9050000}"/>
    <hyperlink ref="C899" r:id="rId1451" display="http://pokemondb.net/type/rock" xr:uid="{00000000-0004-0000-0000-0000AA050000}"/>
    <hyperlink ref="B900" r:id="rId1452" tooltip="View pokedex for #559 Scraggy" display="http://pokemondb.net/pokedex/scraggy" xr:uid="{00000000-0004-0000-0000-0000AB050000}"/>
    <hyperlink ref="C900" r:id="rId1453" display="http://pokemondb.net/type/dark" xr:uid="{00000000-0004-0000-0000-0000AC050000}"/>
    <hyperlink ref="C901" r:id="rId1454" display="http://pokemondb.net/type/fighting" xr:uid="{00000000-0004-0000-0000-0000AD050000}"/>
    <hyperlink ref="B902" r:id="rId1455" tooltip="View pokedex for #560 Scrafty" display="http://pokemondb.net/pokedex/scrafty" xr:uid="{00000000-0004-0000-0000-0000AE050000}"/>
    <hyperlink ref="C902" r:id="rId1456" display="http://pokemondb.net/type/dark" xr:uid="{00000000-0004-0000-0000-0000AF050000}"/>
    <hyperlink ref="C903" r:id="rId1457" display="http://pokemondb.net/type/fighting" xr:uid="{00000000-0004-0000-0000-0000B0050000}"/>
    <hyperlink ref="B904" r:id="rId1458" tooltip="View pokedex for #561 Sigilyph" display="http://pokemondb.net/pokedex/sigilyph" xr:uid="{00000000-0004-0000-0000-0000B1050000}"/>
    <hyperlink ref="C904" r:id="rId1459" display="http://pokemondb.net/type/psychic" xr:uid="{00000000-0004-0000-0000-0000B2050000}"/>
    <hyperlink ref="C905" r:id="rId1460" display="http://pokemondb.net/type/flying" xr:uid="{00000000-0004-0000-0000-0000B3050000}"/>
    <hyperlink ref="B906" r:id="rId1461" tooltip="View pokedex for #562 Yamask" display="http://pokemondb.net/pokedex/yamask" xr:uid="{00000000-0004-0000-0000-0000B4050000}"/>
    <hyperlink ref="C906" r:id="rId1462" display="http://pokemondb.net/type/ghost" xr:uid="{00000000-0004-0000-0000-0000B5050000}"/>
    <hyperlink ref="B907" r:id="rId1463" tooltip="View pokedex for #563 Cofagrigus" display="http://pokemondb.net/pokedex/cofagrigus" xr:uid="{00000000-0004-0000-0000-0000B6050000}"/>
    <hyperlink ref="C907" r:id="rId1464" display="http://pokemondb.net/type/ghost" xr:uid="{00000000-0004-0000-0000-0000B7050000}"/>
    <hyperlink ref="B908" r:id="rId1465" tooltip="View pokedex for #564 Tirtouga" display="http://pokemondb.net/pokedex/tirtouga" xr:uid="{00000000-0004-0000-0000-0000B8050000}"/>
    <hyperlink ref="C908" r:id="rId1466" display="http://pokemondb.net/type/water" xr:uid="{00000000-0004-0000-0000-0000B9050000}"/>
    <hyperlink ref="C909" r:id="rId1467" display="http://pokemondb.net/type/rock" xr:uid="{00000000-0004-0000-0000-0000BA050000}"/>
    <hyperlink ref="B910" r:id="rId1468" tooltip="View pokedex for #565 Carracosta" display="http://pokemondb.net/pokedex/carracosta" xr:uid="{00000000-0004-0000-0000-0000BB050000}"/>
    <hyperlink ref="C910" r:id="rId1469" display="http://pokemondb.net/type/water" xr:uid="{00000000-0004-0000-0000-0000BC050000}"/>
    <hyperlink ref="C911" r:id="rId1470" display="http://pokemondb.net/type/rock" xr:uid="{00000000-0004-0000-0000-0000BD050000}"/>
    <hyperlink ref="B912" r:id="rId1471" tooltip="View pokedex for #566 Archen" display="http://pokemondb.net/pokedex/archen" xr:uid="{00000000-0004-0000-0000-0000BE050000}"/>
    <hyperlink ref="C912" r:id="rId1472" display="http://pokemondb.net/type/rock" xr:uid="{00000000-0004-0000-0000-0000BF050000}"/>
    <hyperlink ref="C913" r:id="rId1473" display="http://pokemondb.net/type/flying" xr:uid="{00000000-0004-0000-0000-0000C0050000}"/>
    <hyperlink ref="B914" r:id="rId1474" tooltip="View pokedex for #567 Archeops" display="http://pokemondb.net/pokedex/archeops" xr:uid="{00000000-0004-0000-0000-0000C1050000}"/>
    <hyperlink ref="C914" r:id="rId1475" display="http://pokemondb.net/type/rock" xr:uid="{00000000-0004-0000-0000-0000C2050000}"/>
    <hyperlink ref="C915" r:id="rId1476" display="http://pokemondb.net/type/flying" xr:uid="{00000000-0004-0000-0000-0000C3050000}"/>
    <hyperlink ref="B916" r:id="rId1477" tooltip="View pokedex for #568 Trubbish" display="http://pokemondb.net/pokedex/trubbish" xr:uid="{00000000-0004-0000-0000-0000C4050000}"/>
    <hyperlink ref="C916" r:id="rId1478" display="http://pokemondb.net/type/poison" xr:uid="{00000000-0004-0000-0000-0000C5050000}"/>
    <hyperlink ref="B917" r:id="rId1479" tooltip="View pokedex for #569 Garbodor" display="http://pokemondb.net/pokedex/garbodor" xr:uid="{00000000-0004-0000-0000-0000C6050000}"/>
    <hyperlink ref="C917" r:id="rId1480" display="http://pokemondb.net/type/poison" xr:uid="{00000000-0004-0000-0000-0000C7050000}"/>
    <hyperlink ref="B918" r:id="rId1481" tooltip="View pokedex for #570 Zorua" display="http://pokemondb.net/pokedex/zorua" xr:uid="{00000000-0004-0000-0000-0000C8050000}"/>
    <hyperlink ref="C918" r:id="rId1482" display="http://pokemondb.net/type/dark" xr:uid="{00000000-0004-0000-0000-0000C9050000}"/>
    <hyperlink ref="B919" r:id="rId1483" tooltip="View pokedex for #571 Zoroark" display="http://pokemondb.net/pokedex/zoroark" xr:uid="{00000000-0004-0000-0000-0000CA050000}"/>
    <hyperlink ref="C919" r:id="rId1484" display="http://pokemondb.net/type/dark" xr:uid="{00000000-0004-0000-0000-0000CB050000}"/>
    <hyperlink ref="B920" r:id="rId1485" tooltip="View pokedex for #572 Minccino" display="http://pokemondb.net/pokedex/minccino" xr:uid="{00000000-0004-0000-0000-0000CC050000}"/>
    <hyperlink ref="C920" r:id="rId1486" display="http://pokemondb.net/type/normal" xr:uid="{00000000-0004-0000-0000-0000CD050000}"/>
    <hyperlink ref="B921" r:id="rId1487" tooltip="View pokedex for #573 Cinccino" display="http://pokemondb.net/pokedex/cinccino" xr:uid="{00000000-0004-0000-0000-0000CE050000}"/>
    <hyperlink ref="C921" r:id="rId1488" display="http://pokemondb.net/type/normal" xr:uid="{00000000-0004-0000-0000-0000CF050000}"/>
    <hyperlink ref="B922" r:id="rId1489" tooltip="View pokedex for #574 Gothita" display="http://pokemondb.net/pokedex/gothita" xr:uid="{00000000-0004-0000-0000-0000D0050000}"/>
    <hyperlink ref="C922" r:id="rId1490" display="http://pokemondb.net/type/psychic" xr:uid="{00000000-0004-0000-0000-0000D1050000}"/>
    <hyperlink ref="B923" r:id="rId1491" tooltip="View pokedex for #575 Gothorita" display="http://pokemondb.net/pokedex/gothorita" xr:uid="{00000000-0004-0000-0000-0000D2050000}"/>
    <hyperlink ref="C923" r:id="rId1492" display="http://pokemondb.net/type/psychic" xr:uid="{00000000-0004-0000-0000-0000D3050000}"/>
    <hyperlink ref="B924" r:id="rId1493" tooltip="View pokedex for #576 Gothitelle" display="http://pokemondb.net/pokedex/gothitelle" xr:uid="{00000000-0004-0000-0000-0000D4050000}"/>
    <hyperlink ref="C924" r:id="rId1494" display="http://pokemondb.net/type/psychic" xr:uid="{00000000-0004-0000-0000-0000D5050000}"/>
    <hyperlink ref="B925" r:id="rId1495" tooltip="View pokedex for #577 Solosis" display="http://pokemondb.net/pokedex/solosis" xr:uid="{00000000-0004-0000-0000-0000D6050000}"/>
    <hyperlink ref="C925" r:id="rId1496" display="http://pokemondb.net/type/psychic" xr:uid="{00000000-0004-0000-0000-0000D7050000}"/>
    <hyperlink ref="B926" r:id="rId1497" tooltip="View pokedex for #578 Duosion" display="http://pokemondb.net/pokedex/duosion" xr:uid="{00000000-0004-0000-0000-0000D8050000}"/>
    <hyperlink ref="C926" r:id="rId1498" display="http://pokemondb.net/type/psychic" xr:uid="{00000000-0004-0000-0000-0000D9050000}"/>
    <hyperlink ref="B927" r:id="rId1499" tooltip="View pokedex for #579 Reuniclus" display="http://pokemondb.net/pokedex/reuniclus" xr:uid="{00000000-0004-0000-0000-0000DA050000}"/>
    <hyperlink ref="C927" r:id="rId1500" display="http://pokemondb.net/type/psychic" xr:uid="{00000000-0004-0000-0000-0000DB050000}"/>
    <hyperlink ref="B928" r:id="rId1501" tooltip="View pokedex for #580 Ducklett" display="http://pokemondb.net/pokedex/ducklett" xr:uid="{00000000-0004-0000-0000-0000DC050000}"/>
    <hyperlink ref="C928" r:id="rId1502" display="http://pokemondb.net/type/water" xr:uid="{00000000-0004-0000-0000-0000DD050000}"/>
    <hyperlink ref="C929" r:id="rId1503" display="http://pokemondb.net/type/flying" xr:uid="{00000000-0004-0000-0000-0000DE050000}"/>
    <hyperlink ref="B930" r:id="rId1504" tooltip="View pokedex for #581 Swanna" display="http://pokemondb.net/pokedex/swanna" xr:uid="{00000000-0004-0000-0000-0000DF050000}"/>
    <hyperlink ref="C930" r:id="rId1505" display="http://pokemondb.net/type/water" xr:uid="{00000000-0004-0000-0000-0000E0050000}"/>
    <hyperlink ref="C931" r:id="rId1506" display="http://pokemondb.net/type/flying" xr:uid="{00000000-0004-0000-0000-0000E1050000}"/>
    <hyperlink ref="B932" r:id="rId1507" tooltip="View pokedex for #582 Vanillite" display="http://pokemondb.net/pokedex/vanillite" xr:uid="{00000000-0004-0000-0000-0000E2050000}"/>
    <hyperlink ref="C932" r:id="rId1508" display="http://pokemondb.net/type/ice" xr:uid="{00000000-0004-0000-0000-0000E3050000}"/>
    <hyperlink ref="B933" r:id="rId1509" tooltip="View pokedex for #583 Vanillish" display="http://pokemondb.net/pokedex/vanillish" xr:uid="{00000000-0004-0000-0000-0000E4050000}"/>
    <hyperlink ref="C933" r:id="rId1510" display="http://pokemondb.net/type/ice" xr:uid="{00000000-0004-0000-0000-0000E5050000}"/>
    <hyperlink ref="B934" r:id="rId1511" tooltip="View pokedex for #584 Vanilluxe" display="http://pokemondb.net/pokedex/vanilluxe" xr:uid="{00000000-0004-0000-0000-0000E6050000}"/>
    <hyperlink ref="C934" r:id="rId1512" display="http://pokemondb.net/type/ice" xr:uid="{00000000-0004-0000-0000-0000E7050000}"/>
    <hyperlink ref="B935" r:id="rId1513" tooltip="View pokedex for #585 Deerling" display="http://pokemondb.net/pokedex/deerling" xr:uid="{00000000-0004-0000-0000-0000E8050000}"/>
    <hyperlink ref="C935" r:id="rId1514" display="http://pokemondb.net/type/normal" xr:uid="{00000000-0004-0000-0000-0000E9050000}"/>
    <hyperlink ref="C1098" r:id="rId1515" display="http://pokemondb.net/type/grass" xr:uid="{00000000-0004-0000-0000-0000EA050000}"/>
    <hyperlink ref="B936" r:id="rId1516" tooltip="View pokedex for #586 Sawsbuck" display="http://pokemondb.net/pokedex/sawsbuck" xr:uid="{00000000-0004-0000-0000-0000EB050000}"/>
    <hyperlink ref="C936" r:id="rId1517" display="http://pokemondb.net/type/normal" xr:uid="{00000000-0004-0000-0000-0000EC050000}"/>
    <hyperlink ref="C374" r:id="rId1518" display="http://pokemondb.net/type/grass" xr:uid="{00000000-0004-0000-0000-0000ED050000}"/>
    <hyperlink ref="B937" r:id="rId1519" tooltip="View pokedex for #587 Emolga" display="http://pokemondb.net/pokedex/emolga" xr:uid="{00000000-0004-0000-0000-0000EE050000}"/>
    <hyperlink ref="C937" r:id="rId1520" display="http://pokemondb.net/type/electric" xr:uid="{00000000-0004-0000-0000-0000EF050000}"/>
    <hyperlink ref="C938" r:id="rId1521" display="http://pokemondb.net/type/flying" xr:uid="{00000000-0004-0000-0000-0000F0050000}"/>
    <hyperlink ref="B939" r:id="rId1522" tooltip="View pokedex for #588 Karrablast" display="http://pokemondb.net/pokedex/karrablast" xr:uid="{00000000-0004-0000-0000-0000F1050000}"/>
    <hyperlink ref="C939" r:id="rId1523" display="http://pokemondb.net/type/bug" xr:uid="{00000000-0004-0000-0000-0000F2050000}"/>
    <hyperlink ref="B940" r:id="rId1524" tooltip="View pokedex for #589 Escavalier" display="http://pokemondb.net/pokedex/escavalier" xr:uid="{00000000-0004-0000-0000-0000F3050000}"/>
    <hyperlink ref="C940" r:id="rId1525" display="http://pokemondb.net/type/bug" xr:uid="{00000000-0004-0000-0000-0000F4050000}"/>
    <hyperlink ref="C941" r:id="rId1526" display="http://pokemondb.net/type/steel" xr:uid="{00000000-0004-0000-0000-0000F5050000}"/>
    <hyperlink ref="B942" r:id="rId1527" tooltip="View pokedex for #590 Foongus" display="http://pokemondb.net/pokedex/foongus" xr:uid="{00000000-0004-0000-0000-0000F6050000}"/>
    <hyperlink ref="C942" r:id="rId1528" display="http://pokemondb.net/type/grass" xr:uid="{00000000-0004-0000-0000-0000F7050000}"/>
    <hyperlink ref="C943" r:id="rId1529" display="http://pokemondb.net/type/poison" xr:uid="{00000000-0004-0000-0000-0000F8050000}"/>
    <hyperlink ref="B944" r:id="rId1530" tooltip="View pokedex for #591 Amoonguss" display="http://pokemondb.net/pokedex/amoonguss" xr:uid="{00000000-0004-0000-0000-0000F9050000}"/>
    <hyperlink ref="C944" r:id="rId1531" display="http://pokemondb.net/type/grass" xr:uid="{00000000-0004-0000-0000-0000FA050000}"/>
    <hyperlink ref="C945" r:id="rId1532" display="http://pokemondb.net/type/poison" xr:uid="{00000000-0004-0000-0000-0000FB050000}"/>
    <hyperlink ref="B946" r:id="rId1533" tooltip="View pokedex for #592 Frillish" display="http://pokemondb.net/pokedex/frillish" xr:uid="{00000000-0004-0000-0000-0000FC050000}"/>
    <hyperlink ref="C946" r:id="rId1534" display="http://pokemondb.net/type/water" xr:uid="{00000000-0004-0000-0000-0000FD050000}"/>
    <hyperlink ref="C947" r:id="rId1535" display="http://pokemondb.net/type/ghost" xr:uid="{00000000-0004-0000-0000-0000FE050000}"/>
    <hyperlink ref="B948" r:id="rId1536" tooltip="View pokedex for #593 Jellicent" display="http://pokemondb.net/pokedex/jellicent" xr:uid="{00000000-0004-0000-0000-0000FF050000}"/>
    <hyperlink ref="C948" r:id="rId1537" display="http://pokemondb.net/type/water" xr:uid="{00000000-0004-0000-0000-000000060000}"/>
    <hyperlink ref="C949" r:id="rId1538" display="http://pokemondb.net/type/ghost" xr:uid="{00000000-0004-0000-0000-000001060000}"/>
    <hyperlink ref="B950" r:id="rId1539" tooltip="View pokedex for #594 Alomomola" display="http://pokemondb.net/pokedex/alomomola" xr:uid="{00000000-0004-0000-0000-000002060000}"/>
    <hyperlink ref="C950" r:id="rId1540" display="http://pokemondb.net/type/water" xr:uid="{00000000-0004-0000-0000-000003060000}"/>
    <hyperlink ref="B951" r:id="rId1541" tooltip="View pokedex for #595 Joltik" display="http://pokemondb.net/pokedex/joltik" xr:uid="{00000000-0004-0000-0000-000004060000}"/>
    <hyperlink ref="C951" r:id="rId1542" display="http://pokemondb.net/type/bug" xr:uid="{00000000-0004-0000-0000-000005060000}"/>
    <hyperlink ref="C952" r:id="rId1543" display="http://pokemondb.net/type/electric" xr:uid="{00000000-0004-0000-0000-000006060000}"/>
    <hyperlink ref="B953" r:id="rId1544" tooltip="View pokedex for #596 Galvantula" display="http://pokemondb.net/pokedex/galvantula" xr:uid="{00000000-0004-0000-0000-000007060000}"/>
    <hyperlink ref="C953" r:id="rId1545" display="http://pokemondb.net/type/bug" xr:uid="{00000000-0004-0000-0000-000008060000}"/>
    <hyperlink ref="C954" r:id="rId1546" display="http://pokemondb.net/type/electric" xr:uid="{00000000-0004-0000-0000-000009060000}"/>
    <hyperlink ref="B955" r:id="rId1547" tooltip="View pokedex for #597 Ferroseed" display="http://pokemondb.net/pokedex/ferroseed" xr:uid="{00000000-0004-0000-0000-00000A060000}"/>
    <hyperlink ref="C955" r:id="rId1548" display="http://pokemondb.net/type/grass" xr:uid="{00000000-0004-0000-0000-00000B060000}"/>
    <hyperlink ref="C956" r:id="rId1549" display="http://pokemondb.net/type/steel" xr:uid="{00000000-0004-0000-0000-00000C060000}"/>
    <hyperlink ref="B957" r:id="rId1550" tooltip="View pokedex for #598 Ferrothorn" display="http://pokemondb.net/pokedex/ferrothorn" xr:uid="{00000000-0004-0000-0000-00000D060000}"/>
    <hyperlink ref="C957" r:id="rId1551" display="http://pokemondb.net/type/grass" xr:uid="{00000000-0004-0000-0000-00000E060000}"/>
    <hyperlink ref="C958" r:id="rId1552" display="http://pokemondb.net/type/steel" xr:uid="{00000000-0004-0000-0000-00000F060000}"/>
    <hyperlink ref="B959" r:id="rId1553" tooltip="View pokedex for #599 Klink" display="http://pokemondb.net/pokedex/klink" xr:uid="{00000000-0004-0000-0000-000010060000}"/>
    <hyperlink ref="C959" r:id="rId1554" display="http://pokemondb.net/type/steel" xr:uid="{00000000-0004-0000-0000-000011060000}"/>
    <hyperlink ref="B960" r:id="rId1555" tooltip="View pokedex for #600 Klang" display="http://pokemondb.net/pokedex/klang" xr:uid="{00000000-0004-0000-0000-000012060000}"/>
    <hyperlink ref="C960" r:id="rId1556" display="http://pokemondb.net/type/steel" xr:uid="{00000000-0004-0000-0000-000013060000}"/>
    <hyperlink ref="B961" r:id="rId1557" tooltip="View pokedex for #601 Klinklang" display="http://pokemondb.net/pokedex/klinklang" xr:uid="{00000000-0004-0000-0000-000014060000}"/>
    <hyperlink ref="C961" r:id="rId1558" display="http://pokemondb.net/type/steel" xr:uid="{00000000-0004-0000-0000-000015060000}"/>
    <hyperlink ref="B962" r:id="rId1559" tooltip="View pokedex for #602 Tynamo" display="http://pokemondb.net/pokedex/tynamo" xr:uid="{00000000-0004-0000-0000-000016060000}"/>
    <hyperlink ref="C962" r:id="rId1560" display="http://pokemondb.net/type/electric" xr:uid="{00000000-0004-0000-0000-000017060000}"/>
    <hyperlink ref="B963" r:id="rId1561" tooltip="View pokedex for #603 Eelektrik" display="http://pokemondb.net/pokedex/eelektrik" xr:uid="{00000000-0004-0000-0000-000018060000}"/>
    <hyperlink ref="C963" r:id="rId1562" display="http://pokemondb.net/type/electric" xr:uid="{00000000-0004-0000-0000-000019060000}"/>
    <hyperlink ref="B964" r:id="rId1563" tooltip="View pokedex for #604 Eelektross" display="http://pokemondb.net/pokedex/eelektross" xr:uid="{00000000-0004-0000-0000-00001A060000}"/>
    <hyperlink ref="C964" r:id="rId1564" display="http://pokemondb.net/type/electric" xr:uid="{00000000-0004-0000-0000-00001B060000}"/>
    <hyperlink ref="B965" r:id="rId1565" tooltip="View pokedex for #605 Elgyem" display="http://pokemondb.net/pokedex/elgyem" xr:uid="{00000000-0004-0000-0000-00001C060000}"/>
    <hyperlink ref="C965" r:id="rId1566" display="http://pokemondb.net/type/psychic" xr:uid="{00000000-0004-0000-0000-00001D060000}"/>
    <hyperlink ref="B966" r:id="rId1567" tooltip="View pokedex for #606 Beheeyem" display="http://pokemondb.net/pokedex/beheeyem" xr:uid="{00000000-0004-0000-0000-00001E060000}"/>
    <hyperlink ref="C966" r:id="rId1568" display="http://pokemondb.net/type/psychic" xr:uid="{00000000-0004-0000-0000-00001F060000}"/>
    <hyperlink ref="B967" r:id="rId1569" tooltip="View pokedex for #607 Litwick" display="http://pokemondb.net/pokedex/litwick" xr:uid="{00000000-0004-0000-0000-000020060000}"/>
    <hyperlink ref="C967" r:id="rId1570" display="http://pokemondb.net/type/ghost" xr:uid="{00000000-0004-0000-0000-000021060000}"/>
    <hyperlink ref="C968" r:id="rId1571" display="http://pokemondb.net/type/fire" xr:uid="{00000000-0004-0000-0000-000022060000}"/>
    <hyperlink ref="B969" r:id="rId1572" tooltip="View pokedex for #608 Lampent" display="http://pokemondb.net/pokedex/lampent" xr:uid="{00000000-0004-0000-0000-000023060000}"/>
    <hyperlink ref="C969" r:id="rId1573" display="http://pokemondb.net/type/ghost" xr:uid="{00000000-0004-0000-0000-000024060000}"/>
    <hyperlink ref="C970" r:id="rId1574" display="http://pokemondb.net/type/fire" xr:uid="{00000000-0004-0000-0000-000025060000}"/>
    <hyperlink ref="B971" r:id="rId1575" tooltip="View pokedex for #609 Chandelure" display="http://pokemondb.net/pokedex/chandelure" xr:uid="{00000000-0004-0000-0000-000026060000}"/>
    <hyperlink ref="C971" r:id="rId1576" display="http://pokemondb.net/type/ghost" xr:uid="{00000000-0004-0000-0000-000027060000}"/>
    <hyperlink ref="C972" r:id="rId1577" display="http://pokemondb.net/type/fire" xr:uid="{00000000-0004-0000-0000-000028060000}"/>
    <hyperlink ref="B973" r:id="rId1578" tooltip="View pokedex for #610 Axew" display="http://pokemondb.net/pokedex/axew" xr:uid="{00000000-0004-0000-0000-000029060000}"/>
    <hyperlink ref="C973" r:id="rId1579" display="http://pokemondb.net/type/dragon" xr:uid="{00000000-0004-0000-0000-00002A060000}"/>
    <hyperlink ref="B974" r:id="rId1580" tooltip="View pokedex for #611 Fraxure" display="http://pokemondb.net/pokedex/fraxure" xr:uid="{00000000-0004-0000-0000-00002B060000}"/>
    <hyperlink ref="C974" r:id="rId1581" display="http://pokemondb.net/type/dragon" xr:uid="{00000000-0004-0000-0000-00002C060000}"/>
    <hyperlink ref="B975" r:id="rId1582" tooltip="View pokedex for #612 Haxorus" display="http://pokemondb.net/pokedex/haxorus" xr:uid="{00000000-0004-0000-0000-00002D060000}"/>
    <hyperlink ref="C975" r:id="rId1583" display="http://pokemondb.net/type/dragon" xr:uid="{00000000-0004-0000-0000-00002E060000}"/>
    <hyperlink ref="B976" r:id="rId1584" tooltip="View pokedex for #613 Cubchoo" display="http://pokemondb.net/pokedex/cubchoo" xr:uid="{00000000-0004-0000-0000-00002F060000}"/>
    <hyperlink ref="C976" r:id="rId1585" display="http://pokemondb.net/type/ice" xr:uid="{00000000-0004-0000-0000-000030060000}"/>
    <hyperlink ref="B977" r:id="rId1586" tooltip="View pokedex for #614 Beartic" display="http://pokemondb.net/pokedex/beartic" xr:uid="{00000000-0004-0000-0000-000031060000}"/>
    <hyperlink ref="C977" r:id="rId1587" display="http://pokemondb.net/type/ice" xr:uid="{00000000-0004-0000-0000-000032060000}"/>
    <hyperlink ref="B978" r:id="rId1588" tooltip="View pokedex for #615 Cryogonal" display="http://pokemondb.net/pokedex/cryogonal" xr:uid="{00000000-0004-0000-0000-000033060000}"/>
    <hyperlink ref="C978" r:id="rId1589" display="http://pokemondb.net/type/ice" xr:uid="{00000000-0004-0000-0000-000034060000}"/>
    <hyperlink ref="B979" r:id="rId1590" tooltip="View pokedex for #616 Shelmet" display="http://pokemondb.net/pokedex/shelmet" xr:uid="{00000000-0004-0000-0000-000035060000}"/>
    <hyperlink ref="C979" r:id="rId1591" display="http://pokemondb.net/type/bug" xr:uid="{00000000-0004-0000-0000-000036060000}"/>
    <hyperlink ref="B980" r:id="rId1592" tooltip="View pokedex for #617 Accelgor" display="http://pokemondb.net/pokedex/accelgor" xr:uid="{00000000-0004-0000-0000-000037060000}"/>
    <hyperlink ref="C980" r:id="rId1593" display="http://pokemondb.net/type/bug" xr:uid="{00000000-0004-0000-0000-000038060000}"/>
    <hyperlink ref="B981" r:id="rId1594" tooltip="View pokedex for #618 Stunfisk" display="http://pokemondb.net/pokedex/stunfisk" xr:uid="{00000000-0004-0000-0000-000039060000}"/>
    <hyperlink ref="C981" r:id="rId1595" display="http://pokemondb.net/type/electric" xr:uid="{00000000-0004-0000-0000-00003A060000}"/>
    <hyperlink ref="C982" r:id="rId1596" display="http://pokemondb.net/type/ground" xr:uid="{00000000-0004-0000-0000-00003B060000}"/>
    <hyperlink ref="B983" r:id="rId1597" tooltip="View pokedex for #619 Mienfoo" display="http://pokemondb.net/pokedex/mienfoo" xr:uid="{00000000-0004-0000-0000-00003C060000}"/>
    <hyperlink ref="C983" r:id="rId1598" display="http://pokemondb.net/type/fighting" xr:uid="{00000000-0004-0000-0000-00003D060000}"/>
    <hyperlink ref="B984" r:id="rId1599" tooltip="View pokedex for #620 Mienshao" display="http://pokemondb.net/pokedex/mienshao" xr:uid="{00000000-0004-0000-0000-00003E060000}"/>
    <hyperlink ref="C984" r:id="rId1600" display="http://pokemondb.net/type/fighting" xr:uid="{00000000-0004-0000-0000-00003F060000}"/>
    <hyperlink ref="B985" r:id="rId1601" tooltip="View pokedex for #621 Druddigon" display="http://pokemondb.net/pokedex/druddigon" xr:uid="{00000000-0004-0000-0000-000040060000}"/>
    <hyperlink ref="C985" r:id="rId1602" display="http://pokemondb.net/type/dragon" xr:uid="{00000000-0004-0000-0000-000041060000}"/>
    <hyperlink ref="B986" r:id="rId1603" tooltip="View pokedex for #622 Golett" display="http://pokemondb.net/pokedex/golett" xr:uid="{00000000-0004-0000-0000-000042060000}"/>
    <hyperlink ref="C986" r:id="rId1604" display="http://pokemondb.net/type/ground" xr:uid="{00000000-0004-0000-0000-000043060000}"/>
    <hyperlink ref="C987" r:id="rId1605" display="http://pokemondb.net/type/ghost" xr:uid="{00000000-0004-0000-0000-000044060000}"/>
    <hyperlink ref="B988" r:id="rId1606" tooltip="View pokedex for #623 Golurk" display="http://pokemondb.net/pokedex/golurk" xr:uid="{00000000-0004-0000-0000-000045060000}"/>
    <hyperlink ref="C988" r:id="rId1607" display="http://pokemondb.net/type/ground" xr:uid="{00000000-0004-0000-0000-000046060000}"/>
    <hyperlink ref="C989" r:id="rId1608" display="http://pokemondb.net/type/ghost" xr:uid="{00000000-0004-0000-0000-000047060000}"/>
    <hyperlink ref="B990" r:id="rId1609" tooltip="View pokedex for #624 Pawniard" display="http://pokemondb.net/pokedex/pawniard" xr:uid="{00000000-0004-0000-0000-000048060000}"/>
    <hyperlink ref="C990" r:id="rId1610" display="http://pokemondb.net/type/dark" xr:uid="{00000000-0004-0000-0000-000049060000}"/>
    <hyperlink ref="C991" r:id="rId1611" display="http://pokemondb.net/type/steel" xr:uid="{00000000-0004-0000-0000-00004A060000}"/>
    <hyperlink ref="B992" r:id="rId1612" tooltip="View pokedex for #625 Bisharp" display="http://pokemondb.net/pokedex/bisharp" xr:uid="{00000000-0004-0000-0000-00004B060000}"/>
    <hyperlink ref="C992" r:id="rId1613" display="http://pokemondb.net/type/dark" xr:uid="{00000000-0004-0000-0000-00004C060000}"/>
    <hyperlink ref="C993" r:id="rId1614" display="http://pokemondb.net/type/steel" xr:uid="{00000000-0004-0000-0000-00004D060000}"/>
    <hyperlink ref="B994" r:id="rId1615" tooltip="View pokedex for #626 Bouffalant" display="http://pokemondb.net/pokedex/bouffalant" xr:uid="{00000000-0004-0000-0000-00004E060000}"/>
    <hyperlink ref="C994" r:id="rId1616" display="http://pokemondb.net/type/normal" xr:uid="{00000000-0004-0000-0000-00004F060000}"/>
    <hyperlink ref="B995" r:id="rId1617" tooltip="View pokedex for #627 Rufflet" display="http://pokemondb.net/pokedex/rufflet" xr:uid="{00000000-0004-0000-0000-000050060000}"/>
    <hyperlink ref="C995" r:id="rId1618" display="http://pokemondb.net/type/normal" xr:uid="{00000000-0004-0000-0000-000051060000}"/>
    <hyperlink ref="C640" r:id="rId1619" display="http://pokemondb.net/type/flying" xr:uid="{00000000-0004-0000-0000-000052060000}"/>
    <hyperlink ref="B996" r:id="rId1620" tooltip="View pokedex for #628 Braviary" display="http://pokemondb.net/pokedex/braviary" xr:uid="{00000000-0004-0000-0000-000053060000}"/>
    <hyperlink ref="C996" r:id="rId1621" display="http://pokemondb.net/type/normal" xr:uid="{00000000-0004-0000-0000-000054060000}"/>
    <hyperlink ref="C638" r:id="rId1622" display="http://pokemondb.net/type/flying" xr:uid="{00000000-0004-0000-0000-000055060000}"/>
    <hyperlink ref="B997" r:id="rId1623" tooltip="View pokedex for #629 Vullaby" display="http://pokemondb.net/pokedex/vullaby" xr:uid="{00000000-0004-0000-0000-000056060000}"/>
    <hyperlink ref="C997" r:id="rId1624" display="http://pokemondb.net/type/dark" xr:uid="{00000000-0004-0000-0000-000057060000}"/>
    <hyperlink ref="C998" r:id="rId1625" display="http://pokemondb.net/type/flying" xr:uid="{00000000-0004-0000-0000-000058060000}"/>
    <hyperlink ref="B999" r:id="rId1626" tooltip="View pokedex for #630 Mandibuzz" display="http://pokemondb.net/pokedex/mandibuzz" xr:uid="{00000000-0004-0000-0000-000059060000}"/>
    <hyperlink ref="C999" r:id="rId1627" display="http://pokemondb.net/type/dark" xr:uid="{00000000-0004-0000-0000-00005A060000}"/>
    <hyperlink ref="C1000" r:id="rId1628" display="http://pokemondb.net/type/flying" xr:uid="{00000000-0004-0000-0000-00005B060000}"/>
    <hyperlink ref="B1001" r:id="rId1629" tooltip="View pokedex for #631 Heatmor" display="http://pokemondb.net/pokedex/heatmor" xr:uid="{00000000-0004-0000-0000-00005C060000}"/>
    <hyperlink ref="C1001" r:id="rId1630" display="http://pokemondb.net/type/fire" xr:uid="{00000000-0004-0000-0000-00005D060000}"/>
    <hyperlink ref="B1002" r:id="rId1631" tooltip="View pokedex for #632 Durant" display="http://pokemondb.net/pokedex/durant" xr:uid="{00000000-0004-0000-0000-00005E060000}"/>
    <hyperlink ref="C1002" r:id="rId1632" display="http://pokemondb.net/type/bug" xr:uid="{00000000-0004-0000-0000-00005F060000}"/>
    <hyperlink ref="C1003" r:id="rId1633" display="http://pokemondb.net/type/steel" xr:uid="{00000000-0004-0000-0000-000060060000}"/>
    <hyperlink ref="B1004" r:id="rId1634" tooltip="View pokedex for #633 Deino" display="http://pokemondb.net/pokedex/deino" xr:uid="{00000000-0004-0000-0000-000061060000}"/>
    <hyperlink ref="C1004" r:id="rId1635" display="http://pokemondb.net/type/dark" xr:uid="{00000000-0004-0000-0000-000062060000}"/>
    <hyperlink ref="C1005" r:id="rId1636" display="http://pokemondb.net/type/dragon" xr:uid="{00000000-0004-0000-0000-000063060000}"/>
    <hyperlink ref="B1006" r:id="rId1637" tooltip="View pokedex for #634 Zweilous" display="http://pokemondb.net/pokedex/zweilous" xr:uid="{00000000-0004-0000-0000-000064060000}"/>
    <hyperlink ref="C1006" r:id="rId1638" display="http://pokemondb.net/type/dark" xr:uid="{00000000-0004-0000-0000-000065060000}"/>
    <hyperlink ref="C1007" r:id="rId1639" display="http://pokemondb.net/type/dragon" xr:uid="{00000000-0004-0000-0000-000066060000}"/>
    <hyperlink ref="B1008" r:id="rId1640" tooltip="View pokedex for #635 Hydreigon" display="http://pokemondb.net/pokedex/hydreigon" xr:uid="{00000000-0004-0000-0000-000067060000}"/>
    <hyperlink ref="C1008" r:id="rId1641" display="http://pokemondb.net/type/dark" xr:uid="{00000000-0004-0000-0000-000068060000}"/>
    <hyperlink ref="C1009" r:id="rId1642" display="http://pokemondb.net/type/dragon" xr:uid="{00000000-0004-0000-0000-000069060000}"/>
    <hyperlink ref="B1010" r:id="rId1643" tooltip="View pokedex for #636 Larvesta" display="http://pokemondb.net/pokedex/larvesta" xr:uid="{00000000-0004-0000-0000-00006A060000}"/>
    <hyperlink ref="C1010" r:id="rId1644" display="http://pokemondb.net/type/bug" xr:uid="{00000000-0004-0000-0000-00006B060000}"/>
    <hyperlink ref="C1011" r:id="rId1645" display="http://pokemondb.net/type/fire" xr:uid="{00000000-0004-0000-0000-00006C060000}"/>
    <hyperlink ref="B1012" r:id="rId1646" tooltip="View pokedex for #637 Volcarona" display="http://pokemondb.net/pokedex/volcarona" xr:uid="{00000000-0004-0000-0000-00006D060000}"/>
    <hyperlink ref="C1012" r:id="rId1647" display="http://pokemondb.net/type/bug" xr:uid="{00000000-0004-0000-0000-00006E060000}"/>
    <hyperlink ref="C1013" r:id="rId1648" display="http://pokemondb.net/type/fire" xr:uid="{00000000-0004-0000-0000-00006F060000}"/>
    <hyperlink ref="B1014" r:id="rId1649" tooltip="View pokedex for #638 Cobalion" display="http://pokemondb.net/pokedex/cobalion" xr:uid="{00000000-0004-0000-0000-000070060000}"/>
    <hyperlink ref="C1014" r:id="rId1650" display="http://pokemondb.net/type/steel" xr:uid="{00000000-0004-0000-0000-000071060000}"/>
    <hyperlink ref="C1015" r:id="rId1651" display="http://pokemondb.net/type/fighting" xr:uid="{00000000-0004-0000-0000-000072060000}"/>
    <hyperlink ref="B1016" r:id="rId1652" tooltip="View pokedex for #639 Terrakion" display="http://pokemondb.net/pokedex/terrakion" xr:uid="{00000000-0004-0000-0000-000073060000}"/>
    <hyperlink ref="C1016" r:id="rId1653" display="http://pokemondb.net/type/rock" xr:uid="{00000000-0004-0000-0000-000074060000}"/>
    <hyperlink ref="C1017" r:id="rId1654" display="http://pokemondb.net/type/fighting" xr:uid="{00000000-0004-0000-0000-000075060000}"/>
    <hyperlink ref="B1018" r:id="rId1655" tooltip="View pokedex for #640 Virizion" display="http://pokemondb.net/pokedex/virizion" xr:uid="{00000000-0004-0000-0000-000076060000}"/>
    <hyperlink ref="C1018" r:id="rId1656" display="http://pokemondb.net/type/grass" xr:uid="{00000000-0004-0000-0000-000077060000}"/>
    <hyperlink ref="C1019" r:id="rId1657" display="http://pokemondb.net/type/fighting" xr:uid="{00000000-0004-0000-0000-000078060000}"/>
    <hyperlink ref="B1020" r:id="rId1658" tooltip="View pokedex for #641 Tornadus" display="http://pokemondb.net/pokedex/tornadus" xr:uid="{00000000-0004-0000-0000-000079060000}"/>
    <hyperlink ref="C1020" r:id="rId1659" display="http://pokemondb.net/type/flying" xr:uid="{00000000-0004-0000-0000-00007A060000}"/>
    <hyperlink ref="B1022" r:id="rId1660" tooltip="View pokedex for #641 Tornadus" display="http://pokemondb.net/pokedex/tornadus" xr:uid="{00000000-0004-0000-0000-00007B060000}"/>
    <hyperlink ref="C1022" r:id="rId1661" display="http://pokemondb.net/type/flying" xr:uid="{00000000-0004-0000-0000-00007C060000}"/>
    <hyperlink ref="B1024" r:id="rId1662" tooltip="View pokedex for #642 Thundurus" display="http://pokemondb.net/pokedex/thundurus" xr:uid="{00000000-0004-0000-0000-00007D060000}"/>
    <hyperlink ref="C1024" r:id="rId1663" display="http://pokemondb.net/type/electric" xr:uid="{00000000-0004-0000-0000-00007E060000}"/>
    <hyperlink ref="C1025" r:id="rId1664" display="http://pokemondb.net/type/flying" xr:uid="{00000000-0004-0000-0000-00007F060000}"/>
    <hyperlink ref="B1026" r:id="rId1665" tooltip="View pokedex for #642 Thundurus" display="http://pokemondb.net/pokedex/thundurus" xr:uid="{00000000-0004-0000-0000-000080060000}"/>
    <hyperlink ref="C1026" r:id="rId1666" display="http://pokemondb.net/type/electric" xr:uid="{00000000-0004-0000-0000-000081060000}"/>
    <hyperlink ref="C1027" r:id="rId1667" display="http://pokemondb.net/type/flying" xr:uid="{00000000-0004-0000-0000-000082060000}"/>
    <hyperlink ref="B1028" r:id="rId1668" tooltip="View pokedex for #643 Reshiram" display="http://pokemondb.net/pokedex/reshiram" xr:uid="{00000000-0004-0000-0000-000083060000}"/>
    <hyperlink ref="C1028" r:id="rId1669" display="http://pokemondb.net/type/dragon" xr:uid="{00000000-0004-0000-0000-000084060000}"/>
    <hyperlink ref="C1029" r:id="rId1670" display="http://pokemondb.net/type/fire" xr:uid="{00000000-0004-0000-0000-000085060000}"/>
    <hyperlink ref="B1030" r:id="rId1671" tooltip="View pokedex for #644 Zekrom" display="http://pokemondb.net/pokedex/zekrom" xr:uid="{00000000-0004-0000-0000-000086060000}"/>
    <hyperlink ref="C1030" r:id="rId1672" display="http://pokemondb.net/type/dragon" xr:uid="{00000000-0004-0000-0000-000087060000}"/>
    <hyperlink ref="C1031" r:id="rId1673" display="http://pokemondb.net/type/electric" xr:uid="{00000000-0004-0000-0000-000088060000}"/>
    <hyperlink ref="B1032" r:id="rId1674" tooltip="View pokedex for #645 Landorus" display="http://pokemondb.net/pokedex/landorus" xr:uid="{00000000-0004-0000-0000-000089060000}"/>
    <hyperlink ref="C1032" r:id="rId1675" display="http://pokemondb.net/type/ground" xr:uid="{00000000-0004-0000-0000-00008A060000}"/>
    <hyperlink ref="C1033" r:id="rId1676" display="http://pokemondb.net/type/flying" xr:uid="{00000000-0004-0000-0000-00008B060000}"/>
    <hyperlink ref="B1034" r:id="rId1677" tooltip="View pokedex for #645 Landorus" display="http://pokemondb.net/pokedex/landorus" xr:uid="{00000000-0004-0000-0000-00008C060000}"/>
    <hyperlink ref="C1034" r:id="rId1678" display="http://pokemondb.net/type/ground" xr:uid="{00000000-0004-0000-0000-00008D060000}"/>
    <hyperlink ref="C1035" r:id="rId1679" display="http://pokemondb.net/type/flying" xr:uid="{00000000-0004-0000-0000-00008E060000}"/>
    <hyperlink ref="B1036" r:id="rId1680" tooltip="View pokedex for #646 Kyurem" display="http://pokemondb.net/pokedex/kyurem" xr:uid="{00000000-0004-0000-0000-00008F060000}"/>
    <hyperlink ref="C1036" r:id="rId1681" display="http://pokemondb.net/type/dragon" xr:uid="{00000000-0004-0000-0000-000090060000}"/>
    <hyperlink ref="C1037" r:id="rId1682" display="http://pokemondb.net/type/ice" xr:uid="{00000000-0004-0000-0000-000091060000}"/>
    <hyperlink ref="B1038" r:id="rId1683" tooltip="View pokedex for #646 Kyurem" display="http://pokemondb.net/pokedex/kyurem" xr:uid="{00000000-0004-0000-0000-000092060000}"/>
    <hyperlink ref="C1038" r:id="rId1684" display="http://pokemondb.net/type/dragon" xr:uid="{00000000-0004-0000-0000-000093060000}"/>
    <hyperlink ref="C1039" r:id="rId1685" display="http://pokemondb.net/type/ice" xr:uid="{00000000-0004-0000-0000-000094060000}"/>
    <hyperlink ref="B1040" r:id="rId1686" tooltip="View pokedex for #646 Kyurem" display="http://pokemondb.net/pokedex/kyurem" xr:uid="{00000000-0004-0000-0000-000095060000}"/>
    <hyperlink ref="C1040" r:id="rId1687" display="http://pokemondb.net/type/dragon" xr:uid="{00000000-0004-0000-0000-000096060000}"/>
    <hyperlink ref="C1041" r:id="rId1688" display="http://pokemondb.net/type/ice" xr:uid="{00000000-0004-0000-0000-000097060000}"/>
    <hyperlink ref="B1042" r:id="rId1689" tooltip="View pokedex for #647 Keldeo" display="http://pokemondb.net/pokedex/keldeo" xr:uid="{00000000-0004-0000-0000-000098060000}"/>
    <hyperlink ref="C1042" r:id="rId1690" display="http://pokemondb.net/type/water" xr:uid="{00000000-0004-0000-0000-000099060000}"/>
    <hyperlink ref="C1043" r:id="rId1691" display="http://pokemondb.net/type/fighting" xr:uid="{00000000-0004-0000-0000-00009A060000}"/>
    <hyperlink ref="B1044" r:id="rId1692" tooltip="View pokedex for #647 Keldeo" display="http://pokemondb.net/pokedex/keldeo" xr:uid="{00000000-0004-0000-0000-00009B060000}"/>
    <hyperlink ref="C1044" r:id="rId1693" display="http://pokemondb.net/type/water" xr:uid="{00000000-0004-0000-0000-00009C060000}"/>
    <hyperlink ref="C1045" r:id="rId1694" display="http://pokemondb.net/type/fighting" xr:uid="{00000000-0004-0000-0000-00009D060000}"/>
    <hyperlink ref="B1046" r:id="rId1695" tooltip="View pokedex for #648 Meloetta" display="http://pokemondb.net/pokedex/meloetta" xr:uid="{00000000-0004-0000-0000-00009E060000}"/>
    <hyperlink ref="C1046" r:id="rId1696" display="http://pokemondb.net/type/normal" xr:uid="{00000000-0004-0000-0000-00009F060000}"/>
    <hyperlink ref="C826" r:id="rId1697" display="http://pokemondb.net/type/psychic" xr:uid="{00000000-0004-0000-0000-0000A0060000}"/>
    <hyperlink ref="B1047" r:id="rId1698" tooltip="View pokedex for #648 Meloetta" display="http://pokemondb.net/pokedex/meloetta" xr:uid="{00000000-0004-0000-0000-0000A1060000}"/>
    <hyperlink ref="C1047" r:id="rId1699" display="http://pokemondb.net/type/normal" xr:uid="{00000000-0004-0000-0000-0000A2060000}"/>
    <hyperlink ref="C534" r:id="rId1700" display="http://pokemondb.net/type/fighting" xr:uid="{00000000-0004-0000-0000-0000A3060000}"/>
    <hyperlink ref="B1049" r:id="rId1701" tooltip="View pokedex for #649 Genesect" display="http://pokemondb.net/pokedex/genesect" xr:uid="{00000000-0004-0000-0000-0000A4060000}"/>
    <hyperlink ref="C1049" r:id="rId1702" display="http://pokemondb.net/type/bug" xr:uid="{00000000-0004-0000-0000-0000A5060000}"/>
    <hyperlink ref="C1050" r:id="rId1703" display="http://pokemondb.net/type/steel" xr:uid="{00000000-0004-0000-0000-0000A6060000}"/>
    <hyperlink ref="B1051" r:id="rId1704" tooltip="View pokedex for #650 Chespin" display="http://pokemondb.net/pokedex/chespin" xr:uid="{00000000-0004-0000-0000-0000A7060000}"/>
    <hyperlink ref="C1051" r:id="rId1705" display="http://pokemondb.net/type/grass" xr:uid="{00000000-0004-0000-0000-0000A8060000}"/>
    <hyperlink ref="B1052" r:id="rId1706" tooltip="View pokedex for #651 Quilladin" display="http://pokemondb.net/pokedex/quilladin" xr:uid="{00000000-0004-0000-0000-0000A9060000}"/>
    <hyperlink ref="C1052" r:id="rId1707" display="http://pokemondb.net/type/grass" xr:uid="{00000000-0004-0000-0000-0000AA060000}"/>
    <hyperlink ref="B1053" r:id="rId1708" tooltip="View pokedex for #652 Chesnaught" display="http://pokemondb.net/pokedex/chesnaught" xr:uid="{00000000-0004-0000-0000-0000AB060000}"/>
    <hyperlink ref="C1053" r:id="rId1709" display="http://pokemondb.net/type/grass" xr:uid="{00000000-0004-0000-0000-0000AC060000}"/>
    <hyperlink ref="C1054" r:id="rId1710" display="http://pokemondb.net/type/fighting" xr:uid="{00000000-0004-0000-0000-0000AD060000}"/>
    <hyperlink ref="B1055" r:id="rId1711" tooltip="View pokedex for #653 Fennekin" display="http://pokemondb.net/pokedex/fennekin" xr:uid="{00000000-0004-0000-0000-0000AE060000}"/>
    <hyperlink ref="C1055" r:id="rId1712" display="http://pokemondb.net/type/fire" xr:uid="{00000000-0004-0000-0000-0000AF060000}"/>
    <hyperlink ref="B1056" r:id="rId1713" tooltip="View pokedex for #654 Braixen" display="http://pokemondb.net/pokedex/braixen" xr:uid="{00000000-0004-0000-0000-0000B0060000}"/>
    <hyperlink ref="C1056" r:id="rId1714" display="http://pokemondb.net/type/fire" xr:uid="{00000000-0004-0000-0000-0000B1060000}"/>
    <hyperlink ref="B1057" r:id="rId1715" tooltip="View pokedex for #655 Delphox" display="http://pokemondb.net/pokedex/delphox" xr:uid="{00000000-0004-0000-0000-0000B2060000}"/>
    <hyperlink ref="C1057" r:id="rId1716" display="http://pokemondb.net/type/fire" xr:uid="{00000000-0004-0000-0000-0000B3060000}"/>
    <hyperlink ref="C1058" r:id="rId1717" display="http://pokemondb.net/type/psychic" xr:uid="{00000000-0004-0000-0000-0000B4060000}"/>
    <hyperlink ref="B1059" r:id="rId1718" tooltip="View pokedex for #656 Froakie" display="http://pokemondb.net/pokedex/froakie" xr:uid="{00000000-0004-0000-0000-0000B5060000}"/>
    <hyperlink ref="C1059" r:id="rId1719" display="http://pokemondb.net/type/water" xr:uid="{00000000-0004-0000-0000-0000B6060000}"/>
    <hyperlink ref="B1060" r:id="rId1720" tooltip="View pokedex for #657 Frogadier" display="http://pokemondb.net/pokedex/frogadier" xr:uid="{00000000-0004-0000-0000-0000B7060000}"/>
    <hyperlink ref="C1060" r:id="rId1721" display="http://pokemondb.net/type/water" xr:uid="{00000000-0004-0000-0000-0000B8060000}"/>
    <hyperlink ref="B1061" r:id="rId1722" tooltip="View pokedex for #658 Greninja" display="http://pokemondb.net/pokedex/greninja" xr:uid="{00000000-0004-0000-0000-0000B9060000}"/>
    <hyperlink ref="C1061" r:id="rId1723" display="http://pokemondb.net/type/water" xr:uid="{00000000-0004-0000-0000-0000BA060000}"/>
    <hyperlink ref="C1062" r:id="rId1724" display="http://pokemondb.net/type/dark" xr:uid="{00000000-0004-0000-0000-0000BB060000}"/>
    <hyperlink ref="B1063" r:id="rId1725" tooltip="View pokedex for #659 Bunnelby" display="http://pokemondb.net/pokedex/bunnelby" xr:uid="{00000000-0004-0000-0000-0000BC060000}"/>
    <hyperlink ref="C1063" r:id="rId1726" display="http://pokemondb.net/type/normal" xr:uid="{00000000-0004-0000-0000-0000BD060000}"/>
    <hyperlink ref="B1065" r:id="rId1727" tooltip="View pokedex for #660 Diggersby" display="http://pokemondb.net/pokedex/diggersby" xr:uid="{00000000-0004-0000-0000-0000BE060000}"/>
    <hyperlink ref="C1065" r:id="rId1728" display="http://pokemondb.net/type/normal" xr:uid="{00000000-0004-0000-0000-0000BF060000}"/>
    <hyperlink ref="C1101" r:id="rId1729" display="http://pokemondb.net/type/ground" xr:uid="{00000000-0004-0000-0000-0000C0060000}"/>
    <hyperlink ref="B1066" r:id="rId1730" tooltip="View pokedex for #661 Fletchling" display="http://pokemondb.net/pokedex/fletchling" xr:uid="{00000000-0004-0000-0000-0000C1060000}"/>
    <hyperlink ref="C1066" r:id="rId1731" display="http://pokemondb.net/type/normal" xr:uid="{00000000-0004-0000-0000-0000C2060000}"/>
    <hyperlink ref="C1128" r:id="rId1732" display="http://pokemondb.net/type/flying" xr:uid="{00000000-0004-0000-0000-0000C3060000}"/>
    <hyperlink ref="B1067" r:id="rId1733" tooltip="View pokedex for #662 Fletchinder" display="http://pokemondb.net/pokedex/fletchinder" xr:uid="{00000000-0004-0000-0000-0000C4060000}"/>
    <hyperlink ref="C1067" r:id="rId1734" display="http://pokemondb.net/type/fire" xr:uid="{00000000-0004-0000-0000-0000C5060000}"/>
    <hyperlink ref="C1068" r:id="rId1735" display="http://pokemondb.net/type/flying" xr:uid="{00000000-0004-0000-0000-0000C6060000}"/>
    <hyperlink ref="B1069" r:id="rId1736" tooltip="View pokedex for #663 Talonflame" display="http://pokemondb.net/pokedex/talonflame" xr:uid="{00000000-0004-0000-0000-0000C7060000}"/>
    <hyperlink ref="C1069" r:id="rId1737" display="http://pokemondb.net/type/fire" xr:uid="{00000000-0004-0000-0000-0000C8060000}"/>
    <hyperlink ref="C1070" r:id="rId1738" display="http://pokemondb.net/type/flying" xr:uid="{00000000-0004-0000-0000-0000C9060000}"/>
    <hyperlink ref="B1071" r:id="rId1739" tooltip="View pokedex for #664 Scatterbug" display="http://pokemondb.net/pokedex/scatterbug" xr:uid="{00000000-0004-0000-0000-0000CA060000}"/>
    <hyperlink ref="C1071" r:id="rId1740" display="http://pokemondb.net/type/bug" xr:uid="{00000000-0004-0000-0000-0000CB060000}"/>
    <hyperlink ref="B1072" r:id="rId1741" tooltip="View pokedex for #665 Spewpa" display="http://pokemondb.net/pokedex/spewpa" xr:uid="{00000000-0004-0000-0000-0000CC060000}"/>
    <hyperlink ref="C1072" r:id="rId1742" display="http://pokemondb.net/type/bug" xr:uid="{00000000-0004-0000-0000-0000CD060000}"/>
    <hyperlink ref="B1073" r:id="rId1743" tooltip="View pokedex for #666 Vivillon" display="http://pokemondb.net/pokedex/vivillon" xr:uid="{00000000-0004-0000-0000-0000CE060000}"/>
    <hyperlink ref="C1073" r:id="rId1744" display="http://pokemondb.net/type/bug" xr:uid="{00000000-0004-0000-0000-0000CF060000}"/>
    <hyperlink ref="C1074" r:id="rId1745" display="http://pokemondb.net/type/flying" xr:uid="{00000000-0004-0000-0000-0000D0060000}"/>
    <hyperlink ref="B1075" r:id="rId1746" tooltip="View pokedex for #667 Litleo" display="http://pokemondb.net/pokedex/litleo" xr:uid="{00000000-0004-0000-0000-0000D1060000}"/>
    <hyperlink ref="C1075" r:id="rId1747" display="http://pokemondb.net/type/fire" xr:uid="{00000000-0004-0000-0000-0000D2060000}"/>
    <hyperlink ref="C837" r:id="rId1748" display="http://pokemondb.net/type/normal" xr:uid="{00000000-0004-0000-0000-0000D3060000}"/>
    <hyperlink ref="B1076" r:id="rId1749" tooltip="View pokedex for #668 Pyroar" display="http://pokemondb.net/pokedex/pyroar" xr:uid="{00000000-0004-0000-0000-0000D4060000}"/>
    <hyperlink ref="C1076" r:id="rId1750" display="http://pokemondb.net/type/fire" xr:uid="{00000000-0004-0000-0000-0000D5060000}"/>
    <hyperlink ref="C212" r:id="rId1751" display="http://pokemondb.net/type/normal" xr:uid="{00000000-0004-0000-0000-0000D6060000}"/>
    <hyperlink ref="B1077" r:id="rId1752" tooltip="View pokedex for #669 Flabébé" display="http://pokemondb.net/pokedex/flabebe" xr:uid="{00000000-0004-0000-0000-0000D7060000}"/>
    <hyperlink ref="C1077" r:id="rId1753" display="http://pokemondb.net/type/fairy" xr:uid="{00000000-0004-0000-0000-0000D8060000}"/>
    <hyperlink ref="B1079" r:id="rId1754" tooltip="View pokedex for #670 Floette" display="http://pokemondb.net/pokedex/floette" xr:uid="{00000000-0004-0000-0000-0000D9060000}"/>
    <hyperlink ref="C1079" r:id="rId1755" display="http://pokemondb.net/type/fairy" xr:uid="{00000000-0004-0000-0000-0000DA060000}"/>
    <hyperlink ref="B1080" r:id="rId1756" tooltip="View pokedex for #671 Florges" display="http://pokemondb.net/pokedex/florges" xr:uid="{00000000-0004-0000-0000-0000DB060000}"/>
    <hyperlink ref="C1080" r:id="rId1757" display="http://pokemondb.net/type/fairy" xr:uid="{00000000-0004-0000-0000-0000DC060000}"/>
    <hyperlink ref="B1081" r:id="rId1758" tooltip="View pokedex for #672 Skiddo" display="http://pokemondb.net/pokedex/skiddo" xr:uid="{00000000-0004-0000-0000-0000DD060000}"/>
    <hyperlink ref="C1081" r:id="rId1759" display="http://pokemondb.net/type/grass" xr:uid="{00000000-0004-0000-0000-0000DE060000}"/>
    <hyperlink ref="B1082" r:id="rId1760" tooltip="View pokedex for #673 Gogoat" display="http://pokemondb.net/pokedex/gogoat" xr:uid="{00000000-0004-0000-0000-0000DF060000}"/>
    <hyperlink ref="C1082" r:id="rId1761" display="http://pokemondb.net/type/grass" xr:uid="{00000000-0004-0000-0000-0000E0060000}"/>
    <hyperlink ref="B1083" r:id="rId1762" tooltip="View pokedex for #674 Pancham" display="http://pokemondb.net/pokedex/pancham" xr:uid="{00000000-0004-0000-0000-0000E1060000}"/>
    <hyperlink ref="C1083" r:id="rId1763" display="http://pokemondb.net/type/fighting" xr:uid="{00000000-0004-0000-0000-0000E2060000}"/>
    <hyperlink ref="B1084" r:id="rId1764" tooltip="View pokedex for #675 Pangoro" display="http://pokemondb.net/pokedex/pangoro" xr:uid="{00000000-0004-0000-0000-0000E3060000}"/>
    <hyperlink ref="C1084" r:id="rId1765" display="http://pokemondb.net/type/fighting" xr:uid="{00000000-0004-0000-0000-0000E4060000}"/>
    <hyperlink ref="C1085" r:id="rId1766" display="http://pokemondb.net/type/dark" xr:uid="{00000000-0004-0000-0000-0000E5060000}"/>
    <hyperlink ref="B1086" r:id="rId1767" tooltip="View pokedex for #676 Furfrou" display="http://pokemondb.net/pokedex/furfrou" xr:uid="{00000000-0004-0000-0000-0000E6060000}"/>
    <hyperlink ref="C1086" r:id="rId1768" display="http://pokemondb.net/type/normal" xr:uid="{00000000-0004-0000-0000-0000E7060000}"/>
    <hyperlink ref="B1087" r:id="rId1769" tooltip="View pokedex for #677 Espurr" display="http://pokemondb.net/pokedex/espurr" xr:uid="{00000000-0004-0000-0000-0000E8060000}"/>
    <hyperlink ref="C1087" r:id="rId1770" display="http://pokemondb.net/type/psychic" xr:uid="{00000000-0004-0000-0000-0000E9060000}"/>
    <hyperlink ref="B1088" r:id="rId1771" tooltip="View pokedex for #678 Meowstic" display="http://pokemondb.net/pokedex/meowstic" xr:uid="{00000000-0004-0000-0000-0000EA060000}"/>
    <hyperlink ref="C1088" r:id="rId1772" display="http://pokemondb.net/type/psychic" xr:uid="{00000000-0004-0000-0000-0000EB060000}"/>
    <hyperlink ref="B1089" r:id="rId1773" tooltip="View pokedex for #679 Honedge" display="http://pokemondb.net/pokedex/honedge" xr:uid="{00000000-0004-0000-0000-0000EC060000}"/>
    <hyperlink ref="C1089" r:id="rId1774" display="http://pokemondb.net/type/steel" xr:uid="{00000000-0004-0000-0000-0000ED060000}"/>
    <hyperlink ref="C1090" r:id="rId1775" display="http://pokemondb.net/type/ghost" xr:uid="{00000000-0004-0000-0000-0000EE060000}"/>
    <hyperlink ref="B1091" r:id="rId1776" tooltip="View pokedex for #680 Doublade" display="http://pokemondb.net/pokedex/doublade" xr:uid="{00000000-0004-0000-0000-0000EF060000}"/>
    <hyperlink ref="C1091" r:id="rId1777" display="http://pokemondb.net/type/steel" xr:uid="{00000000-0004-0000-0000-0000F0060000}"/>
    <hyperlink ref="C1092" r:id="rId1778" display="http://pokemondb.net/type/ghost" xr:uid="{00000000-0004-0000-0000-0000F1060000}"/>
    <hyperlink ref="B1093" r:id="rId1779" tooltip="View pokedex for #681 Aegislash" display="http://pokemondb.net/pokedex/aegislash" xr:uid="{00000000-0004-0000-0000-0000F2060000}"/>
    <hyperlink ref="C1093" r:id="rId1780" display="http://pokemondb.net/type/steel" xr:uid="{00000000-0004-0000-0000-0000F3060000}"/>
    <hyperlink ref="C1094" r:id="rId1781" display="http://pokemondb.net/type/ghost" xr:uid="{00000000-0004-0000-0000-0000F4060000}"/>
    <hyperlink ref="B1095" r:id="rId1782" tooltip="View pokedex for #681 Aegislash" display="http://pokemondb.net/pokedex/aegislash" xr:uid="{00000000-0004-0000-0000-0000F5060000}"/>
    <hyperlink ref="C1095" r:id="rId1783" display="http://pokemondb.net/type/steel" xr:uid="{00000000-0004-0000-0000-0000F6060000}"/>
    <hyperlink ref="C1096" r:id="rId1784" display="http://pokemondb.net/type/ghost" xr:uid="{00000000-0004-0000-0000-0000F7060000}"/>
    <hyperlink ref="B1097" r:id="rId1785" tooltip="View pokedex for #682 Spritzee" display="http://pokemondb.net/pokedex/spritzee" xr:uid="{00000000-0004-0000-0000-0000F8060000}"/>
    <hyperlink ref="C1097" r:id="rId1786" display="http://pokemondb.net/type/fairy" xr:uid="{00000000-0004-0000-0000-0000F9060000}"/>
    <hyperlink ref="B1099" r:id="rId1787" tooltip="View pokedex for #683 Aromatisse" display="http://pokemondb.net/pokedex/aromatisse" xr:uid="{00000000-0004-0000-0000-0000FA060000}"/>
    <hyperlink ref="C1099" r:id="rId1788" display="http://pokemondb.net/type/fairy" xr:uid="{00000000-0004-0000-0000-0000FB060000}"/>
    <hyperlink ref="B1100" r:id="rId1789" tooltip="View pokedex for #684 Swirlix" display="http://pokemondb.net/pokedex/swirlix" xr:uid="{00000000-0004-0000-0000-0000FC060000}"/>
    <hyperlink ref="C1100" r:id="rId1790" display="http://pokemondb.net/type/fairy" xr:uid="{00000000-0004-0000-0000-0000FD060000}"/>
    <hyperlink ref="B1102" r:id="rId1791" tooltip="View pokedex for #685 Slurpuff" display="http://pokemondb.net/pokedex/slurpuff" xr:uid="{00000000-0004-0000-0000-0000FE060000}"/>
    <hyperlink ref="C1102" r:id="rId1792" display="http://pokemondb.net/type/fairy" xr:uid="{00000000-0004-0000-0000-0000FF060000}"/>
    <hyperlink ref="B1103" r:id="rId1793" tooltip="View pokedex for #686 Inkay" display="http://pokemondb.net/pokedex/inkay" xr:uid="{00000000-0004-0000-0000-000000070000}"/>
    <hyperlink ref="C1103" r:id="rId1794" display="http://pokemondb.net/type/dark" xr:uid="{00000000-0004-0000-0000-000001070000}"/>
    <hyperlink ref="C1104" r:id="rId1795" display="http://pokemondb.net/type/psychic" xr:uid="{00000000-0004-0000-0000-000002070000}"/>
    <hyperlink ref="B1105" r:id="rId1796" tooltip="View pokedex for #687 Malamar" display="http://pokemondb.net/pokedex/malamar" xr:uid="{00000000-0004-0000-0000-000003070000}"/>
    <hyperlink ref="C1105" r:id="rId1797" display="http://pokemondb.net/type/dark" xr:uid="{00000000-0004-0000-0000-000004070000}"/>
    <hyperlink ref="C1106" r:id="rId1798" display="http://pokemondb.net/type/psychic" xr:uid="{00000000-0004-0000-0000-000005070000}"/>
    <hyperlink ref="B1107" r:id="rId1799" tooltip="View pokedex for #688 Binacle" display="http://pokemondb.net/pokedex/binacle" xr:uid="{00000000-0004-0000-0000-000006070000}"/>
    <hyperlink ref="C1107" r:id="rId1800" display="http://pokemondb.net/type/rock" xr:uid="{00000000-0004-0000-0000-000007070000}"/>
    <hyperlink ref="C1108" r:id="rId1801" display="http://pokemondb.net/type/water" xr:uid="{00000000-0004-0000-0000-000008070000}"/>
    <hyperlink ref="B1109" r:id="rId1802" tooltip="View pokedex for #689 Barbaracle" display="http://pokemondb.net/pokedex/barbaracle" xr:uid="{00000000-0004-0000-0000-000009070000}"/>
    <hyperlink ref="C1109" r:id="rId1803" display="http://pokemondb.net/type/rock" xr:uid="{00000000-0004-0000-0000-00000A070000}"/>
    <hyperlink ref="C1110" r:id="rId1804" display="http://pokemondb.net/type/water" xr:uid="{00000000-0004-0000-0000-00000B070000}"/>
    <hyperlink ref="B1111" r:id="rId1805" tooltip="View pokedex for #690 Skrelp" display="http://pokemondb.net/pokedex/skrelp" xr:uid="{00000000-0004-0000-0000-00000C070000}"/>
    <hyperlink ref="C1111" r:id="rId1806" display="http://pokemondb.net/type/poison" xr:uid="{00000000-0004-0000-0000-00000D070000}"/>
    <hyperlink ref="C1112" r:id="rId1807" display="http://pokemondb.net/type/water" xr:uid="{00000000-0004-0000-0000-00000E070000}"/>
    <hyperlink ref="B1113" r:id="rId1808" tooltip="View pokedex for #691 Dragalge" display="http://pokemondb.net/pokedex/dragalge" xr:uid="{00000000-0004-0000-0000-00000F070000}"/>
    <hyperlink ref="C1113" r:id="rId1809" display="http://pokemondb.net/type/poison" xr:uid="{00000000-0004-0000-0000-000010070000}"/>
    <hyperlink ref="C1114" r:id="rId1810" display="http://pokemondb.net/type/dragon" xr:uid="{00000000-0004-0000-0000-000011070000}"/>
    <hyperlink ref="B1115" r:id="rId1811" tooltip="View pokedex for #692 Clauncher" display="http://pokemondb.net/pokedex/clauncher" xr:uid="{00000000-0004-0000-0000-000012070000}"/>
    <hyperlink ref="C1115" r:id="rId1812" display="http://pokemondb.net/type/water" xr:uid="{00000000-0004-0000-0000-000013070000}"/>
    <hyperlink ref="B1116" r:id="rId1813" tooltip="View pokedex for #693 Clawitzer" display="http://pokemondb.net/pokedex/clawitzer" xr:uid="{00000000-0004-0000-0000-000014070000}"/>
    <hyperlink ref="C1116" r:id="rId1814" display="http://pokemondb.net/type/water" xr:uid="{00000000-0004-0000-0000-000015070000}"/>
    <hyperlink ref="B1117" r:id="rId1815" tooltip="View pokedex for #694 Helioptile" display="http://pokemondb.net/pokedex/helioptile" xr:uid="{00000000-0004-0000-0000-000016070000}"/>
    <hyperlink ref="C1117" r:id="rId1816" display="http://pokemondb.net/type/electric" xr:uid="{00000000-0004-0000-0000-000017070000}"/>
    <hyperlink ref="C1064" r:id="rId1817" display="http://pokemondb.net/type/normal" xr:uid="{00000000-0004-0000-0000-000018070000}"/>
    <hyperlink ref="B1118" r:id="rId1818" tooltip="View pokedex for #695 Heliolisk" display="http://pokemondb.net/pokedex/heliolisk" xr:uid="{00000000-0004-0000-0000-000019070000}"/>
    <hyperlink ref="C1118" r:id="rId1819" display="http://pokemondb.net/type/electric" xr:uid="{00000000-0004-0000-0000-00001A070000}"/>
    <hyperlink ref="C567" r:id="rId1820" display="http://pokemondb.net/type/normal" xr:uid="{00000000-0004-0000-0000-00001B070000}"/>
    <hyperlink ref="B1119" r:id="rId1821" tooltip="View pokedex for #696 Tyrunt" display="http://pokemondb.net/pokedex/tyrunt" xr:uid="{00000000-0004-0000-0000-00001C070000}"/>
    <hyperlink ref="C1119" r:id="rId1822" display="http://pokemondb.net/type/rock" xr:uid="{00000000-0004-0000-0000-00001D070000}"/>
    <hyperlink ref="C1120" r:id="rId1823" display="http://pokemondb.net/type/dragon" xr:uid="{00000000-0004-0000-0000-00001E070000}"/>
    <hyperlink ref="B1121" r:id="rId1824" tooltip="View pokedex for #697 Tyrantrum" display="http://pokemondb.net/pokedex/tyrantrum" xr:uid="{00000000-0004-0000-0000-00001F070000}"/>
    <hyperlink ref="C1121" r:id="rId1825" display="http://pokemondb.net/type/rock" xr:uid="{00000000-0004-0000-0000-000020070000}"/>
    <hyperlink ref="C1122" r:id="rId1826" display="http://pokemondb.net/type/dragon" xr:uid="{00000000-0004-0000-0000-000021070000}"/>
    <hyperlink ref="B1123" r:id="rId1827" tooltip="View pokedex for #698 Amaura" display="http://pokemondb.net/pokedex/amaura" xr:uid="{00000000-0004-0000-0000-000022070000}"/>
    <hyperlink ref="C1123" r:id="rId1828" display="http://pokemondb.net/type/rock" xr:uid="{00000000-0004-0000-0000-000023070000}"/>
    <hyperlink ref="C1124" r:id="rId1829" display="http://pokemondb.net/type/ice" xr:uid="{00000000-0004-0000-0000-000024070000}"/>
    <hyperlink ref="B1125" r:id="rId1830" tooltip="View pokedex for #699 Aurorus" display="http://pokemondb.net/pokedex/aurorus" xr:uid="{00000000-0004-0000-0000-000025070000}"/>
    <hyperlink ref="C1125" r:id="rId1831" display="http://pokemondb.net/type/rock" xr:uid="{00000000-0004-0000-0000-000026070000}"/>
    <hyperlink ref="C1126" r:id="rId1832" display="http://pokemondb.net/type/ice" xr:uid="{00000000-0004-0000-0000-000027070000}"/>
    <hyperlink ref="B1127" r:id="rId1833" tooltip="View pokedex for #700 Sylveon" display="http://pokemondb.net/pokedex/sylveon" xr:uid="{00000000-0004-0000-0000-000028070000}"/>
    <hyperlink ref="C1127" r:id="rId1834" display="http://pokemondb.net/type/fairy" xr:uid="{00000000-0004-0000-0000-000029070000}"/>
    <hyperlink ref="B1129" r:id="rId1835" tooltip="View pokedex for #701 Hawlucha" display="http://pokemondb.net/pokedex/hawlucha" xr:uid="{00000000-0004-0000-0000-00002A070000}"/>
    <hyperlink ref="C1129" r:id="rId1836" display="http://pokemondb.net/type/fighting" xr:uid="{00000000-0004-0000-0000-00002B070000}"/>
    <hyperlink ref="C1130" r:id="rId1837" display="http://pokemondb.net/type/flying" xr:uid="{00000000-0004-0000-0000-00002C070000}"/>
    <hyperlink ref="B1131" r:id="rId1838" tooltip="View pokedex for #702 Dedenne" display="http://pokemondb.net/pokedex/dedenne" xr:uid="{00000000-0004-0000-0000-00002D070000}"/>
    <hyperlink ref="C1131" r:id="rId1839" display="http://pokemondb.net/type/electric" xr:uid="{00000000-0004-0000-0000-00002E070000}"/>
    <hyperlink ref="C420" r:id="rId1840" display="http://pokemondb.net/type/fairy" xr:uid="{00000000-0004-0000-0000-00002F070000}"/>
    <hyperlink ref="B1133" r:id="rId1841" tooltip="View pokedex for #703 Carbink" display="http://pokemondb.net/pokedex/carbink" xr:uid="{00000000-0004-0000-0000-000030070000}"/>
    <hyperlink ref="C1133" r:id="rId1842" display="http://pokemondb.net/type/rock" xr:uid="{00000000-0004-0000-0000-000031070000}"/>
    <hyperlink ref="C419" r:id="rId1843" display="http://pokemondb.net/type/fairy" xr:uid="{00000000-0004-0000-0000-000032070000}"/>
    <hyperlink ref="B1134" r:id="rId1844" tooltip="View pokedex for #704 Goomy" display="http://pokemondb.net/pokedex/goomy" xr:uid="{00000000-0004-0000-0000-000033070000}"/>
    <hyperlink ref="C1134" r:id="rId1845" display="http://pokemondb.net/type/dragon" xr:uid="{00000000-0004-0000-0000-000034070000}"/>
    <hyperlink ref="B1135" r:id="rId1846" tooltip="View pokedex for #705 Sliggoo" display="http://pokemondb.net/pokedex/sliggoo" xr:uid="{00000000-0004-0000-0000-000035070000}"/>
    <hyperlink ref="C1135" r:id="rId1847" display="http://pokemondb.net/type/dragon" xr:uid="{00000000-0004-0000-0000-000036070000}"/>
    <hyperlink ref="B1136" r:id="rId1848" tooltip="View pokedex for #706 Goodra" display="http://pokemondb.net/pokedex/goodra" xr:uid="{00000000-0004-0000-0000-000037070000}"/>
    <hyperlink ref="C1136" r:id="rId1849" display="http://pokemondb.net/type/dragon" xr:uid="{00000000-0004-0000-0000-000038070000}"/>
    <hyperlink ref="B1137" r:id="rId1850" tooltip="View pokedex for #707 Klefki" display="http://pokemondb.net/pokedex/klefki" xr:uid="{00000000-0004-0000-0000-000039070000}"/>
    <hyperlink ref="C1137" r:id="rId1851" display="http://pokemondb.net/type/steel" xr:uid="{00000000-0004-0000-0000-00003A070000}"/>
    <hyperlink ref="C855" r:id="rId1852" display="http://pokemondb.net/type/fairy" xr:uid="{00000000-0004-0000-0000-00003B070000}"/>
    <hyperlink ref="B1138" r:id="rId1853" tooltip="View pokedex for #708 Phantump" display="http://pokemondb.net/pokedex/phantump" xr:uid="{00000000-0004-0000-0000-00003C070000}"/>
    <hyperlink ref="C1138" r:id="rId1854" display="http://pokemondb.net/type/ghost" xr:uid="{00000000-0004-0000-0000-00003D070000}"/>
    <hyperlink ref="C1139" r:id="rId1855" display="http://pokemondb.net/type/grass" xr:uid="{00000000-0004-0000-0000-00003E070000}"/>
    <hyperlink ref="B1140" r:id="rId1856" tooltip="View pokedex for #709 Trevenant" display="http://pokemondb.net/pokedex/trevenant" xr:uid="{00000000-0004-0000-0000-00003F070000}"/>
    <hyperlink ref="C1140" r:id="rId1857" display="http://pokemondb.net/type/ghost" xr:uid="{00000000-0004-0000-0000-000040070000}"/>
    <hyperlink ref="C1141" r:id="rId1858" display="http://pokemondb.net/type/grass" xr:uid="{00000000-0004-0000-0000-000041070000}"/>
    <hyperlink ref="B1142" r:id="rId1859" tooltip="View pokedex for #710 Pumpkaboo" display="http://pokemondb.net/pokedex/pumpkaboo" xr:uid="{00000000-0004-0000-0000-000042070000}"/>
    <hyperlink ref="C1142" r:id="rId1860" display="http://pokemondb.net/type/ghost" xr:uid="{00000000-0004-0000-0000-000043070000}"/>
    <hyperlink ref="C1143" r:id="rId1861" display="http://pokemondb.net/type/grass" xr:uid="{00000000-0004-0000-0000-000044070000}"/>
    <hyperlink ref="B1144" r:id="rId1862" tooltip="View pokedex for #710 Pumpkaboo" display="http://pokemondb.net/pokedex/pumpkaboo" xr:uid="{00000000-0004-0000-0000-000045070000}"/>
    <hyperlink ref="C1144" r:id="rId1863" display="http://pokemondb.net/type/ghost" xr:uid="{00000000-0004-0000-0000-000046070000}"/>
    <hyperlink ref="C1145" r:id="rId1864" display="http://pokemondb.net/type/grass" xr:uid="{00000000-0004-0000-0000-000047070000}"/>
    <hyperlink ref="B1146" r:id="rId1865" tooltip="View pokedex for #710 Pumpkaboo" display="http://pokemondb.net/pokedex/pumpkaboo" xr:uid="{00000000-0004-0000-0000-000048070000}"/>
    <hyperlink ref="C1146" r:id="rId1866" display="http://pokemondb.net/type/ghost" xr:uid="{00000000-0004-0000-0000-000049070000}"/>
    <hyperlink ref="C1147" r:id="rId1867" display="http://pokemondb.net/type/grass" xr:uid="{00000000-0004-0000-0000-00004A070000}"/>
    <hyperlink ref="B1148" r:id="rId1868" tooltip="View pokedex for #710 Pumpkaboo" display="http://pokemondb.net/pokedex/pumpkaboo" xr:uid="{00000000-0004-0000-0000-00004B070000}"/>
    <hyperlink ref="C1148" r:id="rId1869" display="http://pokemondb.net/type/ghost" xr:uid="{00000000-0004-0000-0000-00004C070000}"/>
    <hyperlink ref="C1149" r:id="rId1870" display="http://pokemondb.net/type/grass" xr:uid="{00000000-0004-0000-0000-00004D070000}"/>
    <hyperlink ref="B1150" r:id="rId1871" tooltip="View pokedex for #711 Gourgeist" display="http://pokemondb.net/pokedex/gourgeist" xr:uid="{00000000-0004-0000-0000-00004E070000}"/>
    <hyperlink ref="C1150" r:id="rId1872" display="http://pokemondb.net/type/ghost" xr:uid="{00000000-0004-0000-0000-00004F070000}"/>
    <hyperlink ref="C1151" r:id="rId1873" display="http://pokemondb.net/type/grass" xr:uid="{00000000-0004-0000-0000-000050070000}"/>
    <hyperlink ref="B1152" r:id="rId1874" tooltip="View pokedex for #711 Gourgeist" display="http://pokemondb.net/pokedex/gourgeist" xr:uid="{00000000-0004-0000-0000-000051070000}"/>
    <hyperlink ref="C1152" r:id="rId1875" display="http://pokemondb.net/type/ghost" xr:uid="{00000000-0004-0000-0000-000052070000}"/>
    <hyperlink ref="C1153" r:id="rId1876" display="http://pokemondb.net/type/grass" xr:uid="{00000000-0004-0000-0000-000053070000}"/>
    <hyperlink ref="B1154" r:id="rId1877" tooltip="View pokedex for #711 Gourgeist" display="http://pokemondb.net/pokedex/gourgeist" xr:uid="{00000000-0004-0000-0000-000054070000}"/>
    <hyperlink ref="C1154" r:id="rId1878" display="http://pokemondb.net/type/ghost" xr:uid="{00000000-0004-0000-0000-000055070000}"/>
    <hyperlink ref="C1155" r:id="rId1879" display="http://pokemondb.net/type/grass" xr:uid="{00000000-0004-0000-0000-000056070000}"/>
    <hyperlink ref="B1156" r:id="rId1880" tooltip="View pokedex for #711 Gourgeist" display="http://pokemondb.net/pokedex/gourgeist" xr:uid="{00000000-0004-0000-0000-000057070000}"/>
    <hyperlink ref="C1156" r:id="rId1881" display="http://pokemondb.net/type/ghost" xr:uid="{00000000-0004-0000-0000-000058070000}"/>
    <hyperlink ref="C1157" r:id="rId1882" display="http://pokemondb.net/type/grass" xr:uid="{00000000-0004-0000-0000-000059070000}"/>
    <hyperlink ref="B1158" r:id="rId1883" tooltip="View pokedex for #712 Bergmite" display="http://pokemondb.net/pokedex/bergmite" xr:uid="{00000000-0004-0000-0000-00005A070000}"/>
    <hyperlink ref="C1158" r:id="rId1884" display="http://pokemondb.net/type/ice" xr:uid="{00000000-0004-0000-0000-00005B070000}"/>
    <hyperlink ref="B1159" r:id="rId1885" tooltip="View pokedex for #713 Avalugg" display="http://pokemondb.net/pokedex/avalugg" xr:uid="{00000000-0004-0000-0000-00005C070000}"/>
    <hyperlink ref="C1159" r:id="rId1886" display="http://pokemondb.net/type/ice" xr:uid="{00000000-0004-0000-0000-00005D070000}"/>
    <hyperlink ref="B1160" r:id="rId1887" tooltip="View pokedex for #714 Noibat" display="http://pokemondb.net/pokedex/noibat" xr:uid="{00000000-0004-0000-0000-00005E070000}"/>
    <hyperlink ref="C1160" r:id="rId1888" display="http://pokemondb.net/type/flying" xr:uid="{00000000-0004-0000-0000-00005F070000}"/>
    <hyperlink ref="C1161" r:id="rId1889" display="http://pokemondb.net/type/dragon" xr:uid="{00000000-0004-0000-0000-000060070000}"/>
    <hyperlink ref="B1162" r:id="rId1890" tooltip="View pokedex for #715 Noivern" display="http://pokemondb.net/pokedex/noivern" xr:uid="{00000000-0004-0000-0000-000061070000}"/>
    <hyperlink ref="C1162" r:id="rId1891" display="http://pokemondb.net/type/flying" xr:uid="{00000000-0004-0000-0000-000062070000}"/>
    <hyperlink ref="C1163" r:id="rId1892" display="http://pokemondb.net/type/dragon" xr:uid="{00000000-0004-0000-0000-000063070000}"/>
    <hyperlink ref="B1164" r:id="rId1893" tooltip="View pokedex for #716 Xerneas" display="http://pokemondb.net/pokedex/xerneas" xr:uid="{00000000-0004-0000-0000-000064070000}"/>
    <hyperlink ref="C1164" r:id="rId1894" display="http://pokemondb.net/type/fairy" xr:uid="{00000000-0004-0000-0000-000065070000}"/>
    <hyperlink ref="B1165" r:id="rId1895" tooltip="View pokedex for #717 Yveltal" display="http://pokemondb.net/pokedex/yveltal" xr:uid="{00000000-0004-0000-0000-000066070000}"/>
    <hyperlink ref="C1165" r:id="rId1896" display="http://pokemondb.net/type/dark" xr:uid="{00000000-0004-0000-0000-000067070000}"/>
    <hyperlink ref="C1166" r:id="rId1897" display="http://pokemondb.net/type/flying" xr:uid="{00000000-0004-0000-0000-000068070000}"/>
    <hyperlink ref="B1167" r:id="rId1898" tooltip="View pokedex for #718 Zygarde" display="http://pokemondb.net/pokedex/zygarde" xr:uid="{00000000-0004-0000-0000-000069070000}"/>
    <hyperlink ref="C1167" r:id="rId1899" display="http://pokemondb.net/type/dragon" xr:uid="{00000000-0004-0000-0000-00006A070000}"/>
    <hyperlink ref="C1168" r:id="rId1900" display="http://pokemondb.net/type/ground" xr:uid="{00000000-0004-0000-0000-00006B070000}"/>
    <hyperlink ref="B894" r:id="rId1901" tooltip="View pokedex for #555 Darmanitan" display="http://pokemondb.net/pokedex/darmanitan" xr:uid="{00000000-0004-0000-0000-00006C070000}"/>
    <hyperlink ref="B892" r:id="rId1902" tooltip="View pokedex for #555 Darmanitan" display="http://pokemondb.net/pokedex/darmanitan" xr:uid="{00000000-0004-0000-0000-00006D070000}"/>
    <hyperlink ref="B1021" r:id="rId1903" tooltip="View pokedex for #641 Tornadus" display="http://pokemondb.net/pokedex/tornadus" xr:uid="{00000000-0004-0000-0000-00006E070000}"/>
    <hyperlink ref="B1023" r:id="rId1904" tooltip="View pokedex for #641 Tornadus" display="http://pokemondb.net/pokedex/tornadus" xr:uid="{00000000-0004-0000-0000-00006F070000}"/>
    <hyperlink ref="B1025" r:id="rId1905" tooltip="View pokedex for #642 Thundurus" display="http://pokemondb.net/pokedex/thundurus" xr:uid="{00000000-0004-0000-0000-000070070000}"/>
    <hyperlink ref="B1027" r:id="rId1906" tooltip="View pokedex for #642 Thundurus" display="http://pokemondb.net/pokedex/thundurus" xr:uid="{00000000-0004-0000-0000-000071070000}"/>
    <hyperlink ref="B1033" r:id="rId1907" tooltip="View pokedex for #645 Landorus" display="http://pokemondb.net/pokedex/landorus" xr:uid="{00000000-0004-0000-0000-000072070000}"/>
    <hyperlink ref="B1035" r:id="rId1908" tooltip="View pokedex for #645 Landorus" display="http://pokemondb.net/pokedex/landorus" xr:uid="{00000000-0004-0000-0000-000073070000}"/>
    <hyperlink ref="B1037" r:id="rId1909" tooltip="View pokedex for #646 Kyurem" display="http://pokemondb.net/pokedex/kyurem" xr:uid="{00000000-0004-0000-0000-000074070000}"/>
    <hyperlink ref="B1039" r:id="rId1910" tooltip="View pokedex for #646 Kyurem" display="http://pokemondb.net/pokedex/kyurem" xr:uid="{00000000-0004-0000-0000-000075070000}"/>
    <hyperlink ref="B1041" r:id="rId1911" tooltip="View pokedex for #646 Kyurem" display="http://pokemondb.net/pokedex/kyurem" xr:uid="{00000000-0004-0000-0000-000076070000}"/>
    <hyperlink ref="B1043" r:id="rId1912" tooltip="View pokedex for #647 Keldeo" display="http://pokemondb.net/pokedex/keldeo" xr:uid="{00000000-0004-0000-0000-000077070000}"/>
    <hyperlink ref="B1045" r:id="rId1913" tooltip="View pokedex for #647 Keldeo" display="http://pokemondb.net/pokedex/keldeo" xr:uid="{00000000-0004-0000-0000-000078070000}"/>
    <hyperlink ref="B826" r:id="rId1914" tooltip="View pokedex for #648 Meloetta" display="http://pokemondb.net/pokedex/meloetta" xr:uid="{00000000-0004-0000-0000-000079070000}"/>
    <hyperlink ref="B534" r:id="rId1915" tooltip="View pokedex for #648 Meloetta" display="http://pokemondb.net/pokedex/meloetta" xr:uid="{00000000-0004-0000-0000-00007A070000}"/>
    <hyperlink ref="B1094" r:id="rId1916" tooltip="View pokedex for #681 Aegislash" display="http://pokemondb.net/pokedex/aegislash" xr:uid="{00000000-0004-0000-0000-00007B070000}"/>
    <hyperlink ref="B1096" r:id="rId1917" tooltip="View pokedex for #681 Aegislash" display="http://pokemondb.net/pokedex/aegislash" xr:uid="{00000000-0004-0000-0000-00007C070000}"/>
    <hyperlink ref="B1143" r:id="rId1918" tooltip="View pokedex for #710 Pumpkaboo" display="http://pokemondb.net/pokedex/pumpkaboo" xr:uid="{00000000-0004-0000-0000-00007D070000}"/>
    <hyperlink ref="B1145" r:id="rId1919" tooltip="View pokedex for #710 Pumpkaboo" display="http://pokemondb.net/pokedex/pumpkaboo" xr:uid="{00000000-0004-0000-0000-00007E070000}"/>
    <hyperlink ref="B1147" r:id="rId1920" tooltip="View pokedex for #710 Pumpkaboo" display="http://pokemondb.net/pokedex/pumpkaboo" xr:uid="{00000000-0004-0000-0000-00007F070000}"/>
    <hyperlink ref="B1149" r:id="rId1921" tooltip="View pokedex for #710 Pumpkaboo" display="http://pokemondb.net/pokedex/pumpkaboo" xr:uid="{00000000-0004-0000-0000-000080070000}"/>
    <hyperlink ref="B1151" r:id="rId1922" tooltip="View pokedex for #711 Gourgeist" display="http://pokemondb.net/pokedex/gourgeist" xr:uid="{00000000-0004-0000-0000-000081070000}"/>
    <hyperlink ref="B1153" r:id="rId1923" tooltip="View pokedex for #711 Gourgeist" display="http://pokemondb.net/pokedex/gourgeist" xr:uid="{00000000-0004-0000-0000-000082070000}"/>
    <hyperlink ref="B1155" r:id="rId1924" tooltip="View pokedex for #711 Gourgeist" display="http://pokemondb.net/pokedex/gourgeist" xr:uid="{00000000-0004-0000-0000-000083070000}"/>
    <hyperlink ref="B1157" r:id="rId1925" tooltip="View pokedex for #711 Gourgeist" display="http://pokemondb.net/pokedex/gourgeist" xr:uid="{00000000-0004-0000-0000-000084070000}"/>
    <hyperlink ref="B793" r:id="rId1926" tooltip="View pokedex for #487 Giratina" display="http://pokemondb.net/pokedex/giratina" xr:uid="{00000000-0004-0000-0000-000085070000}"/>
    <hyperlink ref="B795" r:id="rId1927" tooltip="View pokedex for #487 Giratina" display="http://pokemondb.net/pokedex/giratina" xr:uid="{00000000-0004-0000-0000-000086070000}"/>
    <hyperlink ref="B802" r:id="rId1928" tooltip="View pokedex for #492 Shaymin" display="http://pokemondb.net/pokedex/shaymin" xr:uid="{00000000-0004-0000-0000-000087070000}"/>
  </hyperlinks>
  <pageMargins left="0.7" right="0.7" top="0.75" bottom="0.75" header="0.3" footer="0.3"/>
  <pageSetup orientation="portrait" r:id="rId1929"/>
  <tableParts count="1">
    <tablePart r:id="rId193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2977C-7AE0-4487-B122-69EE8223F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1137-2FE3-4BA6-858F-78B2FA35A0B7}">
  <dimension ref="A1:F10"/>
  <sheetViews>
    <sheetView workbookViewId="0">
      <selection activeCell="C3" sqref="C3"/>
    </sheetView>
  </sheetViews>
  <sheetFormatPr defaultRowHeight="15"/>
  <cols>
    <col min="1" max="1" width="13.140625" bestFit="1" customWidth="1"/>
    <col min="2" max="2" width="36.5703125" bestFit="1" customWidth="1"/>
  </cols>
  <sheetData>
    <row r="1" spans="1:6" ht="23.25" customHeight="1">
      <c r="A1" s="70" t="s">
        <v>806</v>
      </c>
      <c r="B1" s="71"/>
      <c r="C1" s="71"/>
      <c r="D1" s="71"/>
      <c r="E1" s="71"/>
      <c r="F1" s="72"/>
    </row>
    <row r="2" spans="1:6">
      <c r="A2" s="73"/>
      <c r="B2" s="74"/>
      <c r="C2" s="74"/>
      <c r="D2" s="74"/>
      <c r="E2" s="74"/>
      <c r="F2" s="75"/>
    </row>
    <row r="3" spans="1:6" ht="15.75">
      <c r="A3" s="64" t="s">
        <v>807</v>
      </c>
      <c r="B3" s="65" t="s">
        <v>15</v>
      </c>
    </row>
    <row r="4" spans="1:6" ht="15" customHeight="1">
      <c r="A4" s="64" t="s">
        <v>808</v>
      </c>
      <c r="B4" s="66" t="str">
        <f>_xlfn.XLOOKUP(B3,Pokemon!B:B,Pokemon!E:E)</f>
        <v>Kanto</v>
      </c>
    </row>
    <row r="5" spans="1:6" ht="15" customHeight="1">
      <c r="A5" s="64" t="s">
        <v>809</v>
      </c>
      <c r="B5" s="67" t="str">
        <f>_xlfn.XLOOKUP(B3,Pokemon!B:B,Pokemon!C:C)</f>
        <v>GRASS</v>
      </c>
    </row>
    <row r="6" spans="1:6" ht="15" customHeight="1">
      <c r="A6" s="64" t="s">
        <v>810</v>
      </c>
      <c r="B6" s="66">
        <f>_xlfn.XLOOKUP(B3,Pokemon!B:B,Pokemon!H:H)</f>
        <v>45</v>
      </c>
    </row>
    <row r="7" spans="1:6" ht="15" customHeight="1">
      <c r="A7" s="64" t="s">
        <v>811</v>
      </c>
      <c r="B7" s="66">
        <f>_xlfn.XLOOKUP(B3,Pokemon!B:B,Pokemon!I:I)</f>
        <v>49</v>
      </c>
    </row>
    <row r="8" spans="1:6" ht="15" customHeight="1">
      <c r="A8" s="64" t="s">
        <v>812</v>
      </c>
      <c r="B8" s="66">
        <f>_xlfn.XLOOKUP(B3,Pokemon!B:B,Pokemon!J:J)</f>
        <v>49</v>
      </c>
    </row>
    <row r="9" spans="1:6" ht="15" customHeight="1">
      <c r="A9" s="64" t="s">
        <v>813</v>
      </c>
      <c r="B9" s="66">
        <v>45</v>
      </c>
    </row>
    <row r="10" spans="1:6" ht="15" customHeight="1">
      <c r="A10" s="68" t="s">
        <v>814</v>
      </c>
      <c r="B10" s="69" t="str">
        <f>_xlfn.XLOOKUP(B3,Pokemon!B:B,Pokemon!F:F)</f>
        <v>Normal</v>
      </c>
    </row>
  </sheetData>
  <mergeCells count="1">
    <mergeCell ref="A1:F2"/>
  </mergeCells>
  <conditionalFormatting sqref="B5">
    <cfRule type="containsText" dxfId="91" priority="20" operator="containsText" text="GRASS">
      <formula>NOT(ISERROR(SEARCH("GRASS",B5)))</formula>
    </cfRule>
  </conditionalFormatting>
  <conditionalFormatting sqref="B5">
    <cfRule type="containsText" dxfId="90" priority="19" operator="containsText" text="POISON">
      <formula>NOT(ISERROR(SEARCH("POISON",B5)))</formula>
    </cfRule>
  </conditionalFormatting>
  <conditionalFormatting sqref="B5">
    <cfRule type="containsText" dxfId="89" priority="18" operator="containsText" text="WATER">
      <formula>NOT(ISERROR(SEARCH("WATER",B5)))</formula>
    </cfRule>
  </conditionalFormatting>
  <conditionalFormatting sqref="B5">
    <cfRule type="containsText" dxfId="88" priority="17" operator="containsText" text="FLYING">
      <formula>NOT(ISERROR(SEARCH("FLYING",B5)))</formula>
    </cfRule>
  </conditionalFormatting>
  <conditionalFormatting sqref="B5">
    <cfRule type="containsText" dxfId="87" priority="16" operator="containsText" text="FIRE">
      <formula>NOT(ISERROR(SEARCH("FIRE",B5)))</formula>
    </cfRule>
  </conditionalFormatting>
  <conditionalFormatting sqref="B5">
    <cfRule type="containsText" dxfId="86" priority="15" operator="containsText" text="DRAGON">
      <formula>NOT(ISERROR(SEARCH("DRAGON",B5)))</formula>
    </cfRule>
  </conditionalFormatting>
  <conditionalFormatting sqref="B5">
    <cfRule type="containsText" dxfId="85" priority="14" operator="containsText" text="BUG">
      <formula>NOT(ISERROR(SEARCH("BUG",B5)))</formula>
    </cfRule>
  </conditionalFormatting>
  <conditionalFormatting sqref="B5">
    <cfRule type="containsText" dxfId="84" priority="13" operator="containsText" text="ELECTRIC">
      <formula>NOT(ISERROR(SEARCH("ELECTRIC",B5)))</formula>
    </cfRule>
  </conditionalFormatting>
  <conditionalFormatting sqref="B5">
    <cfRule type="containsText" dxfId="83" priority="12" operator="containsText" text="GROUND">
      <formula>NOT(ISERROR(SEARCH("GROUND",B5)))</formula>
    </cfRule>
  </conditionalFormatting>
  <conditionalFormatting sqref="B5">
    <cfRule type="containsText" dxfId="82" priority="11" operator="containsText" text="FAIRY">
      <formula>NOT(ISERROR(SEARCH("FAIRY",B5)))</formula>
    </cfRule>
  </conditionalFormatting>
  <conditionalFormatting sqref="B5">
    <cfRule type="containsText" dxfId="81" priority="10" operator="containsText" text="FIGHTING">
      <formula>NOT(ISERROR(SEARCH("FIGHTING",B5)))</formula>
    </cfRule>
  </conditionalFormatting>
  <conditionalFormatting sqref="B5">
    <cfRule type="containsText" dxfId="80" priority="9" operator="containsText" text="PSYCHIC">
      <formula>NOT(ISERROR(SEARCH("PSYCHIC",B5)))</formula>
    </cfRule>
  </conditionalFormatting>
  <conditionalFormatting sqref="B5">
    <cfRule type="containsText" dxfId="79" priority="8" operator="containsText" text="ROCK">
      <formula>NOT(ISERROR(SEARCH("ROCK",B5)))</formula>
    </cfRule>
  </conditionalFormatting>
  <conditionalFormatting sqref="B5">
    <cfRule type="containsText" dxfId="78" priority="7" operator="containsText" text="STEEL">
      <formula>NOT(ISERROR(SEARCH("STEEL",B5)))</formula>
    </cfRule>
  </conditionalFormatting>
  <conditionalFormatting sqref="B5">
    <cfRule type="containsText" dxfId="77" priority="6" operator="containsText" text="ICE">
      <formula>NOT(ISERROR(SEARCH("ICE",B5)))</formula>
    </cfRule>
  </conditionalFormatting>
  <conditionalFormatting sqref="B5">
    <cfRule type="containsText" dxfId="76" priority="5" operator="containsText" text="GHOST">
      <formula>NOT(ISERROR(SEARCH("GHOST",B5)))</formula>
    </cfRule>
  </conditionalFormatting>
  <conditionalFormatting sqref="B5">
    <cfRule type="containsText" dxfId="75" priority="4" operator="containsText" text="DARK">
      <formula>NOT(ISERROR(SEARCH("DARK",B5)))</formula>
    </cfRule>
  </conditionalFormatting>
  <conditionalFormatting sqref="B10">
    <cfRule type="containsText" dxfId="74" priority="3" operator="containsText" text="Lendário">
      <formula>NOT(ISERROR(SEARCH("Lendário",B10)))</formula>
    </cfRule>
  </conditionalFormatting>
  <conditionalFormatting sqref="B10">
    <cfRule type="containsText" dxfId="73" priority="2" operator="containsText" text="Forte">
      <formula>NOT(ISERROR(SEARCH("Forte",B10)))</formula>
    </cfRule>
  </conditionalFormatting>
  <conditionalFormatting sqref="B10">
    <cfRule type="containsText" dxfId="72" priority="1" operator="containsText" text="Normal">
      <formula>NOT(ISERROR(SEARCH("Normal",B10)))</formula>
    </cfRule>
  </conditionalFormatting>
  <dataValidations count="1">
    <dataValidation allowBlank="1" showInputMessage="1" showErrorMessage="1" sqref="B4" xr:uid="{966B4458-07A0-41C8-8428-7F7F6712C92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2BFE2DB0-F231-44AC-B94F-3BCA8021F7AB}">
          <x14:formula1>
            <xm:f>Pokemon!$B$2:$B$1168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8"/>
  <sheetViews>
    <sheetView workbookViewId="0">
      <pane ySplit="1" topLeftCell="A2" activePane="bottomLeft" state="frozen"/>
      <selection pane="bottomLeft" activeCell="G7" sqref="G7"/>
    </sheetView>
  </sheetViews>
  <sheetFormatPr defaultRowHeight="15"/>
  <cols>
    <col min="1" max="1" width="19.28515625" customWidth="1"/>
    <col min="2" max="2" width="19.7109375" customWidth="1"/>
    <col min="3" max="3" width="19.42578125" customWidth="1"/>
    <col min="4" max="4" width="14.5703125" customWidth="1"/>
    <col min="5" max="5" width="14.28515625" customWidth="1"/>
    <col min="6" max="6" width="11.28515625" customWidth="1"/>
    <col min="9" max="9" width="37.28515625" style="7" customWidth="1"/>
    <col min="10" max="10" width="17.5703125" customWidth="1"/>
    <col min="11" max="11" width="31" customWidth="1"/>
  </cols>
  <sheetData>
    <row r="1" spans="1:11" ht="21">
      <c r="A1" s="29" t="s">
        <v>1</v>
      </c>
      <c r="B1" s="30" t="s">
        <v>2</v>
      </c>
      <c r="C1" s="30" t="s">
        <v>815</v>
      </c>
      <c r="D1" s="30" t="s">
        <v>816</v>
      </c>
      <c r="E1" s="30" t="s">
        <v>817</v>
      </c>
      <c r="F1" s="30" t="s">
        <v>818</v>
      </c>
      <c r="G1" s="30" t="s">
        <v>819</v>
      </c>
      <c r="H1" s="30" t="s">
        <v>820</v>
      </c>
      <c r="I1" s="31" t="s">
        <v>821</v>
      </c>
      <c r="J1" s="30" t="s">
        <v>822</v>
      </c>
      <c r="K1" s="32" t="s">
        <v>823</v>
      </c>
    </row>
    <row r="2" spans="1:11" ht="54" customHeight="1">
      <c r="A2" s="11" t="s">
        <v>824</v>
      </c>
      <c r="B2" s="12" t="s">
        <v>16</v>
      </c>
      <c r="C2" s="8">
        <f>COUNTIF($B$2:$B$608,Tabela3[[#This Row],[Type]])</f>
        <v>37</v>
      </c>
      <c r="D2" s="9" t="s">
        <v>825</v>
      </c>
      <c r="E2" s="9">
        <v>20</v>
      </c>
      <c r="F2" s="9">
        <v>100</v>
      </c>
      <c r="G2" s="9">
        <v>25</v>
      </c>
      <c r="H2" s="9"/>
      <c r="I2" s="17" t="s">
        <v>826</v>
      </c>
      <c r="J2" s="10"/>
      <c r="K2" s="16" t="str">
        <f>IF(E2&gt;=100,"Muito Forte",
IF(E2&gt;=70,"Forte",
"Comum"))</f>
        <v>Comum</v>
      </c>
    </row>
    <row r="3" spans="1:11" ht="42.75" customHeight="1">
      <c r="A3" s="11" t="s">
        <v>827</v>
      </c>
      <c r="B3" s="11" t="s">
        <v>17</v>
      </c>
      <c r="C3" s="11">
        <f>COUNTIF($B$2:$B$608,Tabela3[[#This Row],[Type]])</f>
        <v>23</v>
      </c>
      <c r="D3" s="9" t="s">
        <v>825</v>
      </c>
      <c r="E3" s="9">
        <v>40</v>
      </c>
      <c r="F3" s="9">
        <v>100</v>
      </c>
      <c r="G3" s="9">
        <v>30</v>
      </c>
      <c r="H3" s="9"/>
      <c r="I3" s="17" t="s">
        <v>828</v>
      </c>
      <c r="J3" s="10">
        <v>10</v>
      </c>
      <c r="K3" s="16" t="str">
        <f t="shared" ref="K3:K66" si="0">IF(E3&gt;=100,"Muito Forte",
IF(E3&gt;=70,"Forte",
"Comum"))</f>
        <v>Comum</v>
      </c>
    </row>
    <row r="4" spans="1:11" ht="57.75" customHeight="1">
      <c r="A4" s="11" t="s">
        <v>829</v>
      </c>
      <c r="B4" s="11" t="s">
        <v>17</v>
      </c>
      <c r="C4" s="11">
        <f>COUNTIF($B$2:$B$608,Tabela3[[#This Row],[Type]])</f>
        <v>23</v>
      </c>
      <c r="D4" s="9" t="s">
        <v>830</v>
      </c>
      <c r="E4" s="9"/>
      <c r="F4" s="9"/>
      <c r="G4" s="9">
        <v>40</v>
      </c>
      <c r="H4" s="9"/>
      <c r="I4" s="17" t="s">
        <v>831</v>
      </c>
      <c r="J4" s="10"/>
      <c r="K4" s="16" t="str">
        <f t="shared" si="0"/>
        <v>Comum</v>
      </c>
    </row>
    <row r="5" spans="1:11" ht="51" customHeight="1">
      <c r="A5" s="11" t="s">
        <v>832</v>
      </c>
      <c r="B5" s="11" t="s">
        <v>17</v>
      </c>
      <c r="C5" s="11">
        <f>COUNTIF($B$2:$B$608,Tabela3[[#This Row],[Type]])</f>
        <v>23</v>
      </c>
      <c r="D5" s="9" t="s">
        <v>825</v>
      </c>
      <c r="E5" s="9">
        <v>40</v>
      </c>
      <c r="F5" s="9">
        <v>100</v>
      </c>
      <c r="G5" s="9">
        <v>20</v>
      </c>
      <c r="H5" s="9"/>
      <c r="I5" s="17" t="s">
        <v>833</v>
      </c>
      <c r="J5" s="10">
        <v>100</v>
      </c>
      <c r="K5" s="16" t="str">
        <f t="shared" si="0"/>
        <v>Comum</v>
      </c>
    </row>
    <row r="6" spans="1:11" ht="35.25" customHeight="1">
      <c r="A6" s="11" t="s">
        <v>834</v>
      </c>
      <c r="B6" s="11" t="s">
        <v>25</v>
      </c>
      <c r="C6" s="11">
        <f>COUNTIF($B$2:$B$608,Tabela3[[#This Row],[Type]])</f>
        <v>23</v>
      </c>
      <c r="D6" s="9" t="s">
        <v>835</v>
      </c>
      <c r="E6" s="9">
        <v>55</v>
      </c>
      <c r="F6" s="9">
        <v>100</v>
      </c>
      <c r="G6" s="9">
        <v>15</v>
      </c>
      <c r="H6" s="9" t="s">
        <v>836</v>
      </c>
      <c r="I6" s="17" t="s">
        <v>837</v>
      </c>
      <c r="J6" s="10"/>
      <c r="K6" s="16" t="str">
        <f t="shared" si="0"/>
        <v>Comum</v>
      </c>
    </row>
    <row r="7" spans="1:11" ht="39.75" customHeight="1">
      <c r="A7" s="11" t="s">
        <v>838</v>
      </c>
      <c r="B7" s="11" t="s">
        <v>42</v>
      </c>
      <c r="C7" s="11">
        <f>COUNTIF($B$2:$B$608,Tabela3[[#This Row],[Type]])</f>
        <v>167</v>
      </c>
      <c r="D7" s="9" t="s">
        <v>830</v>
      </c>
      <c r="E7" s="9"/>
      <c r="F7" s="9"/>
      <c r="G7" s="9">
        <v>30</v>
      </c>
      <c r="H7" s="9"/>
      <c r="I7" s="17" t="s">
        <v>839</v>
      </c>
      <c r="J7" s="10"/>
      <c r="K7" s="16" t="str">
        <f t="shared" si="0"/>
        <v>Comum</v>
      </c>
    </row>
    <row r="8" spans="1:11" ht="36.75" customHeight="1">
      <c r="A8" s="11" t="s">
        <v>840</v>
      </c>
      <c r="B8" s="11" t="s">
        <v>25</v>
      </c>
      <c r="C8" s="11">
        <f>COUNTIF($B$2:$B$608,Tabela3[[#This Row],[Type]])</f>
        <v>23</v>
      </c>
      <c r="D8" s="9" t="s">
        <v>835</v>
      </c>
      <c r="E8" s="9">
        <v>60</v>
      </c>
      <c r="F8" s="9" t="s">
        <v>841</v>
      </c>
      <c r="G8" s="9">
        <v>20</v>
      </c>
      <c r="H8" s="9" t="s">
        <v>842</v>
      </c>
      <c r="I8" s="17" t="s">
        <v>843</v>
      </c>
      <c r="J8" s="10"/>
      <c r="K8" s="16" t="str">
        <f t="shared" si="0"/>
        <v>Comum</v>
      </c>
    </row>
    <row r="9" spans="1:11" ht="45" customHeight="1">
      <c r="A9" s="11" t="s">
        <v>844</v>
      </c>
      <c r="B9" s="11" t="s">
        <v>25</v>
      </c>
      <c r="C9" s="11">
        <f>COUNTIF($B$2:$B$608,Tabela3[[#This Row],[Type]])</f>
        <v>23</v>
      </c>
      <c r="D9" s="9" t="s">
        <v>825</v>
      </c>
      <c r="E9" s="9">
        <v>100</v>
      </c>
      <c r="F9" s="9">
        <v>95</v>
      </c>
      <c r="G9" s="9">
        <v>5</v>
      </c>
      <c r="H9" s="9"/>
      <c r="I9" s="17" t="s">
        <v>845</v>
      </c>
      <c r="J9" s="10"/>
      <c r="K9" s="16" t="str">
        <f t="shared" si="0"/>
        <v>Muito Forte</v>
      </c>
    </row>
    <row r="10" spans="1:11" ht="29.25">
      <c r="A10" s="11" t="s">
        <v>846</v>
      </c>
      <c r="B10" s="11" t="s">
        <v>42</v>
      </c>
      <c r="C10" s="11">
        <f>COUNTIF($B$2:$B$608,Tabela3[[#This Row],[Type]])</f>
        <v>167</v>
      </c>
      <c r="D10" s="9" t="s">
        <v>830</v>
      </c>
      <c r="E10" s="9"/>
      <c r="F10" s="9"/>
      <c r="G10" s="9">
        <v>15</v>
      </c>
      <c r="H10" s="9"/>
      <c r="I10" s="17" t="s">
        <v>847</v>
      </c>
      <c r="J10" s="10"/>
      <c r="K10" s="16" t="str">
        <f t="shared" si="0"/>
        <v>Comum</v>
      </c>
    </row>
    <row r="11" spans="1:11" ht="16.5">
      <c r="A11" s="11" t="s">
        <v>848</v>
      </c>
      <c r="B11" s="11" t="s">
        <v>94</v>
      </c>
      <c r="C11" s="11">
        <f>COUNTIF($B$2:$B$608,Tabela3[[#This Row],[Type]])</f>
        <v>53</v>
      </c>
      <c r="D11" s="9" t="s">
        <v>830</v>
      </c>
      <c r="E11" s="9"/>
      <c r="F11" s="9"/>
      <c r="G11" s="9">
        <v>30</v>
      </c>
      <c r="H11" s="9"/>
      <c r="I11" s="17" t="s">
        <v>849</v>
      </c>
      <c r="J11" s="10"/>
      <c r="K11" s="16" t="str">
        <f t="shared" si="0"/>
        <v>Comum</v>
      </c>
    </row>
    <row r="12" spans="1:11" ht="16.5">
      <c r="A12" s="11" t="s">
        <v>850</v>
      </c>
      <c r="B12" s="11" t="s">
        <v>25</v>
      </c>
      <c r="C12" s="11">
        <f>COUNTIF($B$2:$B$608,Tabela3[[#This Row],[Type]])</f>
        <v>23</v>
      </c>
      <c r="D12" s="9" t="s">
        <v>825</v>
      </c>
      <c r="E12" s="9">
        <v>55</v>
      </c>
      <c r="F12" s="9">
        <v>95</v>
      </c>
      <c r="G12" s="9">
        <v>25</v>
      </c>
      <c r="H12" s="9"/>
      <c r="I12" s="17" t="s">
        <v>845</v>
      </c>
      <c r="J12" s="10"/>
      <c r="K12" s="16" t="str">
        <f t="shared" si="0"/>
        <v>Comum</v>
      </c>
    </row>
    <row r="13" spans="1:11" ht="16.5">
      <c r="A13" s="11" t="s">
        <v>851</v>
      </c>
      <c r="B13" s="11" t="s">
        <v>25</v>
      </c>
      <c r="C13" s="11">
        <f>COUNTIF($B$2:$B$608,Tabela3[[#This Row],[Type]])</f>
        <v>23</v>
      </c>
      <c r="D13" s="9" t="s">
        <v>825</v>
      </c>
      <c r="E13" s="9">
        <v>75</v>
      </c>
      <c r="F13" s="9">
        <v>95</v>
      </c>
      <c r="G13" s="9">
        <v>20</v>
      </c>
      <c r="H13" s="9"/>
      <c r="I13" s="17" t="s">
        <v>852</v>
      </c>
      <c r="J13" s="10">
        <v>30</v>
      </c>
      <c r="K13" s="16" t="str">
        <f t="shared" si="0"/>
        <v>Forte</v>
      </c>
    </row>
    <row r="14" spans="1:11" ht="29.25">
      <c r="A14" s="11" t="s">
        <v>853</v>
      </c>
      <c r="B14" s="11" t="s">
        <v>94</v>
      </c>
      <c r="C14" s="11">
        <f>COUNTIF($B$2:$B$608,Tabela3[[#This Row],[Type]])</f>
        <v>53</v>
      </c>
      <c r="D14" s="9" t="s">
        <v>830</v>
      </c>
      <c r="E14" s="9"/>
      <c r="F14" s="9"/>
      <c r="G14" s="9">
        <v>15</v>
      </c>
      <c r="H14" s="9" t="s">
        <v>854</v>
      </c>
      <c r="I14" s="17" t="s">
        <v>855</v>
      </c>
      <c r="J14" s="10"/>
      <c r="K14" s="16" t="str">
        <f t="shared" si="0"/>
        <v>Comum</v>
      </c>
    </row>
    <row r="15" spans="1:11" ht="29.25">
      <c r="A15" s="11" t="s">
        <v>856</v>
      </c>
      <c r="B15" s="11" t="s">
        <v>94</v>
      </c>
      <c r="C15" s="11">
        <f>COUNTIF($B$2:$B$608,Tabela3[[#This Row],[Type]])</f>
        <v>53</v>
      </c>
      <c r="D15" s="9" t="s">
        <v>830</v>
      </c>
      <c r="E15" s="9"/>
      <c r="F15" s="9"/>
      <c r="G15" s="9">
        <v>20</v>
      </c>
      <c r="H15" s="9"/>
      <c r="I15" s="17" t="s">
        <v>857</v>
      </c>
      <c r="J15" s="10"/>
      <c r="K15" s="16" t="str">
        <f t="shared" si="0"/>
        <v>Comum</v>
      </c>
    </row>
    <row r="16" spans="1:11" ht="16.5">
      <c r="A16" s="11" t="s">
        <v>858</v>
      </c>
      <c r="B16" s="11" t="s">
        <v>107</v>
      </c>
      <c r="C16" s="11">
        <f>COUNTIF($B$2:$B$608,Tabela3[[#This Row],[Type]])</f>
        <v>15</v>
      </c>
      <c r="D16" s="9" t="s">
        <v>825</v>
      </c>
      <c r="E16" s="9">
        <v>60</v>
      </c>
      <c r="F16" s="9">
        <v>100</v>
      </c>
      <c r="G16" s="9">
        <v>5</v>
      </c>
      <c r="H16" s="9"/>
      <c r="I16" s="17" t="s">
        <v>859</v>
      </c>
      <c r="J16" s="10">
        <v>10</v>
      </c>
      <c r="K16" s="16" t="str">
        <f t="shared" si="0"/>
        <v>Comum</v>
      </c>
    </row>
    <row r="17" spans="1:11" ht="16.5">
      <c r="A17" s="11" t="s">
        <v>860</v>
      </c>
      <c r="B17" s="11" t="s">
        <v>30</v>
      </c>
      <c r="C17" s="11">
        <f>COUNTIF($B$2:$B$608,Tabela3[[#This Row],[Type]])</f>
        <v>27</v>
      </c>
      <c r="D17" s="9" t="s">
        <v>835</v>
      </c>
      <c r="E17" s="9">
        <v>40</v>
      </c>
      <c r="F17" s="9">
        <v>100</v>
      </c>
      <c r="G17" s="9">
        <v>20</v>
      </c>
      <c r="H17" s="9"/>
      <c r="I17" s="17" t="s">
        <v>861</v>
      </c>
      <c r="J17" s="10"/>
      <c r="K17" s="16" t="str">
        <f t="shared" si="0"/>
        <v>Comum</v>
      </c>
    </row>
    <row r="18" spans="1:11" ht="16.5">
      <c r="A18" s="11" t="s">
        <v>862</v>
      </c>
      <c r="B18" s="11" t="s">
        <v>30</v>
      </c>
      <c r="C18" s="11">
        <f>COUNTIF($B$2:$B$608,Tabela3[[#This Row],[Type]])</f>
        <v>27</v>
      </c>
      <c r="D18" s="9" t="s">
        <v>830</v>
      </c>
      <c r="E18" s="9"/>
      <c r="F18" s="9"/>
      <c r="G18" s="9">
        <v>20</v>
      </c>
      <c r="H18" s="9"/>
      <c r="I18" s="17" t="s">
        <v>863</v>
      </c>
      <c r="J18" s="10"/>
      <c r="K18" s="16" t="str">
        <f t="shared" si="0"/>
        <v>Comum</v>
      </c>
    </row>
    <row r="19" spans="1:11" ht="16.5">
      <c r="A19" s="11" t="s">
        <v>864</v>
      </c>
      <c r="B19" s="11" t="s">
        <v>30</v>
      </c>
      <c r="C19" s="11">
        <f>COUNTIF($B$2:$B$608,Tabela3[[#This Row],[Type]])</f>
        <v>27</v>
      </c>
      <c r="D19" s="9" t="s">
        <v>835</v>
      </c>
      <c r="E19" s="9">
        <v>90</v>
      </c>
      <c r="F19" s="9">
        <v>90</v>
      </c>
      <c r="G19" s="9">
        <v>10</v>
      </c>
      <c r="H19" s="9"/>
      <c r="I19" s="17"/>
      <c r="J19" s="10"/>
      <c r="K19" s="16" t="str">
        <f t="shared" si="0"/>
        <v>Forte</v>
      </c>
    </row>
    <row r="20" spans="1:11" ht="16.5">
      <c r="A20" s="11" t="s">
        <v>865</v>
      </c>
      <c r="B20" s="11" t="s">
        <v>86</v>
      </c>
      <c r="C20" s="11">
        <f>COUNTIF($B$2:$B$608,Tabela3[[#This Row],[Type]])</f>
        <v>42</v>
      </c>
      <c r="D20" s="9" t="s">
        <v>835</v>
      </c>
      <c r="E20" s="9">
        <v>15</v>
      </c>
      <c r="F20" s="9">
        <v>100</v>
      </c>
      <c r="G20" s="9">
        <v>20</v>
      </c>
      <c r="H20" s="9"/>
      <c r="I20" s="17" t="s">
        <v>866</v>
      </c>
      <c r="J20" s="10"/>
      <c r="K20" s="16" t="str">
        <f t="shared" si="0"/>
        <v>Comum</v>
      </c>
    </row>
    <row r="21" spans="1:11" ht="29.25">
      <c r="A21" s="11" t="s">
        <v>867</v>
      </c>
      <c r="B21" s="11" t="s">
        <v>16</v>
      </c>
      <c r="C21" s="11">
        <f>COUNTIF($B$2:$B$608,Tabela3[[#This Row],[Type]])</f>
        <v>37</v>
      </c>
      <c r="D21" s="9" t="s">
        <v>830</v>
      </c>
      <c r="E21" s="9"/>
      <c r="F21" s="9"/>
      <c r="G21" s="9">
        <v>5</v>
      </c>
      <c r="H21" s="9"/>
      <c r="I21" s="17" t="s">
        <v>868</v>
      </c>
      <c r="J21" s="10"/>
      <c r="K21" s="16" t="str">
        <f t="shared" si="0"/>
        <v>Comum</v>
      </c>
    </row>
    <row r="22" spans="1:11" ht="16.5">
      <c r="A22" s="11" t="s">
        <v>869</v>
      </c>
      <c r="B22" s="11" t="s">
        <v>64</v>
      </c>
      <c r="C22" s="11">
        <f>COUNTIF($B$2:$B$608,Tabela3[[#This Row],[Type]])</f>
        <v>16</v>
      </c>
      <c r="D22" s="9" t="s">
        <v>830</v>
      </c>
      <c r="E22" s="9"/>
      <c r="F22" s="9">
        <v>100</v>
      </c>
      <c r="G22" s="9">
        <v>20</v>
      </c>
      <c r="H22" s="9"/>
      <c r="I22" s="17" t="s">
        <v>870</v>
      </c>
      <c r="J22" s="10"/>
      <c r="K22" s="16" t="str">
        <f t="shared" si="0"/>
        <v>Comum</v>
      </c>
    </row>
    <row r="23" spans="1:11" ht="29.25">
      <c r="A23" s="11" t="s">
        <v>871</v>
      </c>
      <c r="B23" s="11" t="s">
        <v>42</v>
      </c>
      <c r="C23" s="11">
        <f>COUNTIF($B$2:$B$608,Tabela3[[#This Row],[Type]])</f>
        <v>167</v>
      </c>
      <c r="D23" s="9" t="s">
        <v>830</v>
      </c>
      <c r="E23" s="9"/>
      <c r="F23" s="9"/>
      <c r="G23" s="9">
        <v>20</v>
      </c>
      <c r="H23" s="9"/>
      <c r="I23" s="17" t="s">
        <v>872</v>
      </c>
      <c r="J23" s="10"/>
      <c r="K23" s="16" t="str">
        <f t="shared" si="0"/>
        <v>Comum</v>
      </c>
    </row>
    <row r="24" spans="1:11" ht="29.25">
      <c r="A24" s="11" t="s">
        <v>873</v>
      </c>
      <c r="B24" s="11" t="s">
        <v>170</v>
      </c>
      <c r="C24" s="11">
        <f>COUNTIF($B$2:$B$608,Tabela3[[#This Row],[Type]])</f>
        <v>31</v>
      </c>
      <c r="D24" s="9" t="s">
        <v>835</v>
      </c>
      <c r="E24" s="9">
        <v>50</v>
      </c>
      <c r="F24" s="9">
        <v>100</v>
      </c>
      <c r="G24" s="9">
        <v>10</v>
      </c>
      <c r="H24" s="9"/>
      <c r="I24" s="17" t="s">
        <v>874</v>
      </c>
      <c r="J24" s="10"/>
      <c r="K24" s="16" t="str">
        <f t="shared" si="0"/>
        <v>Comum</v>
      </c>
    </row>
    <row r="25" spans="1:11" ht="16.5">
      <c r="A25" s="11" t="s">
        <v>875</v>
      </c>
      <c r="B25" s="11" t="s">
        <v>128</v>
      </c>
      <c r="C25" s="11">
        <f>COUNTIF($B$2:$B$608,Tabela3[[#This Row],[Type]])</f>
        <v>18</v>
      </c>
      <c r="D25" s="9" t="s">
        <v>835</v>
      </c>
      <c r="E25" s="9">
        <v>30</v>
      </c>
      <c r="F25" s="9">
        <v>100</v>
      </c>
      <c r="G25" s="9">
        <v>15</v>
      </c>
      <c r="H25" s="9"/>
      <c r="I25" s="17" t="s">
        <v>852</v>
      </c>
      <c r="J25" s="10">
        <v>30</v>
      </c>
      <c r="K25" s="16" t="str">
        <f t="shared" si="0"/>
        <v>Comum</v>
      </c>
    </row>
    <row r="26" spans="1:11" ht="16.5">
      <c r="A26" s="11" t="s">
        <v>876</v>
      </c>
      <c r="B26" s="11" t="s">
        <v>35</v>
      </c>
      <c r="C26" s="11">
        <f>COUNTIF($B$2:$B$608,Tabela3[[#This Row],[Type]])</f>
        <v>25</v>
      </c>
      <c r="D26" s="9" t="s">
        <v>835</v>
      </c>
      <c r="E26" s="9">
        <v>90</v>
      </c>
      <c r="F26" s="9">
        <v>100</v>
      </c>
      <c r="G26" s="9">
        <v>15</v>
      </c>
      <c r="H26" s="9"/>
      <c r="I26" s="17" t="s">
        <v>845</v>
      </c>
      <c r="J26" s="10"/>
      <c r="K26" s="16" t="str">
        <f t="shared" si="0"/>
        <v>Forte</v>
      </c>
    </row>
    <row r="27" spans="1:11" ht="29.25">
      <c r="A27" s="11" t="s">
        <v>877</v>
      </c>
      <c r="B27" s="11" t="s">
        <v>42</v>
      </c>
      <c r="C27" s="11">
        <f>COUNTIF($B$2:$B$608,Tabela3[[#This Row],[Type]])</f>
        <v>167</v>
      </c>
      <c r="D27" s="9" t="s">
        <v>830</v>
      </c>
      <c r="E27" s="9"/>
      <c r="F27" s="9">
        <v>100</v>
      </c>
      <c r="G27" s="9">
        <v>15</v>
      </c>
      <c r="H27" s="9" t="s">
        <v>878</v>
      </c>
      <c r="I27" s="17" t="s">
        <v>879</v>
      </c>
      <c r="J27" s="10"/>
      <c r="K27" s="16" t="str">
        <f t="shared" si="0"/>
        <v>Comum</v>
      </c>
    </row>
    <row r="28" spans="1:11" ht="16.5">
      <c r="A28" s="11" t="s">
        <v>880</v>
      </c>
      <c r="B28" s="11" t="s">
        <v>86</v>
      </c>
      <c r="C28" s="11">
        <f>COUNTIF($B$2:$B$608,Tabela3[[#This Row],[Type]])</f>
        <v>42</v>
      </c>
      <c r="D28" s="9" t="s">
        <v>825</v>
      </c>
      <c r="E28" s="9">
        <v>90</v>
      </c>
      <c r="F28" s="9" t="s">
        <v>841</v>
      </c>
      <c r="G28" s="9">
        <v>20</v>
      </c>
      <c r="H28" s="9"/>
      <c r="I28" s="17" t="s">
        <v>843</v>
      </c>
      <c r="J28" s="10"/>
      <c r="K28" s="16" t="str">
        <f t="shared" si="0"/>
        <v>Forte</v>
      </c>
    </row>
    <row r="29" spans="1:11" ht="16.5">
      <c r="A29" s="11" t="s">
        <v>881</v>
      </c>
      <c r="B29" s="11" t="s">
        <v>122</v>
      </c>
      <c r="C29" s="11">
        <f>COUNTIF($B$2:$B$608,Tabela3[[#This Row],[Type]])</f>
        <v>21</v>
      </c>
      <c r="D29" s="9" t="s">
        <v>825</v>
      </c>
      <c r="E29" s="9">
        <v>65</v>
      </c>
      <c r="F29" s="9">
        <v>100</v>
      </c>
      <c r="G29" s="9">
        <v>20</v>
      </c>
      <c r="H29" s="9"/>
      <c r="I29" s="17" t="s">
        <v>882</v>
      </c>
      <c r="J29" s="10">
        <v>10</v>
      </c>
      <c r="K29" s="16" t="str">
        <f t="shared" si="0"/>
        <v>Comum</v>
      </c>
    </row>
    <row r="30" spans="1:11" ht="29.25">
      <c r="A30" s="11" t="s">
        <v>883</v>
      </c>
      <c r="B30" s="11" t="s">
        <v>115</v>
      </c>
      <c r="C30" s="11">
        <f>COUNTIF($B$2:$B$608,Tabela3[[#This Row],[Type]])</f>
        <v>19</v>
      </c>
      <c r="D30" s="9" t="s">
        <v>830</v>
      </c>
      <c r="E30" s="9"/>
      <c r="F30" s="9"/>
      <c r="G30" s="9">
        <v>15</v>
      </c>
      <c r="H30" s="9"/>
      <c r="I30" s="17" t="s">
        <v>884</v>
      </c>
      <c r="J30" s="10"/>
      <c r="K30" s="16" t="str">
        <f t="shared" si="0"/>
        <v>Comum</v>
      </c>
    </row>
    <row r="31" spans="1:11" ht="29.25">
      <c r="A31" s="11" t="s">
        <v>885</v>
      </c>
      <c r="B31" s="11" t="s">
        <v>122</v>
      </c>
      <c r="C31" s="11">
        <f>COUNTIF($B$2:$B$608,Tabela3[[#This Row],[Type]])</f>
        <v>21</v>
      </c>
      <c r="D31" s="9" t="s">
        <v>835</v>
      </c>
      <c r="E31" s="9">
        <v>60</v>
      </c>
      <c r="F31" s="9">
        <v>100</v>
      </c>
      <c r="G31" s="9">
        <v>10</v>
      </c>
      <c r="H31" s="9"/>
      <c r="I31" s="17" t="s">
        <v>886</v>
      </c>
      <c r="J31" s="10"/>
      <c r="K31" s="16" t="str">
        <f t="shared" si="0"/>
        <v>Comum</v>
      </c>
    </row>
    <row r="32" spans="1:11" ht="29.25">
      <c r="A32" s="11" t="s">
        <v>887</v>
      </c>
      <c r="B32" s="11" t="s">
        <v>64</v>
      </c>
      <c r="C32" s="11">
        <f>COUNTIF($B$2:$B$608,Tabela3[[#This Row],[Type]])</f>
        <v>16</v>
      </c>
      <c r="D32" s="9" t="s">
        <v>830</v>
      </c>
      <c r="E32" s="9"/>
      <c r="F32" s="9">
        <v>100</v>
      </c>
      <c r="G32" s="9">
        <v>30</v>
      </c>
      <c r="H32" s="9"/>
      <c r="I32" s="17" t="s">
        <v>888</v>
      </c>
      <c r="J32" s="10"/>
      <c r="K32" s="16" t="str">
        <f t="shared" si="0"/>
        <v>Comum</v>
      </c>
    </row>
    <row r="33" spans="1:11" ht="16.5">
      <c r="A33" s="11" t="s">
        <v>889</v>
      </c>
      <c r="B33" s="11" t="s">
        <v>42</v>
      </c>
      <c r="C33" s="11">
        <f>COUNTIF($B$2:$B$608,Tabela3[[#This Row],[Type]])</f>
        <v>167</v>
      </c>
      <c r="D33" s="9" t="s">
        <v>835</v>
      </c>
      <c r="E33" s="9">
        <v>15</v>
      </c>
      <c r="F33" s="9">
        <v>85</v>
      </c>
      <c r="G33" s="9">
        <v>20</v>
      </c>
      <c r="H33" s="9"/>
      <c r="I33" s="17" t="s">
        <v>866</v>
      </c>
      <c r="J33" s="10"/>
      <c r="K33" s="16" t="str">
        <f t="shared" si="0"/>
        <v>Comum</v>
      </c>
    </row>
    <row r="34" spans="1:11" ht="16.5">
      <c r="A34" s="11" t="s">
        <v>890</v>
      </c>
      <c r="B34" s="11" t="s">
        <v>94</v>
      </c>
      <c r="C34" s="11">
        <f>COUNTIF($B$2:$B$608,Tabela3[[#This Row],[Type]])</f>
        <v>53</v>
      </c>
      <c r="D34" s="9" t="s">
        <v>830</v>
      </c>
      <c r="E34" s="9"/>
      <c r="F34" s="9"/>
      <c r="G34" s="9">
        <v>30</v>
      </c>
      <c r="H34" s="9"/>
      <c r="I34" s="17" t="s">
        <v>831</v>
      </c>
      <c r="J34" s="10"/>
      <c r="K34" s="16" t="str">
        <f t="shared" si="0"/>
        <v>Comum</v>
      </c>
    </row>
    <row r="35" spans="1:11" ht="29.25">
      <c r="A35" s="11" t="s">
        <v>891</v>
      </c>
      <c r="B35" s="11" t="s">
        <v>42</v>
      </c>
      <c r="C35" s="11">
        <f>COUNTIF($B$2:$B$608,Tabela3[[#This Row],[Type]])</f>
        <v>167</v>
      </c>
      <c r="D35" s="9" t="s">
        <v>830</v>
      </c>
      <c r="E35" s="9"/>
      <c r="F35" s="9"/>
      <c r="G35" s="9">
        <v>40</v>
      </c>
      <c r="H35" s="9"/>
      <c r="I35" s="17" t="s">
        <v>892</v>
      </c>
      <c r="J35" s="10"/>
      <c r="K35" s="16" t="str">
        <f t="shared" si="0"/>
        <v>Comum</v>
      </c>
    </row>
    <row r="36" spans="1:11" ht="29.25">
      <c r="A36" s="11" t="s">
        <v>893</v>
      </c>
      <c r="B36" s="11" t="s">
        <v>170</v>
      </c>
      <c r="C36" s="11">
        <f>COUNTIF($B$2:$B$608,Tabela3[[#This Row],[Type]])</f>
        <v>31</v>
      </c>
      <c r="D36" s="9" t="s">
        <v>835</v>
      </c>
      <c r="E36" s="9"/>
      <c r="F36" s="9">
        <v>100</v>
      </c>
      <c r="G36" s="9">
        <v>30</v>
      </c>
      <c r="H36" s="9"/>
      <c r="I36" s="17" t="s">
        <v>894</v>
      </c>
      <c r="J36" s="10"/>
      <c r="K36" s="16" t="str">
        <f t="shared" si="0"/>
        <v>Comum</v>
      </c>
    </row>
    <row r="37" spans="1:11" ht="16.5">
      <c r="A37" s="11" t="s">
        <v>895</v>
      </c>
      <c r="B37" s="11" t="s">
        <v>17</v>
      </c>
      <c r="C37" s="11">
        <f>COUNTIF($B$2:$B$608,Tabela3[[#This Row],[Type]])</f>
        <v>23</v>
      </c>
      <c r="D37" s="9" t="s">
        <v>825</v>
      </c>
      <c r="E37" s="9">
        <v>120</v>
      </c>
      <c r="F37" s="9">
        <v>90</v>
      </c>
      <c r="G37" s="9">
        <v>10</v>
      </c>
      <c r="H37" s="9"/>
      <c r="I37" s="17" t="s">
        <v>896</v>
      </c>
      <c r="J37" s="10"/>
      <c r="K37" s="16" t="str">
        <f t="shared" si="0"/>
        <v>Muito Forte</v>
      </c>
    </row>
    <row r="38" spans="1:11" ht="29.25">
      <c r="A38" s="11" t="s">
        <v>897</v>
      </c>
      <c r="B38" s="11" t="s">
        <v>42</v>
      </c>
      <c r="C38" s="11">
        <f>COUNTIF($B$2:$B$608,Tabela3[[#This Row],[Type]])</f>
        <v>167</v>
      </c>
      <c r="D38" s="9" t="s">
        <v>830</v>
      </c>
      <c r="E38" s="9"/>
      <c r="F38" s="9"/>
      <c r="G38" s="9">
        <v>10</v>
      </c>
      <c r="H38" s="9"/>
      <c r="I38" s="17" t="s">
        <v>898</v>
      </c>
      <c r="J38" s="10"/>
      <c r="K38" s="16" t="str">
        <f t="shared" si="0"/>
        <v>Comum</v>
      </c>
    </row>
    <row r="39" spans="1:11" ht="29.25">
      <c r="A39" s="11" t="s">
        <v>899</v>
      </c>
      <c r="B39" s="11" t="s">
        <v>42</v>
      </c>
      <c r="C39" s="11">
        <f>COUNTIF($B$2:$B$608,Tabela3[[#This Row],[Type]])</f>
        <v>167</v>
      </c>
      <c r="D39" s="9" t="s">
        <v>830</v>
      </c>
      <c r="E39" s="9"/>
      <c r="F39" s="9"/>
      <c r="G39" s="9">
        <v>15</v>
      </c>
      <c r="H39" s="9"/>
      <c r="I39" s="17" t="s">
        <v>900</v>
      </c>
      <c r="J39" s="10"/>
      <c r="K39" s="16" t="str">
        <f t="shared" si="0"/>
        <v>Comum</v>
      </c>
    </row>
    <row r="40" spans="1:11" ht="29.25">
      <c r="A40" s="11" t="s">
        <v>901</v>
      </c>
      <c r="B40" s="11" t="s">
        <v>42</v>
      </c>
      <c r="C40" s="11">
        <f>COUNTIF($B$2:$B$608,Tabela3[[#This Row],[Type]])</f>
        <v>167</v>
      </c>
      <c r="D40" s="9" t="s">
        <v>835</v>
      </c>
      <c r="E40" s="9"/>
      <c r="F40" s="9"/>
      <c r="G40" s="9">
        <v>10</v>
      </c>
      <c r="H40" s="9"/>
      <c r="I40" s="17" t="s">
        <v>902</v>
      </c>
      <c r="J40" s="10"/>
      <c r="K40" s="16" t="str">
        <f t="shared" si="0"/>
        <v>Comum</v>
      </c>
    </row>
    <row r="41" spans="1:11" ht="29.25">
      <c r="A41" s="11" t="s">
        <v>903</v>
      </c>
      <c r="B41" s="11" t="s">
        <v>42</v>
      </c>
      <c r="C41" s="11">
        <f>COUNTIF($B$2:$B$608,Tabela3[[#This Row],[Type]])</f>
        <v>167</v>
      </c>
      <c r="D41" s="9" t="s">
        <v>835</v>
      </c>
      <c r="E41" s="9">
        <v>15</v>
      </c>
      <c r="F41" s="9">
        <v>85</v>
      </c>
      <c r="G41" s="9">
        <v>20</v>
      </c>
      <c r="H41" s="9"/>
      <c r="I41" s="17" t="s">
        <v>904</v>
      </c>
      <c r="J41" s="10"/>
      <c r="K41" s="16" t="str">
        <f t="shared" si="0"/>
        <v>Comum</v>
      </c>
    </row>
    <row r="42" spans="1:11" ht="16.5">
      <c r="A42" s="11" t="s">
        <v>905</v>
      </c>
      <c r="B42" s="11" t="s">
        <v>170</v>
      </c>
      <c r="C42" s="11">
        <f>COUNTIF($B$2:$B$608,Tabela3[[#This Row],[Type]])</f>
        <v>31</v>
      </c>
      <c r="D42" s="9" t="s">
        <v>835</v>
      </c>
      <c r="E42" s="9">
        <v>60</v>
      </c>
      <c r="F42" s="9">
        <v>100</v>
      </c>
      <c r="G42" s="9">
        <v>25</v>
      </c>
      <c r="H42" s="9"/>
      <c r="I42" s="17" t="s">
        <v>852</v>
      </c>
      <c r="J42" s="10">
        <v>30</v>
      </c>
      <c r="K42" s="16" t="str">
        <f t="shared" si="0"/>
        <v>Comum</v>
      </c>
    </row>
    <row r="43" spans="1:11" ht="16.5">
      <c r="A43" s="11" t="s">
        <v>906</v>
      </c>
      <c r="B43" s="11" t="s">
        <v>22</v>
      </c>
      <c r="C43" s="11">
        <f>COUNTIF($B$2:$B$608,Tabela3[[#This Row],[Type]])</f>
        <v>30</v>
      </c>
      <c r="D43" s="9" t="s">
        <v>825</v>
      </c>
      <c r="E43" s="9">
        <v>150</v>
      </c>
      <c r="F43" s="9">
        <v>90</v>
      </c>
      <c r="G43" s="9">
        <v>5</v>
      </c>
      <c r="H43" s="9"/>
      <c r="I43" s="17" t="s">
        <v>907</v>
      </c>
      <c r="J43" s="10"/>
      <c r="K43" s="16" t="str">
        <f t="shared" si="0"/>
        <v>Muito Forte</v>
      </c>
    </row>
    <row r="44" spans="1:11" ht="29.25">
      <c r="A44" s="11" t="s">
        <v>908</v>
      </c>
      <c r="B44" s="11" t="s">
        <v>22</v>
      </c>
      <c r="C44" s="11">
        <f>COUNTIF($B$2:$B$608,Tabela3[[#This Row],[Type]])</f>
        <v>30</v>
      </c>
      <c r="D44" s="9" t="s">
        <v>835</v>
      </c>
      <c r="E44" s="9">
        <v>85</v>
      </c>
      <c r="F44" s="9">
        <v>90</v>
      </c>
      <c r="G44" s="9">
        <v>10</v>
      </c>
      <c r="H44" s="9"/>
      <c r="I44" s="17" t="s">
        <v>909</v>
      </c>
      <c r="J44" s="10">
        <v>10</v>
      </c>
      <c r="K44" s="16" t="str">
        <f t="shared" si="0"/>
        <v>Forte</v>
      </c>
    </row>
    <row r="45" spans="1:11" ht="16.5">
      <c r="A45" s="11" t="s">
        <v>910</v>
      </c>
      <c r="B45" s="11" t="s">
        <v>122</v>
      </c>
      <c r="C45" s="11">
        <f>COUNTIF($B$2:$B$608,Tabela3[[#This Row],[Type]])</f>
        <v>21</v>
      </c>
      <c r="D45" s="9" t="s">
        <v>825</v>
      </c>
      <c r="E45" s="9">
        <v>120</v>
      </c>
      <c r="F45" s="9">
        <v>70</v>
      </c>
      <c r="G45" s="9">
        <v>5</v>
      </c>
      <c r="H45" s="9" t="s">
        <v>911</v>
      </c>
      <c r="I45" s="17" t="s">
        <v>912</v>
      </c>
      <c r="J45" s="10">
        <v>10</v>
      </c>
      <c r="K45" s="16" t="str">
        <f t="shared" si="0"/>
        <v>Muito Forte</v>
      </c>
    </row>
    <row r="46" spans="1:11" ht="16.5">
      <c r="A46" s="11" t="s">
        <v>913</v>
      </c>
      <c r="B46" s="11" t="s">
        <v>42</v>
      </c>
      <c r="C46" s="11">
        <f>COUNTIF($B$2:$B$608,Tabela3[[#This Row],[Type]])</f>
        <v>167</v>
      </c>
      <c r="D46" s="9" t="s">
        <v>830</v>
      </c>
      <c r="E46" s="9"/>
      <c r="F46" s="9"/>
      <c r="G46" s="9">
        <v>5</v>
      </c>
      <c r="H46" s="9"/>
      <c r="I46" s="17" t="s">
        <v>914</v>
      </c>
      <c r="J46" s="10"/>
      <c r="K46" s="16" t="str">
        <f t="shared" si="0"/>
        <v>Comum</v>
      </c>
    </row>
    <row r="47" spans="1:11" ht="16.5">
      <c r="A47" s="11" t="s">
        <v>915</v>
      </c>
      <c r="B47" s="11" t="s">
        <v>22</v>
      </c>
      <c r="C47" s="11">
        <f>COUNTIF($B$2:$B$608,Tabela3[[#This Row],[Type]])</f>
        <v>30</v>
      </c>
      <c r="D47" s="9" t="s">
        <v>825</v>
      </c>
      <c r="E47" s="9">
        <v>130</v>
      </c>
      <c r="F47" s="9">
        <v>85</v>
      </c>
      <c r="G47" s="9">
        <v>5</v>
      </c>
      <c r="H47" s="9"/>
      <c r="I47" s="17" t="s">
        <v>916</v>
      </c>
      <c r="J47" s="10">
        <v>20</v>
      </c>
      <c r="K47" s="16" t="str">
        <f t="shared" si="0"/>
        <v>Muito Forte</v>
      </c>
    </row>
    <row r="48" spans="1:11" ht="16.5">
      <c r="A48" s="11" t="s">
        <v>917</v>
      </c>
      <c r="B48" s="11" t="s">
        <v>42</v>
      </c>
      <c r="C48" s="11">
        <f>COUNTIF($B$2:$B$608,Tabela3[[#This Row],[Type]])</f>
        <v>167</v>
      </c>
      <c r="D48" s="9" t="s">
        <v>835</v>
      </c>
      <c r="E48" s="9">
        <v>85</v>
      </c>
      <c r="F48" s="9">
        <v>100</v>
      </c>
      <c r="G48" s="9">
        <v>15</v>
      </c>
      <c r="H48" s="9"/>
      <c r="I48" s="17" t="s">
        <v>918</v>
      </c>
      <c r="J48" s="10">
        <v>30</v>
      </c>
      <c r="K48" s="16" t="str">
        <f t="shared" si="0"/>
        <v>Forte</v>
      </c>
    </row>
    <row r="49" spans="1:11" ht="16.5">
      <c r="A49" s="11" t="s">
        <v>919</v>
      </c>
      <c r="B49" s="11" t="s">
        <v>52</v>
      </c>
      <c r="C49" s="11">
        <f>COUNTIF($B$2:$B$608,Tabela3[[#This Row],[Type]])</f>
        <v>28</v>
      </c>
      <c r="D49" s="9" t="s">
        <v>835</v>
      </c>
      <c r="E49" s="9">
        <v>130</v>
      </c>
      <c r="F49" s="9">
        <v>85</v>
      </c>
      <c r="G49" s="9">
        <v>5</v>
      </c>
      <c r="H49" s="9"/>
      <c r="I49" s="17" t="s">
        <v>918</v>
      </c>
      <c r="J49" s="10">
        <v>20</v>
      </c>
      <c r="K49" s="16" t="str">
        <f t="shared" si="0"/>
        <v>Muito Forte</v>
      </c>
    </row>
    <row r="50" spans="1:11" ht="16.5">
      <c r="A50" s="11" t="s">
        <v>920</v>
      </c>
      <c r="B50" s="11" t="s">
        <v>55</v>
      </c>
      <c r="C50" s="11">
        <f>COUNTIF($B$2:$B$608,Tabela3[[#This Row],[Type]])</f>
        <v>19</v>
      </c>
      <c r="D50" s="9" t="s">
        <v>835</v>
      </c>
      <c r="E50" s="9">
        <v>65</v>
      </c>
      <c r="F50" s="9">
        <v>85</v>
      </c>
      <c r="G50" s="9">
        <v>20</v>
      </c>
      <c r="H50" s="9"/>
      <c r="I50" s="17" t="s">
        <v>852</v>
      </c>
      <c r="J50" s="10">
        <v>10</v>
      </c>
      <c r="K50" s="16" t="str">
        <f t="shared" si="0"/>
        <v>Comum</v>
      </c>
    </row>
    <row r="51" spans="1:11" ht="16.5">
      <c r="A51" s="11" t="s">
        <v>921</v>
      </c>
      <c r="B51" s="11" t="s">
        <v>55</v>
      </c>
      <c r="C51" s="11">
        <f>COUNTIF($B$2:$B$608,Tabela3[[#This Row],[Type]])</f>
        <v>19</v>
      </c>
      <c r="D51" s="9" t="s">
        <v>835</v>
      </c>
      <c r="E51" s="9">
        <v>25</v>
      </c>
      <c r="F51" s="9">
        <v>90</v>
      </c>
      <c r="G51" s="9">
        <v>10</v>
      </c>
      <c r="H51" s="9"/>
      <c r="I51" s="17" t="s">
        <v>866</v>
      </c>
      <c r="J51" s="10"/>
      <c r="K51" s="16" t="str">
        <f t="shared" si="0"/>
        <v>Comum</v>
      </c>
    </row>
    <row r="52" spans="1:11" ht="16.5">
      <c r="A52" s="11" t="s">
        <v>922</v>
      </c>
      <c r="B52" s="11" t="s">
        <v>55</v>
      </c>
      <c r="C52" s="11">
        <f>COUNTIF($B$2:$B$608,Tabela3[[#This Row],[Type]])</f>
        <v>19</v>
      </c>
      <c r="D52" s="9" t="s">
        <v>835</v>
      </c>
      <c r="E52" s="9">
        <v>50</v>
      </c>
      <c r="F52" s="9">
        <v>90</v>
      </c>
      <c r="G52" s="9">
        <v>10</v>
      </c>
      <c r="H52" s="9"/>
      <c r="I52" s="17" t="s">
        <v>923</v>
      </c>
      <c r="J52" s="10"/>
      <c r="K52" s="16" t="str">
        <f t="shared" si="0"/>
        <v>Comum</v>
      </c>
    </row>
    <row r="53" spans="1:11" ht="16.5">
      <c r="A53" s="11" t="s">
        <v>924</v>
      </c>
      <c r="B53" s="11" t="s">
        <v>42</v>
      </c>
      <c r="C53" s="11">
        <f>COUNTIF($B$2:$B$608,Tabela3[[#This Row],[Type]])</f>
        <v>167</v>
      </c>
      <c r="D53" s="9" t="s">
        <v>825</v>
      </c>
      <c r="E53" s="9">
        <v>140</v>
      </c>
      <c r="F53" s="9">
        <v>100</v>
      </c>
      <c r="G53" s="9">
        <v>10</v>
      </c>
      <c r="H53" s="9"/>
      <c r="I53" s="17" t="s">
        <v>925</v>
      </c>
      <c r="J53" s="10"/>
      <c r="K53" s="16" t="str">
        <f t="shared" si="0"/>
        <v>Muito Forte</v>
      </c>
    </row>
    <row r="54" spans="1:11" ht="29.25">
      <c r="A54" s="11" t="s">
        <v>926</v>
      </c>
      <c r="B54" s="11" t="s">
        <v>25</v>
      </c>
      <c r="C54" s="11">
        <f>COUNTIF($B$2:$B$608,Tabela3[[#This Row],[Type]])</f>
        <v>23</v>
      </c>
      <c r="D54" s="9" t="s">
        <v>835</v>
      </c>
      <c r="E54" s="9">
        <v>85</v>
      </c>
      <c r="F54" s="9">
        <v>85</v>
      </c>
      <c r="G54" s="9">
        <v>5</v>
      </c>
      <c r="H54" s="9"/>
      <c r="I54" s="17" t="s">
        <v>927</v>
      </c>
      <c r="J54" s="10">
        <v>30</v>
      </c>
      <c r="K54" s="16" t="str">
        <f t="shared" si="0"/>
        <v>Forte</v>
      </c>
    </row>
    <row r="55" spans="1:11" ht="16.5">
      <c r="A55" s="11" t="s">
        <v>928</v>
      </c>
      <c r="B55" s="11" t="s">
        <v>25</v>
      </c>
      <c r="C55" s="11">
        <f>COUNTIF($B$2:$B$608,Tabela3[[#This Row],[Type]])</f>
        <v>23</v>
      </c>
      <c r="D55" s="9" t="s">
        <v>835</v>
      </c>
      <c r="E55" s="9">
        <v>120</v>
      </c>
      <c r="F55" s="9">
        <v>100</v>
      </c>
      <c r="G55" s="9">
        <v>15</v>
      </c>
      <c r="H55" s="9"/>
      <c r="I55" s="17" t="s">
        <v>929</v>
      </c>
      <c r="J55" s="10"/>
      <c r="K55" s="16" t="str">
        <f t="shared" si="0"/>
        <v>Muito Forte</v>
      </c>
    </row>
    <row r="56" spans="1:11" ht="29.25">
      <c r="A56" s="11" t="s">
        <v>930</v>
      </c>
      <c r="B56" s="11" t="s">
        <v>86</v>
      </c>
      <c r="C56" s="11">
        <f>COUNTIF($B$2:$B$608,Tabela3[[#This Row],[Type]])</f>
        <v>42</v>
      </c>
      <c r="D56" s="9" t="s">
        <v>835</v>
      </c>
      <c r="E56" s="9">
        <v>75</v>
      </c>
      <c r="F56" s="9">
        <v>100</v>
      </c>
      <c r="G56" s="9">
        <v>15</v>
      </c>
      <c r="H56" s="9" t="s">
        <v>931</v>
      </c>
      <c r="I56" s="17" t="s">
        <v>932</v>
      </c>
      <c r="J56" s="10"/>
      <c r="K56" s="16" t="str">
        <f t="shared" si="0"/>
        <v>Forte</v>
      </c>
    </row>
    <row r="57" spans="1:11" ht="29.25">
      <c r="A57" s="11" t="s">
        <v>933</v>
      </c>
      <c r="B57" s="11" t="s">
        <v>30</v>
      </c>
      <c r="C57" s="11">
        <f>COUNTIF($B$2:$B$608,Tabela3[[#This Row],[Type]])</f>
        <v>27</v>
      </c>
      <c r="D57" s="9" t="s">
        <v>825</v>
      </c>
      <c r="E57" s="9">
        <v>65</v>
      </c>
      <c r="F57" s="9">
        <v>100</v>
      </c>
      <c r="G57" s="9">
        <v>10</v>
      </c>
      <c r="H57" s="9"/>
      <c r="I57" s="17" t="s">
        <v>934</v>
      </c>
      <c r="J57" s="10"/>
      <c r="K57" s="16" t="str">
        <f t="shared" si="0"/>
        <v>Comum</v>
      </c>
    </row>
    <row r="58" spans="1:11" ht="16.5">
      <c r="A58" s="11" t="s">
        <v>935</v>
      </c>
      <c r="B58" s="11" t="s">
        <v>30</v>
      </c>
      <c r="C58" s="11">
        <f>COUNTIF($B$2:$B$608,Tabela3[[#This Row],[Type]])</f>
        <v>27</v>
      </c>
      <c r="D58" s="9" t="s">
        <v>825</v>
      </c>
      <c r="E58" s="9">
        <v>20</v>
      </c>
      <c r="F58" s="9">
        <v>100</v>
      </c>
      <c r="G58" s="9">
        <v>30</v>
      </c>
      <c r="H58" s="9"/>
      <c r="I58" s="17" t="s">
        <v>936</v>
      </c>
      <c r="J58" s="10">
        <v>10</v>
      </c>
      <c r="K58" s="16" t="str">
        <f t="shared" si="0"/>
        <v>Comum</v>
      </c>
    </row>
    <row r="59" spans="1:11" ht="16.5">
      <c r="A59" s="11" t="s">
        <v>937</v>
      </c>
      <c r="B59" s="11" t="s">
        <v>30</v>
      </c>
      <c r="C59" s="11">
        <f>COUNTIF($B$2:$B$608,Tabela3[[#This Row],[Type]])</f>
        <v>27</v>
      </c>
      <c r="D59" s="9" t="s">
        <v>825</v>
      </c>
      <c r="E59" s="9">
        <v>65</v>
      </c>
      <c r="F59" s="9">
        <v>100</v>
      </c>
      <c r="G59" s="9">
        <v>20</v>
      </c>
      <c r="H59" s="9"/>
      <c r="I59" s="17" t="s">
        <v>936</v>
      </c>
      <c r="J59" s="10">
        <v>10</v>
      </c>
      <c r="K59" s="16" t="str">
        <f t="shared" si="0"/>
        <v>Comum</v>
      </c>
    </row>
    <row r="60" spans="1:11" ht="29.25">
      <c r="A60" s="11" t="s">
        <v>938</v>
      </c>
      <c r="B60" s="11" t="s">
        <v>35</v>
      </c>
      <c r="C60" s="11">
        <f>COUNTIF($B$2:$B$608,Tabela3[[#This Row],[Type]])</f>
        <v>25</v>
      </c>
      <c r="D60" s="9" t="s">
        <v>835</v>
      </c>
      <c r="E60" s="9">
        <v>60</v>
      </c>
      <c r="F60" s="9">
        <v>100</v>
      </c>
      <c r="G60" s="9">
        <v>20</v>
      </c>
      <c r="H60" s="9"/>
      <c r="I60" s="17" t="s">
        <v>939</v>
      </c>
      <c r="J60" s="10"/>
      <c r="K60" s="16" t="str">
        <f t="shared" si="0"/>
        <v>Comum</v>
      </c>
    </row>
    <row r="61" spans="1:11" ht="29.25">
      <c r="A61" s="11" t="s">
        <v>940</v>
      </c>
      <c r="B61" s="11" t="s">
        <v>35</v>
      </c>
      <c r="C61" s="11">
        <f>COUNTIF($B$2:$B$608,Tabela3[[#This Row],[Type]])</f>
        <v>25</v>
      </c>
      <c r="D61" s="9" t="s">
        <v>825</v>
      </c>
      <c r="E61" s="9">
        <v>90</v>
      </c>
      <c r="F61" s="9">
        <v>100</v>
      </c>
      <c r="G61" s="9">
        <v>10</v>
      </c>
      <c r="H61" s="9"/>
      <c r="I61" s="17" t="s">
        <v>828</v>
      </c>
      <c r="J61" s="10">
        <v>10</v>
      </c>
      <c r="K61" s="16" t="str">
        <f t="shared" si="0"/>
        <v>Forte</v>
      </c>
    </row>
    <row r="62" spans="1:11" ht="16.5">
      <c r="A62" s="11" t="s">
        <v>941</v>
      </c>
      <c r="B62" s="11" t="s">
        <v>86</v>
      </c>
      <c r="C62" s="11">
        <f>COUNTIF($B$2:$B$608,Tabela3[[#This Row],[Type]])</f>
        <v>42</v>
      </c>
      <c r="D62" s="9" t="s">
        <v>830</v>
      </c>
      <c r="E62" s="9"/>
      <c r="F62" s="9"/>
      <c r="G62" s="9">
        <v>20</v>
      </c>
      <c r="H62" s="9" t="s">
        <v>942</v>
      </c>
      <c r="I62" s="17" t="s">
        <v>943</v>
      </c>
      <c r="J62" s="10"/>
      <c r="K62" s="16" t="str">
        <f t="shared" si="0"/>
        <v>Comum</v>
      </c>
    </row>
    <row r="63" spans="1:11" ht="16.5">
      <c r="A63" s="11" t="s">
        <v>944</v>
      </c>
      <c r="B63" s="11" t="s">
        <v>55</v>
      </c>
      <c r="C63" s="11">
        <f>COUNTIF($B$2:$B$608,Tabela3[[#This Row],[Type]])</f>
        <v>19</v>
      </c>
      <c r="D63" s="9" t="s">
        <v>835</v>
      </c>
      <c r="E63" s="9">
        <v>60</v>
      </c>
      <c r="F63" s="9">
        <v>100</v>
      </c>
      <c r="G63" s="9">
        <v>20</v>
      </c>
      <c r="H63" s="9" t="s">
        <v>945</v>
      </c>
      <c r="I63" s="17" t="s">
        <v>946</v>
      </c>
      <c r="J63" s="10">
        <v>100</v>
      </c>
      <c r="K63" s="16" t="str">
        <f t="shared" si="0"/>
        <v>Comum</v>
      </c>
    </row>
    <row r="64" spans="1:11" ht="16.5">
      <c r="A64" s="11" t="s">
        <v>947</v>
      </c>
      <c r="B64" s="11" t="s">
        <v>115</v>
      </c>
      <c r="C64" s="11">
        <f>COUNTIF($B$2:$B$608,Tabela3[[#This Row],[Type]])</f>
        <v>19</v>
      </c>
      <c r="D64" s="9" t="s">
        <v>835</v>
      </c>
      <c r="E64" s="9">
        <v>40</v>
      </c>
      <c r="F64" s="9">
        <v>100</v>
      </c>
      <c r="G64" s="9">
        <v>30</v>
      </c>
      <c r="H64" s="9"/>
      <c r="I64" s="17" t="s">
        <v>861</v>
      </c>
      <c r="J64" s="10"/>
      <c r="K64" s="16" t="str">
        <f t="shared" si="0"/>
        <v>Comum</v>
      </c>
    </row>
    <row r="65" spans="1:11" ht="16.5">
      <c r="A65" s="11" t="s">
        <v>948</v>
      </c>
      <c r="B65" s="11" t="s">
        <v>16</v>
      </c>
      <c r="C65" s="11">
        <f>COUNTIF($B$2:$B$608,Tabela3[[#This Row],[Type]])</f>
        <v>37</v>
      </c>
      <c r="D65" s="9" t="s">
        <v>835</v>
      </c>
      <c r="E65" s="9">
        <v>25</v>
      </c>
      <c r="F65" s="9">
        <v>100</v>
      </c>
      <c r="G65" s="9">
        <v>30</v>
      </c>
      <c r="H65" s="9"/>
      <c r="I65" s="17" t="s">
        <v>866</v>
      </c>
      <c r="J65" s="10"/>
      <c r="K65" s="16" t="str">
        <f t="shared" si="0"/>
        <v>Comum</v>
      </c>
    </row>
    <row r="66" spans="1:11" ht="29.25">
      <c r="A66" s="11" t="s">
        <v>949</v>
      </c>
      <c r="B66" s="11" t="s">
        <v>94</v>
      </c>
      <c r="C66" s="11">
        <f>COUNTIF($B$2:$B$608,Tabela3[[#This Row],[Type]])</f>
        <v>53</v>
      </c>
      <c r="D66" s="9" t="s">
        <v>830</v>
      </c>
      <c r="E66" s="9"/>
      <c r="F66" s="9"/>
      <c r="G66" s="9">
        <v>20</v>
      </c>
      <c r="H66" s="9" t="s">
        <v>950</v>
      </c>
      <c r="I66" s="17" t="s">
        <v>951</v>
      </c>
      <c r="J66" s="10"/>
      <c r="K66" s="16" t="str">
        <f t="shared" si="0"/>
        <v>Comum</v>
      </c>
    </row>
    <row r="67" spans="1:11" ht="29.25">
      <c r="A67" s="11" t="s">
        <v>952</v>
      </c>
      <c r="B67" s="11" t="s">
        <v>42</v>
      </c>
      <c r="C67" s="11">
        <f>COUNTIF($B$2:$B$608,Tabela3[[#This Row],[Type]])</f>
        <v>167</v>
      </c>
      <c r="D67" s="9" t="s">
        <v>830</v>
      </c>
      <c r="E67" s="9"/>
      <c r="F67" s="9"/>
      <c r="G67" s="9">
        <v>20</v>
      </c>
      <c r="H67" s="9"/>
      <c r="I67" s="17" t="s">
        <v>953</v>
      </c>
      <c r="J67" s="10"/>
      <c r="K67" s="16" t="str">
        <f t="shared" ref="K67:K130" si="1">IF(E67&gt;=100,"Muito Forte",
IF(E67&gt;=70,"Forte",
"Comum"))</f>
        <v>Comum</v>
      </c>
    </row>
    <row r="68" spans="1:11" ht="29.25">
      <c r="A68" s="11" t="s">
        <v>954</v>
      </c>
      <c r="B68" s="11" t="s">
        <v>42</v>
      </c>
      <c r="C68" s="11">
        <f>COUNTIF($B$2:$B$608,Tabela3[[#This Row],[Type]])</f>
        <v>167</v>
      </c>
      <c r="D68" s="9" t="s">
        <v>830</v>
      </c>
      <c r="E68" s="9"/>
      <c r="F68" s="9">
        <v>100</v>
      </c>
      <c r="G68" s="9">
        <v>20</v>
      </c>
      <c r="H68" s="9"/>
      <c r="I68" s="17" t="s">
        <v>955</v>
      </c>
      <c r="J68" s="10"/>
      <c r="K68" s="16" t="str">
        <f t="shared" si="1"/>
        <v>Comum</v>
      </c>
    </row>
    <row r="69" spans="1:11" ht="42.75">
      <c r="A69" s="11" t="s">
        <v>956</v>
      </c>
      <c r="B69" s="11" t="s">
        <v>52</v>
      </c>
      <c r="C69" s="11">
        <f>COUNTIF($B$2:$B$608,Tabela3[[#This Row],[Type]])</f>
        <v>28</v>
      </c>
      <c r="D69" s="9" t="s">
        <v>830</v>
      </c>
      <c r="E69" s="9"/>
      <c r="F69" s="9"/>
      <c r="G69" s="9">
        <v>20</v>
      </c>
      <c r="H69" s="9"/>
      <c r="I69" s="17" t="s">
        <v>957</v>
      </c>
      <c r="J69" s="10"/>
      <c r="K69" s="16" t="str">
        <f t="shared" si="1"/>
        <v>Comum</v>
      </c>
    </row>
    <row r="70" spans="1:11" ht="16.5">
      <c r="A70" s="11" t="s">
        <v>958</v>
      </c>
      <c r="B70" s="11" t="s">
        <v>52</v>
      </c>
      <c r="C70" s="11">
        <f>COUNTIF($B$2:$B$608,Tabela3[[#This Row],[Type]])</f>
        <v>28</v>
      </c>
      <c r="D70" s="9" t="s">
        <v>825</v>
      </c>
      <c r="E70" s="9">
        <v>50</v>
      </c>
      <c r="F70" s="9">
        <v>90</v>
      </c>
      <c r="G70" s="9">
        <v>10</v>
      </c>
      <c r="H70" s="9" t="s">
        <v>959</v>
      </c>
      <c r="I70" s="17" t="s">
        <v>960</v>
      </c>
      <c r="J70" s="10">
        <v>70</v>
      </c>
      <c r="K70" s="16" t="str">
        <f t="shared" si="1"/>
        <v>Comum</v>
      </c>
    </row>
    <row r="71" spans="1:11" ht="16.5">
      <c r="A71" s="11" t="s">
        <v>961</v>
      </c>
      <c r="B71" s="11" t="s">
        <v>64</v>
      </c>
      <c r="C71" s="11">
        <f>COUNTIF($B$2:$B$608,Tabela3[[#This Row],[Type]])</f>
        <v>16</v>
      </c>
      <c r="D71" s="9" t="s">
        <v>830</v>
      </c>
      <c r="E71" s="9"/>
      <c r="F71" s="9">
        <v>100</v>
      </c>
      <c r="G71" s="9">
        <v>20</v>
      </c>
      <c r="H71" s="9"/>
      <c r="I71" s="17" t="s">
        <v>962</v>
      </c>
      <c r="J71" s="10"/>
      <c r="K71" s="16" t="str">
        <f t="shared" si="1"/>
        <v>Comum</v>
      </c>
    </row>
    <row r="72" spans="1:11" ht="16.5">
      <c r="A72" s="11" t="s">
        <v>963</v>
      </c>
      <c r="B72" s="11" t="s">
        <v>25</v>
      </c>
      <c r="C72" s="11">
        <f>COUNTIF($B$2:$B$608,Tabela3[[#This Row],[Type]])</f>
        <v>23</v>
      </c>
      <c r="D72" s="9" t="s">
        <v>825</v>
      </c>
      <c r="E72" s="9">
        <v>60</v>
      </c>
      <c r="F72" s="9">
        <v>100</v>
      </c>
      <c r="G72" s="9">
        <v>20</v>
      </c>
      <c r="H72" s="9"/>
      <c r="I72" s="17" t="s">
        <v>964</v>
      </c>
      <c r="J72" s="10">
        <v>31</v>
      </c>
      <c r="K72" s="16" t="str">
        <f t="shared" si="1"/>
        <v>Comum</v>
      </c>
    </row>
    <row r="73" spans="1:11" ht="16.5">
      <c r="A73" s="11" t="s">
        <v>965</v>
      </c>
      <c r="B73" s="11" t="s">
        <v>42</v>
      </c>
      <c r="C73" s="11">
        <f>COUNTIF($B$2:$B$608,Tabela3[[#This Row],[Type]])</f>
        <v>167</v>
      </c>
      <c r="D73" s="9" t="s">
        <v>835</v>
      </c>
      <c r="E73" s="9">
        <v>70</v>
      </c>
      <c r="F73" s="9">
        <v>100</v>
      </c>
      <c r="G73" s="9">
        <v>20</v>
      </c>
      <c r="H73" s="9"/>
      <c r="I73" s="17" t="s">
        <v>966</v>
      </c>
      <c r="J73" s="10"/>
      <c r="K73" s="16" t="str">
        <f t="shared" si="1"/>
        <v>Forte</v>
      </c>
    </row>
    <row r="74" spans="1:11" ht="29.25">
      <c r="A74" s="11" t="s">
        <v>967</v>
      </c>
      <c r="B74" s="11" t="s">
        <v>86</v>
      </c>
      <c r="C74" s="11">
        <f>COUNTIF($B$2:$B$608,Tabela3[[#This Row],[Type]])</f>
        <v>42</v>
      </c>
      <c r="D74" s="9" t="s">
        <v>835</v>
      </c>
      <c r="E74" s="9">
        <v>60</v>
      </c>
      <c r="F74" s="9">
        <v>90</v>
      </c>
      <c r="G74" s="9">
        <v>10</v>
      </c>
      <c r="H74" s="9"/>
      <c r="I74" s="17" t="s">
        <v>968</v>
      </c>
      <c r="J74" s="10"/>
      <c r="K74" s="16" t="str">
        <f t="shared" si="1"/>
        <v>Comum</v>
      </c>
    </row>
    <row r="75" spans="1:11" ht="29.25">
      <c r="A75" s="11" t="s">
        <v>969</v>
      </c>
      <c r="B75" s="11" t="s">
        <v>30</v>
      </c>
      <c r="C75" s="11">
        <f>COUNTIF($B$2:$B$608,Tabela3[[#This Row],[Type]])</f>
        <v>27</v>
      </c>
      <c r="D75" s="9" t="s">
        <v>835</v>
      </c>
      <c r="E75" s="9">
        <v>35</v>
      </c>
      <c r="F75" s="9">
        <v>85</v>
      </c>
      <c r="G75" s="9">
        <v>10</v>
      </c>
      <c r="H75" s="9"/>
      <c r="I75" s="17" t="s">
        <v>904</v>
      </c>
      <c r="J75" s="10"/>
      <c r="K75" s="16" t="str">
        <f t="shared" si="1"/>
        <v>Comum</v>
      </c>
    </row>
    <row r="76" spans="1:11" ht="29.25">
      <c r="A76" s="11" t="s">
        <v>970</v>
      </c>
      <c r="B76" s="11" t="s">
        <v>17</v>
      </c>
      <c r="C76" s="11">
        <f>COUNTIF($B$2:$B$608,Tabela3[[#This Row],[Type]])</f>
        <v>23</v>
      </c>
      <c r="D76" s="9" t="s">
        <v>825</v>
      </c>
      <c r="E76" s="9">
        <v>50</v>
      </c>
      <c r="F76" s="9"/>
      <c r="G76" s="9">
        <v>15</v>
      </c>
      <c r="H76" s="9"/>
      <c r="I76" s="17" t="s">
        <v>971</v>
      </c>
      <c r="J76" s="10"/>
      <c r="K76" s="16" t="str">
        <f t="shared" si="1"/>
        <v>Comum</v>
      </c>
    </row>
    <row r="77" spans="1:11" ht="29.25">
      <c r="A77" s="11" t="s">
        <v>972</v>
      </c>
      <c r="B77" s="11" t="s">
        <v>86</v>
      </c>
      <c r="C77" s="11">
        <f>COUNTIF($B$2:$B$608,Tabela3[[#This Row],[Type]])</f>
        <v>42</v>
      </c>
      <c r="D77" s="9" t="s">
        <v>835</v>
      </c>
      <c r="E77" s="9">
        <v>120</v>
      </c>
      <c r="F77" s="9">
        <v>100</v>
      </c>
      <c r="G77" s="9">
        <v>5</v>
      </c>
      <c r="H77" s="9"/>
      <c r="I77" s="17" t="s">
        <v>973</v>
      </c>
      <c r="J77" s="10"/>
      <c r="K77" s="16" t="str">
        <f t="shared" si="1"/>
        <v>Muito Forte</v>
      </c>
    </row>
    <row r="78" spans="1:11" ht="29.25">
      <c r="A78" s="11" t="s">
        <v>974</v>
      </c>
      <c r="B78" s="11" t="s">
        <v>17</v>
      </c>
      <c r="C78" s="11">
        <f>COUNTIF($B$2:$B$608,Tabela3[[#This Row],[Type]])</f>
        <v>23</v>
      </c>
      <c r="D78" s="9" t="s">
        <v>830</v>
      </c>
      <c r="E78" s="9"/>
      <c r="F78" s="9"/>
      <c r="G78" s="9">
        <v>20</v>
      </c>
      <c r="H78" s="9"/>
      <c r="I78" s="17" t="s">
        <v>975</v>
      </c>
      <c r="J78" s="10"/>
      <c r="K78" s="16" t="str">
        <f t="shared" si="1"/>
        <v>Comum</v>
      </c>
    </row>
    <row r="79" spans="1:11" ht="16.5">
      <c r="A79" s="11" t="s">
        <v>976</v>
      </c>
      <c r="B79" s="11" t="s">
        <v>42</v>
      </c>
      <c r="C79" s="11">
        <f>COUNTIF($B$2:$B$608,Tabela3[[#This Row],[Type]])</f>
        <v>167</v>
      </c>
      <c r="D79" s="9" t="s">
        <v>835</v>
      </c>
      <c r="E79" s="9">
        <v>18</v>
      </c>
      <c r="F79" s="9">
        <v>85</v>
      </c>
      <c r="G79" s="9">
        <v>15</v>
      </c>
      <c r="H79" s="9"/>
      <c r="I79" s="17" t="s">
        <v>866</v>
      </c>
      <c r="J79" s="10"/>
      <c r="K79" s="16" t="str">
        <f t="shared" si="1"/>
        <v>Comum</v>
      </c>
    </row>
    <row r="80" spans="1:11" ht="16.5">
      <c r="A80" s="11" t="s">
        <v>977</v>
      </c>
      <c r="B80" s="11" t="s">
        <v>42</v>
      </c>
      <c r="C80" s="11">
        <f>COUNTIF($B$2:$B$608,Tabela3[[#This Row],[Type]])</f>
        <v>167</v>
      </c>
      <c r="D80" s="9" t="s">
        <v>830</v>
      </c>
      <c r="E80" s="9"/>
      <c r="F80" s="9"/>
      <c r="G80" s="9">
        <v>20</v>
      </c>
      <c r="H80" s="9"/>
      <c r="I80" s="17" t="s">
        <v>978</v>
      </c>
      <c r="J80" s="10"/>
      <c r="K80" s="16" t="str">
        <f t="shared" si="1"/>
        <v>Comum</v>
      </c>
    </row>
    <row r="81" spans="1:11" ht="16.5">
      <c r="A81" s="11" t="s">
        <v>979</v>
      </c>
      <c r="B81" s="11" t="s">
        <v>128</v>
      </c>
      <c r="C81" s="11">
        <f>COUNTIF($B$2:$B$608,Tabela3[[#This Row],[Type]])</f>
        <v>18</v>
      </c>
      <c r="D81" s="9" t="s">
        <v>830</v>
      </c>
      <c r="E81" s="9"/>
      <c r="F81" s="9">
        <v>100</v>
      </c>
      <c r="G81" s="9">
        <v>10</v>
      </c>
      <c r="H81" s="9"/>
      <c r="I81" s="17" t="s">
        <v>980</v>
      </c>
      <c r="J81" s="10"/>
      <c r="K81" s="16" t="str">
        <f t="shared" si="1"/>
        <v>Comum</v>
      </c>
    </row>
    <row r="82" spans="1:11" ht="16.5">
      <c r="A82" s="11" t="s">
        <v>981</v>
      </c>
      <c r="B82" s="11" t="s">
        <v>94</v>
      </c>
      <c r="C82" s="11">
        <f>COUNTIF($B$2:$B$608,Tabela3[[#This Row],[Type]])</f>
        <v>53</v>
      </c>
      <c r="D82" s="9" t="s">
        <v>825</v>
      </c>
      <c r="E82" s="9">
        <v>50</v>
      </c>
      <c r="F82" s="9">
        <v>100</v>
      </c>
      <c r="G82" s="9">
        <v>25</v>
      </c>
      <c r="H82" s="9"/>
      <c r="I82" s="17" t="s">
        <v>964</v>
      </c>
      <c r="J82" s="10">
        <v>10</v>
      </c>
      <c r="K82" s="16" t="str">
        <f t="shared" si="1"/>
        <v>Comum</v>
      </c>
    </row>
    <row r="83" spans="1:11" ht="29.25">
      <c r="A83" s="11" t="s">
        <v>982</v>
      </c>
      <c r="B83" s="11" t="s">
        <v>42</v>
      </c>
      <c r="C83" s="11">
        <f>COUNTIF($B$2:$B$608,Tabela3[[#This Row],[Type]])</f>
        <v>167</v>
      </c>
      <c r="D83" s="9" t="s">
        <v>835</v>
      </c>
      <c r="E83" s="9">
        <v>10</v>
      </c>
      <c r="F83" s="9">
        <v>100</v>
      </c>
      <c r="G83" s="9">
        <v>35</v>
      </c>
      <c r="H83" s="9"/>
      <c r="I83" s="17" t="s">
        <v>983</v>
      </c>
      <c r="J83" s="10">
        <v>10</v>
      </c>
      <c r="K83" s="16" t="str">
        <f t="shared" si="1"/>
        <v>Comum</v>
      </c>
    </row>
    <row r="84" spans="1:11" ht="29.25">
      <c r="A84" s="11" t="s">
        <v>984</v>
      </c>
      <c r="B84" s="11" t="s">
        <v>42</v>
      </c>
      <c r="C84" s="11">
        <f>COUNTIF($B$2:$B$608,Tabela3[[#This Row],[Type]])</f>
        <v>167</v>
      </c>
      <c r="D84" s="9" t="s">
        <v>830</v>
      </c>
      <c r="E84" s="9"/>
      <c r="F84" s="9"/>
      <c r="G84" s="9">
        <v>30</v>
      </c>
      <c r="H84" s="9"/>
      <c r="I84" s="17" t="s">
        <v>985</v>
      </c>
      <c r="J84" s="10"/>
      <c r="K84" s="16" t="str">
        <f t="shared" si="1"/>
        <v>Comum</v>
      </c>
    </row>
    <row r="85" spans="1:11" ht="29.25">
      <c r="A85" s="11" t="s">
        <v>986</v>
      </c>
      <c r="B85" s="11" t="s">
        <v>42</v>
      </c>
      <c r="C85" s="11">
        <f>COUNTIF($B$2:$B$608,Tabela3[[#This Row],[Type]])</f>
        <v>167</v>
      </c>
      <c r="D85" s="9" t="s">
        <v>830</v>
      </c>
      <c r="E85" s="9"/>
      <c r="F85" s="9"/>
      <c r="G85" s="9">
        <v>30</v>
      </c>
      <c r="H85" s="9"/>
      <c r="I85" s="17" t="s">
        <v>987</v>
      </c>
      <c r="J85" s="10"/>
      <c r="K85" s="16" t="str">
        <f t="shared" si="1"/>
        <v>Comum</v>
      </c>
    </row>
    <row r="86" spans="1:11" ht="16.5">
      <c r="A86" s="11" t="s">
        <v>988</v>
      </c>
      <c r="B86" s="11" t="s">
        <v>42</v>
      </c>
      <c r="C86" s="11">
        <f>COUNTIF($B$2:$B$608,Tabela3[[#This Row],[Type]])</f>
        <v>167</v>
      </c>
      <c r="D86" s="9" t="s">
        <v>830</v>
      </c>
      <c r="E86" s="9"/>
      <c r="F86" s="9"/>
      <c r="G86" s="9">
        <v>20</v>
      </c>
      <c r="H86" s="9"/>
      <c r="I86" s="17" t="s">
        <v>989</v>
      </c>
      <c r="J86" s="10"/>
      <c r="K86" s="16" t="str">
        <f t="shared" si="1"/>
        <v>Comum</v>
      </c>
    </row>
    <row r="87" spans="1:11" ht="29.25">
      <c r="A87" s="11" t="s">
        <v>990</v>
      </c>
      <c r="B87" s="11" t="s">
        <v>94</v>
      </c>
      <c r="C87" s="11">
        <f>COUNTIF($B$2:$B$608,Tabela3[[#This Row],[Type]])</f>
        <v>53</v>
      </c>
      <c r="D87" s="9" t="s">
        <v>830</v>
      </c>
      <c r="E87" s="9"/>
      <c r="F87" s="9"/>
      <c r="G87" s="9">
        <v>20</v>
      </c>
      <c r="H87" s="9"/>
      <c r="I87" s="17" t="s">
        <v>991</v>
      </c>
      <c r="J87" s="10"/>
      <c r="K87" s="16" t="str">
        <f t="shared" si="1"/>
        <v>Comum</v>
      </c>
    </row>
    <row r="88" spans="1:11" ht="16.5">
      <c r="A88" s="11" t="s">
        <v>992</v>
      </c>
      <c r="B88" s="11" t="s">
        <v>16</v>
      </c>
      <c r="C88" s="11">
        <f>COUNTIF($B$2:$B$608,Tabela3[[#This Row],[Type]])</f>
        <v>37</v>
      </c>
      <c r="D88" s="9" t="s">
        <v>830</v>
      </c>
      <c r="E88" s="9"/>
      <c r="F88" s="9"/>
      <c r="G88" s="9">
        <v>10</v>
      </c>
      <c r="H88" s="9"/>
      <c r="I88" s="17" t="s">
        <v>993</v>
      </c>
      <c r="J88" s="10"/>
      <c r="K88" s="16" t="str">
        <f t="shared" si="1"/>
        <v>Comum</v>
      </c>
    </row>
    <row r="89" spans="1:11" ht="16.5">
      <c r="A89" s="11" t="s">
        <v>994</v>
      </c>
      <c r="B89" s="11" t="s">
        <v>16</v>
      </c>
      <c r="C89" s="11">
        <f>COUNTIF($B$2:$B$608,Tabela3[[#This Row],[Type]])</f>
        <v>37</v>
      </c>
      <c r="D89" s="9" t="s">
        <v>830</v>
      </c>
      <c r="E89" s="9"/>
      <c r="F89" s="9">
        <v>100</v>
      </c>
      <c r="G89" s="9">
        <v>40</v>
      </c>
      <c r="H89" s="9"/>
      <c r="I89" s="17" t="s">
        <v>995</v>
      </c>
      <c r="J89" s="10"/>
      <c r="K89" s="16" t="str">
        <f t="shared" si="1"/>
        <v>Comum</v>
      </c>
    </row>
    <row r="90" spans="1:11" ht="29.25">
      <c r="A90" s="11" t="s">
        <v>996</v>
      </c>
      <c r="B90" s="11" t="s">
        <v>86</v>
      </c>
      <c r="C90" s="11">
        <f>COUNTIF($B$2:$B$608,Tabela3[[#This Row],[Type]])</f>
        <v>42</v>
      </c>
      <c r="D90" s="9" t="s">
        <v>835</v>
      </c>
      <c r="E90" s="9"/>
      <c r="F90" s="9">
        <v>100</v>
      </c>
      <c r="G90" s="9">
        <v>20</v>
      </c>
      <c r="H90" s="9"/>
      <c r="I90" s="17" t="s">
        <v>997</v>
      </c>
      <c r="J90" s="10"/>
      <c r="K90" s="16" t="str">
        <f t="shared" si="1"/>
        <v>Comum</v>
      </c>
    </row>
    <row r="91" spans="1:11" ht="29.25">
      <c r="A91" s="11" t="s">
        <v>998</v>
      </c>
      <c r="B91" s="11" t="s">
        <v>42</v>
      </c>
      <c r="C91" s="11">
        <f>COUNTIF($B$2:$B$608,Tabela3[[#This Row],[Type]])</f>
        <v>167</v>
      </c>
      <c r="D91" s="9" t="s">
        <v>835</v>
      </c>
      <c r="E91" s="9">
        <v>60</v>
      </c>
      <c r="F91" s="9">
        <v>100</v>
      </c>
      <c r="G91" s="9">
        <v>40</v>
      </c>
      <c r="H91" s="9"/>
      <c r="I91" s="17" t="s">
        <v>999</v>
      </c>
      <c r="J91" s="10"/>
      <c r="K91" s="16" t="str">
        <f t="shared" si="1"/>
        <v>Comum</v>
      </c>
    </row>
    <row r="92" spans="1:11" ht="16.5">
      <c r="A92" s="11" t="s">
        <v>1000</v>
      </c>
      <c r="B92" s="11" t="s">
        <v>30</v>
      </c>
      <c r="C92" s="11">
        <f>COUNTIF($B$2:$B$608,Tabela3[[#This Row],[Type]])</f>
        <v>27</v>
      </c>
      <c r="D92" s="9" t="s">
        <v>835</v>
      </c>
      <c r="E92" s="9">
        <v>90</v>
      </c>
      <c r="F92" s="9">
        <v>90</v>
      </c>
      <c r="G92" s="9">
        <v>10</v>
      </c>
      <c r="H92" s="9"/>
      <c r="I92" s="17" t="s">
        <v>845</v>
      </c>
      <c r="J92" s="10"/>
      <c r="K92" s="16" t="str">
        <f t="shared" si="1"/>
        <v>Forte</v>
      </c>
    </row>
    <row r="93" spans="1:11" ht="29.25">
      <c r="A93" s="11" t="s">
        <v>1001</v>
      </c>
      <c r="B93" s="11" t="s">
        <v>64</v>
      </c>
      <c r="C93" s="11">
        <f>COUNTIF($B$2:$B$608,Tabela3[[#This Row],[Type]])</f>
        <v>16</v>
      </c>
      <c r="D93" s="9" t="s">
        <v>830</v>
      </c>
      <c r="E93" s="9"/>
      <c r="F93" s="9"/>
      <c r="G93" s="9">
        <v>10</v>
      </c>
      <c r="H93" s="9"/>
      <c r="I93" s="17" t="s">
        <v>1002</v>
      </c>
      <c r="J93" s="10"/>
      <c r="K93" s="16" t="str">
        <f t="shared" si="1"/>
        <v>Comum</v>
      </c>
    </row>
    <row r="94" spans="1:11" ht="16.5">
      <c r="A94" s="11" t="s">
        <v>1003</v>
      </c>
      <c r="B94" s="11" t="s">
        <v>86</v>
      </c>
      <c r="C94" s="11">
        <f>COUNTIF($B$2:$B$608,Tabela3[[#This Row],[Type]])</f>
        <v>42</v>
      </c>
      <c r="D94" s="9" t="s">
        <v>835</v>
      </c>
      <c r="E94" s="9">
        <v>100</v>
      </c>
      <c r="F94" s="9">
        <v>80</v>
      </c>
      <c r="G94" s="9">
        <v>5</v>
      </c>
      <c r="H94" s="9"/>
      <c r="I94" s="17" t="s">
        <v>845</v>
      </c>
      <c r="J94" s="10"/>
      <c r="K94" s="16" t="str">
        <f t="shared" si="1"/>
        <v>Muito Forte</v>
      </c>
    </row>
    <row r="95" spans="1:11" ht="29.25">
      <c r="A95" s="11" t="s">
        <v>1004</v>
      </c>
      <c r="B95" s="11" t="s">
        <v>17</v>
      </c>
      <c r="C95" s="11">
        <f>COUNTIF($B$2:$B$608,Tabela3[[#This Row],[Type]])</f>
        <v>23</v>
      </c>
      <c r="D95" s="9" t="s">
        <v>835</v>
      </c>
      <c r="E95" s="9">
        <v>70</v>
      </c>
      <c r="F95" s="9">
        <v>100</v>
      </c>
      <c r="G95" s="9">
        <v>20</v>
      </c>
      <c r="H95" s="9"/>
      <c r="I95" s="17" t="s">
        <v>1005</v>
      </c>
      <c r="J95" s="10">
        <v>10</v>
      </c>
      <c r="K95" s="16" t="str">
        <f t="shared" si="1"/>
        <v>Forte</v>
      </c>
    </row>
    <row r="96" spans="1:11" ht="16.5">
      <c r="A96" s="11" t="s">
        <v>1006</v>
      </c>
      <c r="B96" s="11" t="s">
        <v>170</v>
      </c>
      <c r="C96" s="11">
        <f>COUNTIF($B$2:$B$608,Tabela3[[#This Row],[Type]])</f>
        <v>31</v>
      </c>
      <c r="D96" s="9" t="s">
        <v>835</v>
      </c>
      <c r="E96" s="9">
        <v>80</v>
      </c>
      <c r="F96" s="9">
        <v>100</v>
      </c>
      <c r="G96" s="9">
        <v>15</v>
      </c>
      <c r="H96" s="9"/>
      <c r="I96" s="17" t="s">
        <v>1007</v>
      </c>
      <c r="J96" s="10">
        <v>20</v>
      </c>
      <c r="K96" s="16" t="str">
        <f t="shared" si="1"/>
        <v>Forte</v>
      </c>
    </row>
    <row r="97" spans="1:11" ht="16.5">
      <c r="A97" s="11" t="s">
        <v>1008</v>
      </c>
      <c r="B97" s="11" t="s">
        <v>42</v>
      </c>
      <c r="C97" s="11">
        <f>COUNTIF($B$2:$B$608,Tabela3[[#This Row],[Type]])</f>
        <v>167</v>
      </c>
      <c r="D97" s="9" t="s">
        <v>835</v>
      </c>
      <c r="E97" s="9">
        <v>75</v>
      </c>
      <c r="F97" s="9">
        <v>95</v>
      </c>
      <c r="G97" s="9">
        <v>10</v>
      </c>
      <c r="H97" s="9"/>
      <c r="I97" s="17" t="s">
        <v>1007</v>
      </c>
      <c r="J97" s="10">
        <v>50</v>
      </c>
      <c r="K97" s="16" t="str">
        <f t="shared" si="1"/>
        <v>Forte</v>
      </c>
    </row>
    <row r="98" spans="1:11" ht="29.25">
      <c r="A98" s="11" t="s">
        <v>1009</v>
      </c>
      <c r="B98" s="11" t="s">
        <v>42</v>
      </c>
      <c r="C98" s="11">
        <f>COUNTIF($B$2:$B$608,Tabela3[[#This Row],[Type]])</f>
        <v>167</v>
      </c>
      <c r="D98" s="9" t="s">
        <v>835</v>
      </c>
      <c r="E98" s="9"/>
      <c r="F98" s="9">
        <v>100</v>
      </c>
      <c r="G98" s="9">
        <v>5</v>
      </c>
      <c r="H98" s="9"/>
      <c r="I98" s="17" t="s">
        <v>1010</v>
      </c>
      <c r="J98" s="10"/>
      <c r="K98" s="16" t="str">
        <f t="shared" si="1"/>
        <v>Comum</v>
      </c>
    </row>
    <row r="99" spans="1:11" ht="57.75">
      <c r="A99" s="11" t="s">
        <v>1011</v>
      </c>
      <c r="B99" s="11" t="s">
        <v>128</v>
      </c>
      <c r="C99" s="11">
        <f>COUNTIF($B$2:$B$608,Tabela3[[#This Row],[Type]])</f>
        <v>18</v>
      </c>
      <c r="D99" s="9" t="s">
        <v>830</v>
      </c>
      <c r="E99" s="9"/>
      <c r="F99" s="9"/>
      <c r="G99" s="9">
        <v>10</v>
      </c>
      <c r="H99" s="9"/>
      <c r="I99" s="17" t="s">
        <v>1012</v>
      </c>
      <c r="J99" s="10"/>
      <c r="K99" s="16" t="str">
        <f t="shared" si="1"/>
        <v>Comum</v>
      </c>
    </row>
    <row r="100" spans="1:11" ht="16.5">
      <c r="A100" s="11" t="s">
        <v>1013</v>
      </c>
      <c r="B100" s="11" t="s">
        <v>42</v>
      </c>
      <c r="C100" s="11">
        <f>COUNTIF($B$2:$B$608,Tabela3[[#This Row],[Type]])</f>
        <v>167</v>
      </c>
      <c r="D100" s="9" t="s">
        <v>835</v>
      </c>
      <c r="E100" s="9">
        <v>50</v>
      </c>
      <c r="F100" s="9">
        <v>95</v>
      </c>
      <c r="G100" s="9">
        <v>30</v>
      </c>
      <c r="H100" s="9" t="s">
        <v>1014</v>
      </c>
      <c r="I100" s="17"/>
      <c r="J100" s="10"/>
      <c r="K100" s="16" t="str">
        <f t="shared" si="1"/>
        <v>Comum</v>
      </c>
    </row>
    <row r="101" spans="1:11" ht="16.5">
      <c r="A101" s="11" t="s">
        <v>1015</v>
      </c>
      <c r="B101" s="11" t="s">
        <v>170</v>
      </c>
      <c r="C101" s="11">
        <f>COUNTIF($B$2:$B$608,Tabela3[[#This Row],[Type]])</f>
        <v>31</v>
      </c>
      <c r="D101" s="9" t="s">
        <v>825</v>
      </c>
      <c r="E101" s="9">
        <v>80</v>
      </c>
      <c r="F101" s="9">
        <v>100</v>
      </c>
      <c r="G101" s="9">
        <v>15</v>
      </c>
      <c r="H101" s="9"/>
      <c r="I101" s="17" t="s">
        <v>852</v>
      </c>
      <c r="J101" s="10">
        <v>20</v>
      </c>
      <c r="K101" s="16" t="str">
        <f t="shared" si="1"/>
        <v>Forte</v>
      </c>
    </row>
    <row r="102" spans="1:11" ht="29.25">
      <c r="A102" s="11" t="s">
        <v>1016</v>
      </c>
      <c r="B102" s="11" t="s">
        <v>170</v>
      </c>
      <c r="C102" s="11">
        <f>COUNTIF($B$2:$B$608,Tabela3[[#This Row],[Type]])</f>
        <v>31</v>
      </c>
      <c r="D102" s="9" t="s">
        <v>830</v>
      </c>
      <c r="E102" s="9"/>
      <c r="F102" s="9">
        <v>80</v>
      </c>
      <c r="G102" s="9">
        <v>10</v>
      </c>
      <c r="H102" s="9"/>
      <c r="I102" s="17" t="s">
        <v>1017</v>
      </c>
      <c r="J102" s="10"/>
      <c r="K102" s="16" t="str">
        <f t="shared" si="1"/>
        <v>Comum</v>
      </c>
    </row>
    <row r="103" spans="1:11" ht="16.5">
      <c r="A103" s="11" t="s">
        <v>1018</v>
      </c>
      <c r="B103" s="11" t="s">
        <v>64</v>
      </c>
      <c r="C103" s="11">
        <f>COUNTIF($B$2:$B$608,Tabela3[[#This Row],[Type]])</f>
        <v>16</v>
      </c>
      <c r="D103" s="9" t="s">
        <v>825</v>
      </c>
      <c r="E103" s="9">
        <v>80</v>
      </c>
      <c r="F103" s="9">
        <v>100</v>
      </c>
      <c r="G103" s="9">
        <v>10</v>
      </c>
      <c r="H103" s="9"/>
      <c r="I103" s="17"/>
      <c r="J103" s="10"/>
      <c r="K103" s="16" t="str">
        <f t="shared" si="1"/>
        <v>Forte</v>
      </c>
    </row>
    <row r="104" spans="1:11" ht="29.25">
      <c r="A104" s="11" t="s">
        <v>1019</v>
      </c>
      <c r="B104" s="11" t="s">
        <v>35</v>
      </c>
      <c r="C104" s="11">
        <f>COUNTIF($B$2:$B$608,Tabela3[[#This Row],[Type]])</f>
        <v>25</v>
      </c>
      <c r="D104" s="9" t="s">
        <v>830</v>
      </c>
      <c r="E104" s="9"/>
      <c r="F104" s="9"/>
      <c r="G104" s="9">
        <v>10</v>
      </c>
      <c r="H104" s="9"/>
      <c r="I104" s="17" t="s">
        <v>991</v>
      </c>
      <c r="J104" s="10"/>
      <c r="K104" s="16" t="str">
        <f t="shared" si="1"/>
        <v>Comum</v>
      </c>
    </row>
    <row r="105" spans="1:11" ht="16.5">
      <c r="A105" s="11" t="s">
        <v>1020</v>
      </c>
      <c r="B105" s="11" t="s">
        <v>42</v>
      </c>
      <c r="C105" s="11">
        <f>COUNTIF($B$2:$B$608,Tabela3[[#This Row],[Type]])</f>
        <v>167</v>
      </c>
      <c r="D105" s="9" t="s">
        <v>830</v>
      </c>
      <c r="E105" s="9"/>
      <c r="F105" s="9"/>
      <c r="G105" s="9">
        <v>40</v>
      </c>
      <c r="H105" s="9"/>
      <c r="I105" s="17" t="s">
        <v>1021</v>
      </c>
      <c r="J105" s="10"/>
      <c r="K105" s="16" t="str">
        <f t="shared" si="1"/>
        <v>Comum</v>
      </c>
    </row>
    <row r="106" spans="1:11" ht="29.25">
      <c r="A106" s="11" t="s">
        <v>1022</v>
      </c>
      <c r="B106" s="11" t="s">
        <v>25</v>
      </c>
      <c r="C106" s="11">
        <f>COUNTIF($B$2:$B$608,Tabela3[[#This Row],[Type]])</f>
        <v>23</v>
      </c>
      <c r="D106" s="9" t="s">
        <v>830</v>
      </c>
      <c r="E106" s="9"/>
      <c r="F106" s="9"/>
      <c r="G106" s="9">
        <v>15</v>
      </c>
      <c r="H106" s="9"/>
      <c r="I106" s="17" t="s">
        <v>1023</v>
      </c>
      <c r="J106" s="10"/>
      <c r="K106" s="16" t="str">
        <f t="shared" si="1"/>
        <v>Comum</v>
      </c>
    </row>
    <row r="107" spans="1:11" ht="29.25">
      <c r="A107" s="11" t="s">
        <v>1024</v>
      </c>
      <c r="B107" s="11" t="s">
        <v>128</v>
      </c>
      <c r="C107" s="11">
        <f>COUNTIF($B$2:$B$608,Tabela3[[#This Row],[Type]])</f>
        <v>18</v>
      </c>
      <c r="D107" s="9" t="s">
        <v>830</v>
      </c>
      <c r="E107" s="9"/>
      <c r="F107" s="9"/>
      <c r="G107" s="9">
        <v>5</v>
      </c>
      <c r="H107" s="9"/>
      <c r="I107" s="17" t="s">
        <v>1025</v>
      </c>
      <c r="J107" s="10"/>
      <c r="K107" s="16" t="str">
        <f t="shared" si="1"/>
        <v>Comum</v>
      </c>
    </row>
    <row r="108" spans="1:11" ht="29.25">
      <c r="A108" s="11" t="s">
        <v>1026</v>
      </c>
      <c r="B108" s="11" t="s">
        <v>86</v>
      </c>
      <c r="C108" s="11">
        <f>COUNTIF($B$2:$B$608,Tabela3[[#This Row],[Type]])</f>
        <v>42</v>
      </c>
      <c r="D108" s="9" t="s">
        <v>830</v>
      </c>
      <c r="E108" s="9"/>
      <c r="F108" s="9"/>
      <c r="G108" s="9">
        <v>5</v>
      </c>
      <c r="H108" s="9"/>
      <c r="I108" s="17" t="s">
        <v>1027</v>
      </c>
      <c r="J108" s="10"/>
      <c r="K108" s="16" t="str">
        <f t="shared" si="1"/>
        <v>Comum</v>
      </c>
    </row>
    <row r="109" spans="1:11" ht="42.75">
      <c r="A109" s="11" t="s">
        <v>1028</v>
      </c>
      <c r="B109" s="11" t="s">
        <v>55</v>
      </c>
      <c r="C109" s="11">
        <f>COUNTIF($B$2:$B$608,Tabela3[[#This Row],[Type]])</f>
        <v>19</v>
      </c>
      <c r="D109" s="9" t="s">
        <v>835</v>
      </c>
      <c r="E109" s="9">
        <v>80</v>
      </c>
      <c r="F109" s="9">
        <v>100</v>
      </c>
      <c r="G109" s="9">
        <v>10</v>
      </c>
      <c r="H109" s="9" t="s">
        <v>1029</v>
      </c>
      <c r="I109" s="17" t="s">
        <v>1030</v>
      </c>
      <c r="J109" s="10"/>
      <c r="K109" s="16" t="str">
        <f t="shared" si="1"/>
        <v>Forte</v>
      </c>
    </row>
    <row r="110" spans="1:11" ht="29.25">
      <c r="A110" s="11" t="s">
        <v>1031</v>
      </c>
      <c r="B110" s="11" t="s">
        <v>42</v>
      </c>
      <c r="C110" s="11">
        <f>COUNTIF($B$2:$B$608,Tabela3[[#This Row],[Type]])</f>
        <v>167</v>
      </c>
      <c r="D110" s="9" t="s">
        <v>830</v>
      </c>
      <c r="E110" s="9"/>
      <c r="F110" s="9">
        <v>100</v>
      </c>
      <c r="G110" s="9">
        <v>20</v>
      </c>
      <c r="H110" s="9"/>
      <c r="I110" s="17" t="s">
        <v>1032</v>
      </c>
      <c r="J110" s="10"/>
      <c r="K110" s="16" t="str">
        <f t="shared" si="1"/>
        <v>Comum</v>
      </c>
    </row>
    <row r="111" spans="1:11" ht="16.5">
      <c r="A111" s="11" t="s">
        <v>1033</v>
      </c>
      <c r="B111" s="11" t="s">
        <v>64</v>
      </c>
      <c r="C111" s="11">
        <f>COUNTIF($B$2:$B$608,Tabela3[[#This Row],[Type]])</f>
        <v>16</v>
      </c>
      <c r="D111" s="9" t="s">
        <v>825</v>
      </c>
      <c r="E111" s="9">
        <v>40</v>
      </c>
      <c r="F111" s="9" t="s">
        <v>841</v>
      </c>
      <c r="G111" s="9">
        <v>15</v>
      </c>
      <c r="H111" s="9"/>
      <c r="I111" s="17" t="s">
        <v>843</v>
      </c>
      <c r="J111" s="10"/>
      <c r="K111" s="16" t="str">
        <f t="shared" si="1"/>
        <v>Comum</v>
      </c>
    </row>
    <row r="112" spans="1:11" ht="16.5">
      <c r="A112" s="11" t="s">
        <v>1034</v>
      </c>
      <c r="B112" s="11" t="s">
        <v>52</v>
      </c>
      <c r="C112" s="11">
        <f>COUNTIF($B$2:$B$608,Tabela3[[#This Row],[Type]])</f>
        <v>28</v>
      </c>
      <c r="D112" s="9" t="s">
        <v>825</v>
      </c>
      <c r="E112" s="9">
        <v>80</v>
      </c>
      <c r="F112" s="9">
        <v>100</v>
      </c>
      <c r="G112" s="9">
        <v>15</v>
      </c>
      <c r="H112" s="9"/>
      <c r="I112" s="17" t="s">
        <v>918</v>
      </c>
      <c r="J112" s="10">
        <v>30</v>
      </c>
      <c r="K112" s="16" t="str">
        <f t="shared" si="1"/>
        <v>Forte</v>
      </c>
    </row>
    <row r="113" spans="1:11" ht="29.25">
      <c r="A113" s="11" t="s">
        <v>1035</v>
      </c>
      <c r="B113" s="11" t="s">
        <v>30</v>
      </c>
      <c r="C113" s="11">
        <f>COUNTIF($B$2:$B$608,Tabela3[[#This Row],[Type]])</f>
        <v>27</v>
      </c>
      <c r="D113" s="9" t="s">
        <v>835</v>
      </c>
      <c r="E113" s="9">
        <v>80</v>
      </c>
      <c r="F113" s="9">
        <v>100</v>
      </c>
      <c r="G113" s="9">
        <v>10</v>
      </c>
      <c r="H113" s="9" t="s">
        <v>1036</v>
      </c>
      <c r="I113" s="17" t="s">
        <v>1037</v>
      </c>
      <c r="J113" s="10"/>
      <c r="K113" s="16" t="str">
        <f t="shared" si="1"/>
        <v>Forte</v>
      </c>
    </row>
    <row r="114" spans="1:11" ht="16.5">
      <c r="A114" s="11" t="s">
        <v>1038</v>
      </c>
      <c r="B114" s="11" t="s">
        <v>42</v>
      </c>
      <c r="C114" s="11">
        <f>COUNTIF($B$2:$B$608,Tabela3[[#This Row],[Type]])</f>
        <v>167</v>
      </c>
      <c r="D114" s="9" t="s">
        <v>835</v>
      </c>
      <c r="E114" s="9">
        <v>70</v>
      </c>
      <c r="F114" s="9">
        <v>100</v>
      </c>
      <c r="G114" s="9">
        <v>10</v>
      </c>
      <c r="H114" s="9"/>
      <c r="I114" s="17" t="s">
        <v>964</v>
      </c>
      <c r="J114" s="10">
        <v>20</v>
      </c>
      <c r="K114" s="16" t="str">
        <f t="shared" si="1"/>
        <v>Forte</v>
      </c>
    </row>
    <row r="115" spans="1:11" ht="16.5">
      <c r="A115" s="11" t="s">
        <v>1039</v>
      </c>
      <c r="B115" s="11" t="s">
        <v>115</v>
      </c>
      <c r="C115" s="11">
        <f>COUNTIF($B$2:$B$608,Tabela3[[#This Row],[Type]])</f>
        <v>19</v>
      </c>
      <c r="D115" s="9" t="s">
        <v>825</v>
      </c>
      <c r="E115" s="9">
        <v>140</v>
      </c>
      <c r="F115" s="9">
        <v>100</v>
      </c>
      <c r="G115" s="9">
        <v>5</v>
      </c>
      <c r="H115" s="9"/>
      <c r="I115" s="17" t="s">
        <v>1040</v>
      </c>
      <c r="J115" s="10"/>
      <c r="K115" s="16" t="str">
        <f t="shared" si="1"/>
        <v>Muito Forte</v>
      </c>
    </row>
    <row r="116" spans="1:11" ht="16.5">
      <c r="A116" s="11" t="s">
        <v>1041</v>
      </c>
      <c r="B116" s="11" t="s">
        <v>42</v>
      </c>
      <c r="C116" s="11">
        <f>COUNTIF($B$2:$B$608,Tabela3[[#This Row],[Type]])</f>
        <v>167</v>
      </c>
      <c r="D116" s="9" t="s">
        <v>835</v>
      </c>
      <c r="E116" s="9">
        <v>35</v>
      </c>
      <c r="F116" s="9">
        <v>90</v>
      </c>
      <c r="G116" s="9">
        <v>10</v>
      </c>
      <c r="H116" s="9"/>
      <c r="I116" s="17" t="s">
        <v>923</v>
      </c>
      <c r="J116" s="10"/>
      <c r="K116" s="16" t="str">
        <f t="shared" si="1"/>
        <v>Comum</v>
      </c>
    </row>
    <row r="117" spans="1:11" ht="16.5">
      <c r="A117" s="11" t="s">
        <v>1042</v>
      </c>
      <c r="B117" s="11" t="s">
        <v>86</v>
      </c>
      <c r="C117" s="11">
        <f>COUNTIF($B$2:$B$608,Tabela3[[#This Row],[Type]])</f>
        <v>42</v>
      </c>
      <c r="D117" s="9" t="s">
        <v>835</v>
      </c>
      <c r="E117" s="9">
        <v>30</v>
      </c>
      <c r="F117" s="9">
        <v>100</v>
      </c>
      <c r="G117" s="9">
        <v>30</v>
      </c>
      <c r="H117" s="9"/>
      <c r="I117" s="17" t="s">
        <v>923</v>
      </c>
      <c r="J117" s="10"/>
      <c r="K117" s="16" t="str">
        <f t="shared" si="1"/>
        <v>Comum</v>
      </c>
    </row>
    <row r="118" spans="1:11" ht="16.5">
      <c r="A118" s="11" t="s">
        <v>1043</v>
      </c>
      <c r="B118" s="11" t="s">
        <v>42</v>
      </c>
      <c r="C118" s="11">
        <f>COUNTIF($B$2:$B$608,Tabela3[[#This Row],[Type]])</f>
        <v>167</v>
      </c>
      <c r="D118" s="9" t="s">
        <v>830</v>
      </c>
      <c r="E118" s="9"/>
      <c r="F118" s="9"/>
      <c r="G118" s="9">
        <v>15</v>
      </c>
      <c r="H118" s="9" t="s">
        <v>1044</v>
      </c>
      <c r="I118" s="17" t="s">
        <v>1045</v>
      </c>
      <c r="J118" s="10"/>
      <c r="K118" s="16" t="str">
        <f t="shared" si="1"/>
        <v>Comum</v>
      </c>
    </row>
    <row r="119" spans="1:11" ht="16.5">
      <c r="A119" s="11" t="s">
        <v>1046</v>
      </c>
      <c r="B119" s="11" t="s">
        <v>42</v>
      </c>
      <c r="C119" s="11">
        <f>COUNTIF($B$2:$B$608,Tabela3[[#This Row],[Type]])</f>
        <v>167</v>
      </c>
      <c r="D119" s="9" t="s">
        <v>835</v>
      </c>
      <c r="E119" s="9">
        <v>120</v>
      </c>
      <c r="F119" s="9">
        <v>100</v>
      </c>
      <c r="G119" s="9">
        <v>15</v>
      </c>
      <c r="H119" s="9"/>
      <c r="I119" s="17" t="s">
        <v>929</v>
      </c>
      <c r="J119" s="10"/>
      <c r="K119" s="16" t="str">
        <f t="shared" si="1"/>
        <v>Muito Forte</v>
      </c>
    </row>
    <row r="120" spans="1:11" ht="16.5">
      <c r="A120" s="11" t="s">
        <v>1047</v>
      </c>
      <c r="B120" s="11" t="s">
        <v>42</v>
      </c>
      <c r="C120" s="11">
        <f>COUNTIF($B$2:$B$608,Tabela3[[#This Row],[Type]])</f>
        <v>167</v>
      </c>
      <c r="D120" s="9" t="s">
        <v>835</v>
      </c>
      <c r="E120" s="9">
        <v>15</v>
      </c>
      <c r="F120" s="9">
        <v>85</v>
      </c>
      <c r="G120" s="9">
        <v>10</v>
      </c>
      <c r="H120" s="9"/>
      <c r="I120" s="17" t="s">
        <v>866</v>
      </c>
      <c r="J120" s="10"/>
      <c r="K120" s="16" t="str">
        <f t="shared" si="1"/>
        <v>Comum</v>
      </c>
    </row>
    <row r="121" spans="1:11" ht="29.25">
      <c r="A121" s="11" t="s">
        <v>1048</v>
      </c>
      <c r="B121" s="11" t="s">
        <v>27</v>
      </c>
      <c r="C121" s="11">
        <f>COUNTIF($B$2:$B$608,Tabela3[[#This Row],[Type]])</f>
        <v>13</v>
      </c>
      <c r="D121" s="9" t="s">
        <v>825</v>
      </c>
      <c r="E121" s="9">
        <v>140</v>
      </c>
      <c r="F121" s="9">
        <v>90</v>
      </c>
      <c r="G121" s="9">
        <v>5</v>
      </c>
      <c r="H121" s="9"/>
      <c r="I121" s="17" t="s">
        <v>1049</v>
      </c>
      <c r="J121" s="10"/>
      <c r="K121" s="16" t="str">
        <f t="shared" si="1"/>
        <v>Muito Forte</v>
      </c>
    </row>
    <row r="122" spans="1:11" ht="16.5">
      <c r="A122" s="11" t="s">
        <v>1050</v>
      </c>
      <c r="B122" s="11" t="s">
        <v>27</v>
      </c>
      <c r="C122" s="11">
        <f>COUNTIF($B$2:$B$608,Tabela3[[#This Row],[Type]])</f>
        <v>13</v>
      </c>
      <c r="D122" s="9" t="s">
        <v>835</v>
      </c>
      <c r="E122" s="9">
        <v>80</v>
      </c>
      <c r="F122" s="9">
        <v>100</v>
      </c>
      <c r="G122" s="9">
        <v>15</v>
      </c>
      <c r="H122" s="9" t="s">
        <v>1051</v>
      </c>
      <c r="I122" s="17"/>
      <c r="J122" s="10"/>
      <c r="K122" s="16" t="str">
        <f t="shared" si="1"/>
        <v>Forte</v>
      </c>
    </row>
    <row r="123" spans="1:11" ht="16.5">
      <c r="A123" s="11" t="s">
        <v>1052</v>
      </c>
      <c r="B123" s="11" t="s">
        <v>27</v>
      </c>
      <c r="C123" s="11">
        <f>COUNTIF($B$2:$B$608,Tabela3[[#This Row],[Type]])</f>
        <v>13</v>
      </c>
      <c r="D123" s="9" t="s">
        <v>830</v>
      </c>
      <c r="E123" s="9"/>
      <c r="F123" s="9"/>
      <c r="G123" s="9">
        <v>20</v>
      </c>
      <c r="H123" s="9"/>
      <c r="I123" s="17" t="s">
        <v>1053</v>
      </c>
      <c r="J123" s="10"/>
      <c r="K123" s="16" t="str">
        <f t="shared" si="1"/>
        <v>Comum</v>
      </c>
    </row>
    <row r="124" spans="1:11" ht="16.5">
      <c r="A124" s="11" t="s">
        <v>1054</v>
      </c>
      <c r="B124" s="11" t="s">
        <v>27</v>
      </c>
      <c r="C124" s="11">
        <f>COUNTIF($B$2:$B$608,Tabela3[[#This Row],[Type]])</f>
        <v>13</v>
      </c>
      <c r="D124" s="9" t="s">
        <v>825</v>
      </c>
      <c r="E124" s="9">
        <v>90</v>
      </c>
      <c r="F124" s="9">
        <v>100</v>
      </c>
      <c r="G124" s="9">
        <v>10</v>
      </c>
      <c r="H124" s="9"/>
      <c r="I124" s="17"/>
      <c r="J124" s="10"/>
      <c r="K124" s="16" t="str">
        <f t="shared" si="1"/>
        <v>Forte</v>
      </c>
    </row>
    <row r="125" spans="1:11" ht="16.5">
      <c r="A125" s="11" t="s">
        <v>1055</v>
      </c>
      <c r="B125" s="11" t="s">
        <v>27</v>
      </c>
      <c r="C125" s="11">
        <f>COUNTIF($B$2:$B$608,Tabela3[[#This Row],[Type]])</f>
        <v>13</v>
      </c>
      <c r="D125" s="9" t="s">
        <v>825</v>
      </c>
      <c r="E125" s="9"/>
      <c r="F125" s="9">
        <v>100</v>
      </c>
      <c r="G125" s="9">
        <v>10</v>
      </c>
      <c r="H125" s="9"/>
      <c r="I125" s="17" t="s">
        <v>1056</v>
      </c>
      <c r="J125" s="10"/>
      <c r="K125" s="16" t="str">
        <f t="shared" si="1"/>
        <v>Comum</v>
      </c>
    </row>
    <row r="126" spans="1:11" ht="16.5">
      <c r="A126" s="11" t="s">
        <v>1057</v>
      </c>
      <c r="B126" s="11" t="s">
        <v>27</v>
      </c>
      <c r="C126" s="11">
        <f>COUNTIF($B$2:$B$608,Tabela3[[#This Row],[Type]])</f>
        <v>13</v>
      </c>
      <c r="D126" s="9" t="s">
        <v>835</v>
      </c>
      <c r="E126" s="9">
        <v>100</v>
      </c>
      <c r="F126" s="9">
        <v>75</v>
      </c>
      <c r="G126" s="9">
        <v>10</v>
      </c>
      <c r="H126" s="9"/>
      <c r="I126" s="17" t="s">
        <v>852</v>
      </c>
      <c r="J126" s="10">
        <v>20</v>
      </c>
      <c r="K126" s="16" t="str">
        <f t="shared" si="1"/>
        <v>Muito Forte</v>
      </c>
    </row>
    <row r="127" spans="1:11" ht="29.25">
      <c r="A127" s="11" t="s">
        <v>1058</v>
      </c>
      <c r="B127" s="11" t="s">
        <v>27</v>
      </c>
      <c r="C127" s="11">
        <f>COUNTIF($B$2:$B$608,Tabela3[[#This Row],[Type]])</f>
        <v>13</v>
      </c>
      <c r="D127" s="9" t="s">
        <v>835</v>
      </c>
      <c r="E127" s="9">
        <v>60</v>
      </c>
      <c r="F127" s="9">
        <v>90</v>
      </c>
      <c r="G127" s="9">
        <v>10</v>
      </c>
      <c r="H127" s="9" t="s">
        <v>1059</v>
      </c>
      <c r="I127" s="17" t="s">
        <v>968</v>
      </c>
      <c r="J127" s="10"/>
      <c r="K127" s="16" t="str">
        <f t="shared" si="1"/>
        <v>Comum</v>
      </c>
    </row>
    <row r="128" spans="1:11" ht="16.5">
      <c r="A128" s="11" t="s">
        <v>1060</v>
      </c>
      <c r="B128" s="11" t="s">
        <v>27</v>
      </c>
      <c r="C128" s="11">
        <f>COUNTIF($B$2:$B$608,Tabela3[[#This Row],[Type]])</f>
        <v>13</v>
      </c>
      <c r="D128" s="9" t="s">
        <v>825</v>
      </c>
      <c r="E128" s="9">
        <v>60</v>
      </c>
      <c r="F128" s="9">
        <v>100</v>
      </c>
      <c r="G128" s="9">
        <v>20</v>
      </c>
      <c r="H128" s="9"/>
      <c r="I128" s="17" t="s">
        <v>918</v>
      </c>
      <c r="J128" s="10">
        <v>30</v>
      </c>
      <c r="K128" s="16" t="str">
        <f t="shared" si="1"/>
        <v>Comum</v>
      </c>
    </row>
    <row r="129" spans="1:11" ht="29.25">
      <c r="A129" s="11" t="s">
        <v>1061</v>
      </c>
      <c r="B129" s="11" t="s">
        <v>86</v>
      </c>
      <c r="C129" s="11">
        <f>COUNTIF($B$2:$B$608,Tabela3[[#This Row],[Type]])</f>
        <v>42</v>
      </c>
      <c r="D129" s="9" t="s">
        <v>835</v>
      </c>
      <c r="E129" s="9">
        <v>75</v>
      </c>
      <c r="F129" s="9">
        <v>100</v>
      </c>
      <c r="G129" s="9">
        <v>10</v>
      </c>
      <c r="H129" s="9"/>
      <c r="I129" s="17" t="s">
        <v>826</v>
      </c>
      <c r="J129" s="10"/>
      <c r="K129" s="16" t="str">
        <f t="shared" si="1"/>
        <v>Forte</v>
      </c>
    </row>
    <row r="130" spans="1:11" ht="29.25">
      <c r="A130" s="11" t="s">
        <v>1062</v>
      </c>
      <c r="B130" s="11" t="s">
        <v>64</v>
      </c>
      <c r="C130" s="11">
        <f>COUNTIF($B$2:$B$608,Tabela3[[#This Row],[Type]])</f>
        <v>16</v>
      </c>
      <c r="D130" s="9" t="s">
        <v>825</v>
      </c>
      <c r="E130" s="9">
        <v>50</v>
      </c>
      <c r="F130" s="9">
        <v>100</v>
      </c>
      <c r="G130" s="9">
        <v>10</v>
      </c>
      <c r="H130" s="9"/>
      <c r="I130" s="17" t="s">
        <v>1063</v>
      </c>
      <c r="J130" s="10"/>
      <c r="K130" s="16" t="str">
        <f t="shared" si="1"/>
        <v>Comum</v>
      </c>
    </row>
    <row r="131" spans="1:11" ht="29.25">
      <c r="A131" s="11" t="s">
        <v>1064</v>
      </c>
      <c r="B131" s="11" t="s">
        <v>94</v>
      </c>
      <c r="C131" s="11">
        <f>COUNTIF($B$2:$B$608,Tabela3[[#This Row],[Type]])</f>
        <v>53</v>
      </c>
      <c r="D131" s="9" t="s">
        <v>825</v>
      </c>
      <c r="E131" s="9">
        <v>100</v>
      </c>
      <c r="F131" s="9">
        <v>100</v>
      </c>
      <c r="G131" s="9">
        <v>15</v>
      </c>
      <c r="H131" s="9" t="s">
        <v>1065</v>
      </c>
      <c r="I131" s="17" t="s">
        <v>1066</v>
      </c>
      <c r="J131" s="10"/>
      <c r="K131" s="16" t="str">
        <f t="shared" ref="K131:K194" si="2">IF(E131&gt;=100,"Muito Forte",
IF(E131&gt;=70,"Forte",
"Comum"))</f>
        <v>Muito Forte</v>
      </c>
    </row>
    <row r="132" spans="1:11" ht="16.5">
      <c r="A132" s="11" t="s">
        <v>1067</v>
      </c>
      <c r="B132" s="11" t="s">
        <v>25</v>
      </c>
      <c r="C132" s="11">
        <f>COUNTIF($B$2:$B$608,Tabela3[[#This Row],[Type]])</f>
        <v>23</v>
      </c>
      <c r="D132" s="9" t="s">
        <v>835</v>
      </c>
      <c r="E132" s="9">
        <v>80</v>
      </c>
      <c r="F132" s="9">
        <v>100</v>
      </c>
      <c r="G132" s="9">
        <v>20</v>
      </c>
      <c r="H132" s="9"/>
      <c r="I132" s="17"/>
      <c r="J132" s="10"/>
      <c r="K132" s="16" t="str">
        <f t="shared" si="2"/>
        <v>Forte</v>
      </c>
    </row>
    <row r="133" spans="1:11" ht="16.5">
      <c r="A133" s="11" t="s">
        <v>1068</v>
      </c>
      <c r="B133" s="11" t="s">
        <v>55</v>
      </c>
      <c r="C133" s="11">
        <f>COUNTIF($B$2:$B$608,Tabela3[[#This Row],[Type]])</f>
        <v>19</v>
      </c>
      <c r="D133" s="9" t="s">
        <v>835</v>
      </c>
      <c r="E133" s="9">
        <v>80</v>
      </c>
      <c r="F133" s="9">
        <v>95</v>
      </c>
      <c r="G133" s="9">
        <v>10</v>
      </c>
      <c r="H133" s="9"/>
      <c r="I133" s="17" t="s">
        <v>845</v>
      </c>
      <c r="J133" s="10"/>
      <c r="K133" s="16" t="str">
        <f t="shared" si="2"/>
        <v>Forte</v>
      </c>
    </row>
    <row r="134" spans="1:11" ht="16.5">
      <c r="A134" s="11" t="s">
        <v>1069</v>
      </c>
      <c r="B134" s="11" t="s">
        <v>27</v>
      </c>
      <c r="C134" s="11">
        <f>COUNTIF($B$2:$B$608,Tabela3[[#This Row],[Type]])</f>
        <v>13</v>
      </c>
      <c r="D134" s="9" t="s">
        <v>835</v>
      </c>
      <c r="E134" s="9">
        <v>40</v>
      </c>
      <c r="F134" s="9">
        <v>90</v>
      </c>
      <c r="G134" s="9">
        <v>15</v>
      </c>
      <c r="H134" s="9"/>
      <c r="I134" s="17" t="s">
        <v>923</v>
      </c>
      <c r="J134" s="10"/>
      <c r="K134" s="16" t="str">
        <f t="shared" si="2"/>
        <v>Comum</v>
      </c>
    </row>
    <row r="135" spans="1:11" ht="16.5">
      <c r="A135" s="11" t="s">
        <v>1070</v>
      </c>
      <c r="B135" s="11" t="s">
        <v>86</v>
      </c>
      <c r="C135" s="11">
        <f>COUNTIF($B$2:$B$608,Tabela3[[#This Row],[Type]])</f>
        <v>42</v>
      </c>
      <c r="D135" s="9" t="s">
        <v>835</v>
      </c>
      <c r="E135" s="9">
        <v>100</v>
      </c>
      <c r="F135" s="9">
        <v>50</v>
      </c>
      <c r="G135" s="9">
        <v>5</v>
      </c>
      <c r="H135" s="9"/>
      <c r="I135" s="17" t="s">
        <v>980</v>
      </c>
      <c r="J135" s="10">
        <v>100</v>
      </c>
      <c r="K135" s="16" t="str">
        <f t="shared" si="2"/>
        <v>Muito Forte</v>
      </c>
    </row>
    <row r="136" spans="1:11" ht="29.25">
      <c r="A136" s="11" t="s">
        <v>1071</v>
      </c>
      <c r="B136" s="11" t="s">
        <v>55</v>
      </c>
      <c r="C136" s="11">
        <f>COUNTIF($B$2:$B$608,Tabela3[[#This Row],[Type]])</f>
        <v>19</v>
      </c>
      <c r="D136" s="9" t="s">
        <v>825</v>
      </c>
      <c r="E136" s="9">
        <v>90</v>
      </c>
      <c r="F136" s="9">
        <v>100</v>
      </c>
      <c r="G136" s="9">
        <v>10</v>
      </c>
      <c r="H136" s="9"/>
      <c r="I136" s="17" t="s">
        <v>828</v>
      </c>
      <c r="J136" s="10">
        <v>10</v>
      </c>
      <c r="K136" s="16" t="str">
        <f t="shared" si="2"/>
        <v>Forte</v>
      </c>
    </row>
    <row r="137" spans="1:11" ht="29.25">
      <c r="A137" s="11" t="s">
        <v>1072</v>
      </c>
      <c r="B137" s="11" t="s">
        <v>55</v>
      </c>
      <c r="C137" s="11">
        <f>COUNTIF($B$2:$B$608,Tabela3[[#This Row],[Type]])</f>
        <v>19</v>
      </c>
      <c r="D137" s="9" t="s">
        <v>835</v>
      </c>
      <c r="E137" s="9">
        <v>100</v>
      </c>
      <c r="F137" s="9">
        <v>100</v>
      </c>
      <c r="G137" s="9">
        <v>10</v>
      </c>
      <c r="H137" s="9" t="s">
        <v>1073</v>
      </c>
      <c r="I137" s="17" t="s">
        <v>1074</v>
      </c>
      <c r="J137" s="10"/>
      <c r="K137" s="16" t="str">
        <f t="shared" si="2"/>
        <v>Muito Forte</v>
      </c>
    </row>
    <row r="138" spans="1:11" ht="42.75">
      <c r="A138" s="11" t="s">
        <v>1075</v>
      </c>
      <c r="B138" s="11" t="s">
        <v>42</v>
      </c>
      <c r="C138" s="11">
        <f>COUNTIF($B$2:$B$608,Tabela3[[#This Row],[Type]])</f>
        <v>167</v>
      </c>
      <c r="D138" s="9" t="s">
        <v>825</v>
      </c>
      <c r="E138" s="9">
        <v>40</v>
      </c>
      <c r="F138" s="9">
        <v>100</v>
      </c>
      <c r="G138" s="9">
        <v>15</v>
      </c>
      <c r="H138" s="9" t="s">
        <v>1076</v>
      </c>
      <c r="I138" s="17" t="s">
        <v>1077</v>
      </c>
      <c r="J138" s="10"/>
      <c r="K138" s="16" t="str">
        <f t="shared" si="2"/>
        <v>Comum</v>
      </c>
    </row>
    <row r="139" spans="1:11" ht="29.25">
      <c r="A139" s="11" t="s">
        <v>1078</v>
      </c>
      <c r="B139" s="11" t="s">
        <v>52</v>
      </c>
      <c r="C139" s="11">
        <f>COUNTIF($B$2:$B$608,Tabela3[[#This Row],[Type]])</f>
        <v>28</v>
      </c>
      <c r="D139" s="9" t="s">
        <v>830</v>
      </c>
      <c r="E139" s="9"/>
      <c r="F139" s="9">
        <v>100</v>
      </c>
      <c r="G139" s="9">
        <v>15</v>
      </c>
      <c r="H139" s="9"/>
      <c r="I139" s="17" t="s">
        <v>1079</v>
      </c>
      <c r="J139" s="10"/>
      <c r="K139" s="16" t="str">
        <f t="shared" si="2"/>
        <v>Comum</v>
      </c>
    </row>
    <row r="140" spans="1:11" ht="16.5">
      <c r="A140" s="11" t="s">
        <v>1080</v>
      </c>
      <c r="B140" s="11" t="s">
        <v>42</v>
      </c>
      <c r="C140" s="11">
        <f>COUNTIF($B$2:$B$608,Tabela3[[#This Row],[Type]])</f>
        <v>167</v>
      </c>
      <c r="D140" s="9" t="s">
        <v>835</v>
      </c>
      <c r="E140" s="9">
        <v>100</v>
      </c>
      <c r="F140" s="9">
        <v>75</v>
      </c>
      <c r="G140" s="9">
        <v>10</v>
      </c>
      <c r="H140" s="9"/>
      <c r="I140" s="17"/>
      <c r="J140" s="10"/>
      <c r="K140" s="16" t="str">
        <f t="shared" si="2"/>
        <v>Muito Forte</v>
      </c>
    </row>
    <row r="141" spans="1:11" ht="29.25">
      <c r="A141" s="11" t="s">
        <v>1081</v>
      </c>
      <c r="B141" s="11" t="s">
        <v>52</v>
      </c>
      <c r="C141" s="11">
        <f>COUNTIF($B$2:$B$608,Tabela3[[#This Row],[Type]])</f>
        <v>28</v>
      </c>
      <c r="D141" s="9" t="s">
        <v>830</v>
      </c>
      <c r="E141" s="9"/>
      <c r="F141" s="9"/>
      <c r="G141" s="9">
        <v>10</v>
      </c>
      <c r="H141" s="9"/>
      <c r="I141" s="17" t="s">
        <v>1082</v>
      </c>
      <c r="J141" s="10"/>
      <c r="K141" s="16" t="str">
        <f t="shared" si="2"/>
        <v>Comum</v>
      </c>
    </row>
    <row r="142" spans="1:11" ht="29.25">
      <c r="A142" s="11" t="s">
        <v>1083</v>
      </c>
      <c r="B142" s="11" t="s">
        <v>52</v>
      </c>
      <c r="C142" s="11">
        <f>COUNTIF($B$2:$B$608,Tabela3[[#This Row],[Type]])</f>
        <v>28</v>
      </c>
      <c r="D142" s="9" t="s">
        <v>830</v>
      </c>
      <c r="E142" s="9"/>
      <c r="F142" s="9"/>
      <c r="G142" s="9">
        <v>20</v>
      </c>
      <c r="H142" s="9"/>
      <c r="I142" s="17" t="s">
        <v>1084</v>
      </c>
      <c r="J142" s="10"/>
      <c r="K142" s="16" t="str">
        <f t="shared" si="2"/>
        <v>Comum</v>
      </c>
    </row>
    <row r="143" spans="1:11" ht="29.25">
      <c r="A143" s="11" t="s">
        <v>1085</v>
      </c>
      <c r="B143" s="11" t="s">
        <v>52</v>
      </c>
      <c r="C143" s="11">
        <f>COUNTIF($B$2:$B$608,Tabela3[[#This Row],[Type]])</f>
        <v>28</v>
      </c>
      <c r="D143" s="9" t="s">
        <v>825</v>
      </c>
      <c r="E143" s="9"/>
      <c r="F143" s="9">
        <v>100</v>
      </c>
      <c r="G143" s="9">
        <v>10</v>
      </c>
      <c r="H143" s="9"/>
      <c r="I143" s="17" t="s">
        <v>1086</v>
      </c>
      <c r="J143" s="10"/>
      <c r="K143" s="16" t="str">
        <f t="shared" si="2"/>
        <v>Comum</v>
      </c>
    </row>
    <row r="144" spans="1:11" ht="16.5">
      <c r="A144" s="11" t="s">
        <v>1087</v>
      </c>
      <c r="B144" s="11" t="s">
        <v>52</v>
      </c>
      <c r="C144" s="11">
        <f>COUNTIF($B$2:$B$608,Tabela3[[#This Row],[Type]])</f>
        <v>28</v>
      </c>
      <c r="D144" s="9" t="s">
        <v>825</v>
      </c>
      <c r="E144" s="9">
        <v>55</v>
      </c>
      <c r="F144" s="9">
        <v>95</v>
      </c>
      <c r="G144" s="9">
        <v>15</v>
      </c>
      <c r="H144" s="9"/>
      <c r="I144" s="17" t="s">
        <v>946</v>
      </c>
      <c r="J144" s="10">
        <v>100</v>
      </c>
      <c r="K144" s="16" t="str">
        <f t="shared" si="2"/>
        <v>Comum</v>
      </c>
    </row>
    <row r="145" spans="1:11" ht="16.5">
      <c r="A145" s="11" t="s">
        <v>1088</v>
      </c>
      <c r="B145" s="11" t="s">
        <v>170</v>
      </c>
      <c r="C145" s="11">
        <f>COUNTIF($B$2:$B$608,Tabela3[[#This Row],[Type]])</f>
        <v>31</v>
      </c>
      <c r="D145" s="9" t="s">
        <v>830</v>
      </c>
      <c r="E145" s="9"/>
      <c r="F145" s="9">
        <v>100</v>
      </c>
      <c r="G145" s="9">
        <v>15</v>
      </c>
      <c r="H145" s="9" t="s">
        <v>1089</v>
      </c>
      <c r="I145" s="17" t="s">
        <v>1090</v>
      </c>
      <c r="J145" s="10"/>
      <c r="K145" s="16" t="str">
        <f t="shared" si="2"/>
        <v>Comum</v>
      </c>
    </row>
    <row r="146" spans="1:11" ht="16.5">
      <c r="A146" s="11" t="s">
        <v>1091</v>
      </c>
      <c r="B146" s="11" t="s">
        <v>22</v>
      </c>
      <c r="C146" s="11">
        <f>COUNTIF($B$2:$B$608,Tabela3[[#This Row],[Type]])</f>
        <v>30</v>
      </c>
      <c r="D146" s="9" t="s">
        <v>825</v>
      </c>
      <c r="E146" s="9">
        <v>40</v>
      </c>
      <c r="F146" s="9">
        <v>100</v>
      </c>
      <c r="G146" s="9">
        <v>25</v>
      </c>
      <c r="H146" s="9"/>
      <c r="I146" s="17" t="s">
        <v>916</v>
      </c>
      <c r="J146" s="10">
        <v>10</v>
      </c>
      <c r="K146" s="16" t="str">
        <f t="shared" si="2"/>
        <v>Comum</v>
      </c>
    </row>
    <row r="147" spans="1:11" ht="29.25">
      <c r="A147" s="11" t="s">
        <v>1092</v>
      </c>
      <c r="B147" s="11" t="s">
        <v>42</v>
      </c>
      <c r="C147" s="11">
        <f>COUNTIF($B$2:$B$608,Tabela3[[#This Row],[Type]])</f>
        <v>167</v>
      </c>
      <c r="D147" s="9" t="s">
        <v>830</v>
      </c>
      <c r="E147" s="9"/>
      <c r="F147" s="9">
        <v>100</v>
      </c>
      <c r="G147" s="9">
        <v>5</v>
      </c>
      <c r="H147" s="9"/>
      <c r="I147" s="17" t="s">
        <v>1093</v>
      </c>
      <c r="J147" s="10"/>
      <c r="K147" s="16" t="str">
        <f t="shared" si="2"/>
        <v>Comum</v>
      </c>
    </row>
    <row r="148" spans="1:11" ht="29.25">
      <c r="A148" s="11" t="s">
        <v>1094</v>
      </c>
      <c r="B148" s="11" t="s">
        <v>42</v>
      </c>
      <c r="C148" s="11">
        <f>COUNTIF($B$2:$B$608,Tabela3[[#This Row],[Type]])</f>
        <v>167</v>
      </c>
      <c r="D148" s="9" t="s">
        <v>835</v>
      </c>
      <c r="E148" s="9"/>
      <c r="F148" s="9">
        <v>100</v>
      </c>
      <c r="G148" s="9">
        <v>5</v>
      </c>
      <c r="H148" s="9"/>
      <c r="I148" s="17" t="s">
        <v>1095</v>
      </c>
      <c r="J148" s="10"/>
      <c r="K148" s="16" t="str">
        <f t="shared" si="2"/>
        <v>Comum</v>
      </c>
    </row>
    <row r="149" spans="1:11" ht="29.25">
      <c r="A149" s="11" t="s">
        <v>1096</v>
      </c>
      <c r="B149" s="11" t="s">
        <v>42</v>
      </c>
      <c r="C149" s="11">
        <f>COUNTIF($B$2:$B$608,Tabela3[[#This Row],[Type]])</f>
        <v>167</v>
      </c>
      <c r="D149" s="9" t="s">
        <v>830</v>
      </c>
      <c r="E149" s="9"/>
      <c r="F149" s="9"/>
      <c r="G149" s="9">
        <v>10</v>
      </c>
      <c r="H149" s="9"/>
      <c r="I149" s="17" t="s">
        <v>1097</v>
      </c>
      <c r="J149" s="10"/>
      <c r="K149" s="16" t="str">
        <f t="shared" si="2"/>
        <v>Comum</v>
      </c>
    </row>
    <row r="150" spans="1:11" ht="29.25">
      <c r="A150" s="11" t="s">
        <v>1098</v>
      </c>
      <c r="B150" s="11" t="s">
        <v>16</v>
      </c>
      <c r="C150" s="11">
        <f>COUNTIF($B$2:$B$608,Tabela3[[#This Row],[Type]])</f>
        <v>37</v>
      </c>
      <c r="D150" s="9" t="s">
        <v>825</v>
      </c>
      <c r="E150" s="9">
        <v>80</v>
      </c>
      <c r="F150" s="9">
        <v>100</v>
      </c>
      <c r="G150" s="9">
        <v>10</v>
      </c>
      <c r="H150" s="9" t="s">
        <v>1099</v>
      </c>
      <c r="I150" s="17" t="s">
        <v>828</v>
      </c>
      <c r="J150" s="10">
        <v>10</v>
      </c>
      <c r="K150" s="16" t="str">
        <f t="shared" si="2"/>
        <v>Forte</v>
      </c>
    </row>
    <row r="151" spans="1:11" ht="29.25">
      <c r="A151" s="11" t="s">
        <v>1100</v>
      </c>
      <c r="B151" s="11" t="s">
        <v>42</v>
      </c>
      <c r="C151" s="11">
        <f>COUNTIF($B$2:$B$608,Tabela3[[#This Row],[Type]])</f>
        <v>167</v>
      </c>
      <c r="D151" s="9" t="s">
        <v>830</v>
      </c>
      <c r="E151" s="9"/>
      <c r="F151" s="9">
        <v>100</v>
      </c>
      <c r="G151" s="9">
        <v>15</v>
      </c>
      <c r="H151" s="9"/>
      <c r="I151" s="17" t="s">
        <v>1101</v>
      </c>
      <c r="J151" s="10"/>
      <c r="K151" s="16" t="str">
        <f t="shared" si="2"/>
        <v>Comum</v>
      </c>
    </row>
    <row r="152" spans="1:11" ht="29.25">
      <c r="A152" s="11" t="s">
        <v>1102</v>
      </c>
      <c r="B152" s="11" t="s">
        <v>22</v>
      </c>
      <c r="C152" s="11">
        <f>COUNTIF($B$2:$B$608,Tabela3[[#This Row],[Type]])</f>
        <v>30</v>
      </c>
      <c r="D152" s="9" t="s">
        <v>825</v>
      </c>
      <c r="E152" s="9">
        <v>150</v>
      </c>
      <c r="F152" s="9">
        <v>100</v>
      </c>
      <c r="G152" s="9">
        <v>5</v>
      </c>
      <c r="H152" s="9"/>
      <c r="I152" s="17" t="s">
        <v>1103</v>
      </c>
      <c r="J152" s="10"/>
      <c r="K152" s="16" t="str">
        <f t="shared" si="2"/>
        <v>Muito Forte</v>
      </c>
    </row>
    <row r="153" spans="1:11" ht="16.5">
      <c r="A153" s="11" t="s">
        <v>1104</v>
      </c>
      <c r="B153" s="11" t="s">
        <v>42</v>
      </c>
      <c r="C153" s="11">
        <f>COUNTIF($B$2:$B$608,Tabela3[[#This Row],[Type]])</f>
        <v>167</v>
      </c>
      <c r="D153" s="9" t="s">
        <v>835</v>
      </c>
      <c r="E153" s="9">
        <v>250</v>
      </c>
      <c r="F153" s="9">
        <v>100</v>
      </c>
      <c r="G153" s="9">
        <v>5</v>
      </c>
      <c r="H153" s="9" t="s">
        <v>1105</v>
      </c>
      <c r="I153" s="17" t="s">
        <v>1106</v>
      </c>
      <c r="J153" s="10"/>
      <c r="K153" s="16" t="str">
        <f t="shared" si="2"/>
        <v>Muito Forte</v>
      </c>
    </row>
    <row r="154" spans="1:11" ht="16.5">
      <c r="A154" s="11" t="s">
        <v>1107</v>
      </c>
      <c r="B154" s="11" t="s">
        <v>94</v>
      </c>
      <c r="C154" s="11">
        <f>COUNTIF($B$2:$B$608,Tabela3[[#This Row],[Type]])</f>
        <v>53</v>
      </c>
      <c r="D154" s="9" t="s">
        <v>825</v>
      </c>
      <c r="E154" s="9">
        <v>80</v>
      </c>
      <c r="F154" s="9">
        <v>100</v>
      </c>
      <c r="G154" s="9">
        <v>30</v>
      </c>
      <c r="H154" s="9"/>
      <c r="I154" s="17" t="s">
        <v>852</v>
      </c>
      <c r="J154" s="10">
        <v>10</v>
      </c>
      <c r="K154" s="16" t="str">
        <f t="shared" si="2"/>
        <v>Forte</v>
      </c>
    </row>
    <row r="155" spans="1:11" ht="16.5">
      <c r="A155" s="11" t="s">
        <v>1108</v>
      </c>
      <c r="B155" s="11" t="s">
        <v>42</v>
      </c>
      <c r="C155" s="11">
        <f>COUNTIF($B$2:$B$608,Tabela3[[#This Row],[Type]])</f>
        <v>167</v>
      </c>
      <c r="D155" s="9" t="s">
        <v>835</v>
      </c>
      <c r="E155" s="9">
        <v>80</v>
      </c>
      <c r="F155" s="9">
        <v>100</v>
      </c>
      <c r="G155" s="9">
        <v>5</v>
      </c>
      <c r="H155" s="9"/>
      <c r="I155" s="17" t="s">
        <v>861</v>
      </c>
      <c r="J155" s="10"/>
      <c r="K155" s="16" t="str">
        <f t="shared" si="2"/>
        <v>Forte</v>
      </c>
    </row>
    <row r="156" spans="1:11" ht="29.25">
      <c r="A156" s="11" t="s">
        <v>1109</v>
      </c>
      <c r="B156" s="11" t="s">
        <v>42</v>
      </c>
      <c r="C156" s="11">
        <f>COUNTIF($B$2:$B$608,Tabela3[[#This Row],[Type]])</f>
        <v>167</v>
      </c>
      <c r="D156" s="9" t="s">
        <v>835</v>
      </c>
      <c r="E156" s="9">
        <v>70</v>
      </c>
      <c r="F156" s="9">
        <v>100</v>
      </c>
      <c r="G156" s="9">
        <v>20</v>
      </c>
      <c r="H156" s="9" t="s">
        <v>1110</v>
      </c>
      <c r="I156" s="17" t="s">
        <v>1111</v>
      </c>
      <c r="J156" s="10"/>
      <c r="K156" s="16" t="str">
        <f t="shared" si="2"/>
        <v>Forte</v>
      </c>
    </row>
    <row r="157" spans="1:11" ht="16.5">
      <c r="A157" s="11" t="s">
        <v>1112</v>
      </c>
      <c r="B157" s="11" t="s">
        <v>170</v>
      </c>
      <c r="C157" s="11">
        <f>COUNTIF($B$2:$B$608,Tabela3[[#This Row],[Type]])</f>
        <v>31</v>
      </c>
      <c r="D157" s="9" t="s">
        <v>835</v>
      </c>
      <c r="E157" s="9">
        <v>60</v>
      </c>
      <c r="F157" s="9" t="s">
        <v>841</v>
      </c>
      <c r="G157" s="9">
        <v>20</v>
      </c>
      <c r="H157" s="9"/>
      <c r="I157" s="17" t="s">
        <v>843</v>
      </c>
      <c r="J157" s="10"/>
      <c r="K157" s="16" t="str">
        <f t="shared" si="2"/>
        <v>Comum</v>
      </c>
    </row>
    <row r="158" spans="1:11" ht="16.5">
      <c r="A158" s="11" t="s">
        <v>1113</v>
      </c>
      <c r="B158" s="11" t="s">
        <v>64</v>
      </c>
      <c r="C158" s="11">
        <f>COUNTIF($B$2:$B$608,Tabela3[[#This Row],[Type]])</f>
        <v>16</v>
      </c>
      <c r="D158" s="9" t="s">
        <v>830</v>
      </c>
      <c r="E158" s="9"/>
      <c r="F158" s="9"/>
      <c r="G158" s="9">
        <v>10</v>
      </c>
      <c r="H158" s="9"/>
      <c r="I158" s="17" t="s">
        <v>1114</v>
      </c>
      <c r="J158" s="10"/>
      <c r="K158" s="16" t="str">
        <f t="shared" si="2"/>
        <v>Comum</v>
      </c>
    </row>
    <row r="159" spans="1:11" ht="16.5">
      <c r="A159" s="11" t="s">
        <v>1115</v>
      </c>
      <c r="B159" s="11" t="s">
        <v>64</v>
      </c>
      <c r="C159" s="11">
        <f>COUNTIF($B$2:$B$608,Tabela3[[#This Row],[Type]])</f>
        <v>16</v>
      </c>
      <c r="D159" s="9" t="s">
        <v>825</v>
      </c>
      <c r="E159" s="9">
        <v>40</v>
      </c>
      <c r="F159" s="9">
        <v>100</v>
      </c>
      <c r="G159" s="9">
        <v>30</v>
      </c>
      <c r="H159" s="9"/>
      <c r="I159" s="17"/>
      <c r="J159" s="10"/>
      <c r="K159" s="16" t="str">
        <f t="shared" si="2"/>
        <v>Comum</v>
      </c>
    </row>
    <row r="160" spans="1:11" ht="29.25">
      <c r="A160" s="11" t="s">
        <v>1116</v>
      </c>
      <c r="B160" s="11" t="s">
        <v>42</v>
      </c>
      <c r="C160" s="11">
        <f>COUNTIF($B$2:$B$608,Tabela3[[#This Row],[Type]])</f>
        <v>167</v>
      </c>
      <c r="D160" s="9" t="s">
        <v>835</v>
      </c>
      <c r="E160" s="9">
        <v>40</v>
      </c>
      <c r="F160" s="9">
        <v>100</v>
      </c>
      <c r="G160" s="9">
        <v>10</v>
      </c>
      <c r="H160" s="9"/>
      <c r="I160" s="17" t="s">
        <v>1117</v>
      </c>
      <c r="J160" s="10">
        <v>100</v>
      </c>
      <c r="K160" s="16" t="str">
        <f t="shared" si="2"/>
        <v>Comum</v>
      </c>
    </row>
    <row r="161" spans="1:11" ht="29.25">
      <c r="A161" s="11" t="s">
        <v>1118</v>
      </c>
      <c r="B161" s="11" t="s">
        <v>170</v>
      </c>
      <c r="C161" s="11">
        <f>COUNTIF($B$2:$B$608,Tabela3[[#This Row],[Type]])</f>
        <v>31</v>
      </c>
      <c r="D161" s="9" t="s">
        <v>830</v>
      </c>
      <c r="E161" s="9"/>
      <c r="F161" s="9">
        <v>100</v>
      </c>
      <c r="G161" s="9">
        <v>20</v>
      </c>
      <c r="H161" s="9"/>
      <c r="I161" s="17" t="s">
        <v>833</v>
      </c>
      <c r="J161" s="10"/>
      <c r="K161" s="16" t="str">
        <f t="shared" si="2"/>
        <v>Comum</v>
      </c>
    </row>
    <row r="162" spans="1:11" ht="29.25">
      <c r="A162" s="11" t="s">
        <v>1119</v>
      </c>
      <c r="B162" s="11" t="s">
        <v>42</v>
      </c>
      <c r="C162" s="11">
        <f>COUNTIF($B$2:$B$608,Tabela3[[#This Row],[Type]])</f>
        <v>167</v>
      </c>
      <c r="D162" s="9" t="s">
        <v>835</v>
      </c>
      <c r="E162" s="9">
        <v>40</v>
      </c>
      <c r="F162" s="9">
        <v>100</v>
      </c>
      <c r="G162" s="9">
        <v>40</v>
      </c>
      <c r="H162" s="9" t="s">
        <v>1120</v>
      </c>
      <c r="I162" s="17" t="s">
        <v>1121</v>
      </c>
      <c r="J162" s="10"/>
      <c r="K162" s="16" t="str">
        <f t="shared" si="2"/>
        <v>Comum</v>
      </c>
    </row>
    <row r="163" spans="1:11" ht="16.5">
      <c r="A163" s="11" t="s">
        <v>1122</v>
      </c>
      <c r="B163" s="11" t="s">
        <v>25</v>
      </c>
      <c r="C163" s="11">
        <f>COUNTIF($B$2:$B$608,Tabela3[[#This Row],[Type]])</f>
        <v>23</v>
      </c>
      <c r="D163" s="9" t="s">
        <v>830</v>
      </c>
      <c r="E163" s="9"/>
      <c r="F163" s="9">
        <v>100</v>
      </c>
      <c r="G163" s="9">
        <v>15</v>
      </c>
      <c r="H163" s="9"/>
      <c r="I163" s="17" t="s">
        <v>962</v>
      </c>
      <c r="J163" s="10"/>
      <c r="K163" s="16" t="str">
        <f t="shared" si="2"/>
        <v>Comum</v>
      </c>
    </row>
    <row r="164" spans="1:11" ht="29.25">
      <c r="A164" s="11" t="s">
        <v>1123</v>
      </c>
      <c r="B164" s="11" t="s">
        <v>42</v>
      </c>
      <c r="C164" s="11">
        <f>COUNTIF($B$2:$B$608,Tabela3[[#This Row],[Type]])</f>
        <v>167</v>
      </c>
      <c r="D164" s="9" t="s">
        <v>835</v>
      </c>
      <c r="E164" s="9">
        <v>30</v>
      </c>
      <c r="F164" s="9">
        <v>100</v>
      </c>
      <c r="G164" s="9">
        <v>10</v>
      </c>
      <c r="H164" s="9"/>
      <c r="I164" s="17" t="s">
        <v>1124</v>
      </c>
      <c r="J164" s="10"/>
      <c r="K164" s="16" t="str">
        <f t="shared" si="2"/>
        <v>Comum</v>
      </c>
    </row>
    <row r="165" spans="1:11" ht="29.25">
      <c r="A165" s="11" t="s">
        <v>1125</v>
      </c>
      <c r="B165" s="11" t="s">
        <v>35</v>
      </c>
      <c r="C165" s="11">
        <f>COUNTIF($B$2:$B$608,Tabela3[[#This Row],[Type]])</f>
        <v>25</v>
      </c>
      <c r="D165" s="9" t="s">
        <v>835</v>
      </c>
      <c r="E165" s="9">
        <v>30</v>
      </c>
      <c r="F165" s="9">
        <v>100</v>
      </c>
      <c r="G165" s="9">
        <v>25</v>
      </c>
      <c r="H165" s="9"/>
      <c r="I165" s="17" t="s">
        <v>1126</v>
      </c>
      <c r="J165" s="10"/>
      <c r="K165" s="16" t="str">
        <f t="shared" si="2"/>
        <v>Comum</v>
      </c>
    </row>
    <row r="166" spans="1:11" ht="16.5">
      <c r="A166" s="11" t="s">
        <v>1127</v>
      </c>
      <c r="B166" s="11" t="s">
        <v>22</v>
      </c>
      <c r="C166" s="11">
        <f>COUNTIF($B$2:$B$608,Tabela3[[#This Row],[Type]])</f>
        <v>30</v>
      </c>
      <c r="D166" s="9" t="s">
        <v>825</v>
      </c>
      <c r="E166" s="9">
        <v>80</v>
      </c>
      <c r="F166" s="9">
        <v>100</v>
      </c>
      <c r="G166" s="9">
        <v>10</v>
      </c>
      <c r="H166" s="9"/>
      <c r="I166" s="17" t="s">
        <v>960</v>
      </c>
      <c r="J166" s="10">
        <v>50</v>
      </c>
      <c r="K166" s="16" t="str">
        <f t="shared" si="2"/>
        <v>Forte</v>
      </c>
    </row>
    <row r="167" spans="1:11" ht="29.25">
      <c r="A167" s="11" t="s">
        <v>1128</v>
      </c>
      <c r="B167" s="11" t="s">
        <v>86</v>
      </c>
      <c r="C167" s="11">
        <f>COUNTIF($B$2:$B$608,Tabela3[[#This Row],[Type]])</f>
        <v>42</v>
      </c>
      <c r="D167" s="9" t="s">
        <v>825</v>
      </c>
      <c r="E167" s="9"/>
      <c r="F167" s="9">
        <v>100</v>
      </c>
      <c r="G167" s="9">
        <v>5</v>
      </c>
      <c r="H167" s="9"/>
      <c r="I167" s="17" t="s">
        <v>1129</v>
      </c>
      <c r="J167" s="10"/>
      <c r="K167" s="16" t="str">
        <f t="shared" si="2"/>
        <v>Comum</v>
      </c>
    </row>
    <row r="168" spans="1:11" ht="16.5">
      <c r="A168" s="11" t="s">
        <v>1130</v>
      </c>
      <c r="B168" s="11" t="s">
        <v>22</v>
      </c>
      <c r="C168" s="11">
        <f>COUNTIF($B$2:$B$608,Tabela3[[#This Row],[Type]])</f>
        <v>30</v>
      </c>
      <c r="D168" s="9" t="s">
        <v>825</v>
      </c>
      <c r="E168" s="9">
        <v>120</v>
      </c>
      <c r="F168" s="9">
        <v>85</v>
      </c>
      <c r="G168" s="9">
        <v>5</v>
      </c>
      <c r="H168" s="9" t="s">
        <v>1131</v>
      </c>
      <c r="I168" s="17" t="s">
        <v>916</v>
      </c>
      <c r="J168" s="10">
        <v>10</v>
      </c>
      <c r="K168" s="16" t="str">
        <f t="shared" si="2"/>
        <v>Muito Forte</v>
      </c>
    </row>
    <row r="169" spans="1:11" ht="29.25">
      <c r="A169" s="11" t="s">
        <v>1132</v>
      </c>
      <c r="B169" s="11" t="s">
        <v>22</v>
      </c>
      <c r="C169" s="11">
        <f>COUNTIF($B$2:$B$608,Tabela3[[#This Row],[Type]])</f>
        <v>30</v>
      </c>
      <c r="D169" s="9" t="s">
        <v>835</v>
      </c>
      <c r="E169" s="9">
        <v>65</v>
      </c>
      <c r="F169" s="9">
        <v>95</v>
      </c>
      <c r="G169" s="9">
        <v>15</v>
      </c>
      <c r="H169" s="9"/>
      <c r="I169" s="17" t="s">
        <v>1133</v>
      </c>
      <c r="J169" s="10">
        <v>10</v>
      </c>
      <c r="K169" s="16" t="str">
        <f t="shared" si="2"/>
        <v>Comum</v>
      </c>
    </row>
    <row r="170" spans="1:11" ht="29.25">
      <c r="A170" s="11" t="s">
        <v>1134</v>
      </c>
      <c r="B170" s="11" t="s">
        <v>22</v>
      </c>
      <c r="C170" s="11">
        <f>COUNTIF($B$2:$B$608,Tabela3[[#This Row],[Type]])</f>
        <v>30</v>
      </c>
      <c r="D170" s="9" t="s">
        <v>825</v>
      </c>
      <c r="E170" s="9">
        <v>50</v>
      </c>
      <c r="F170" s="9">
        <v>100</v>
      </c>
      <c r="G170" s="9">
        <v>10</v>
      </c>
      <c r="H170" s="9"/>
      <c r="I170" s="17" t="s">
        <v>1135</v>
      </c>
      <c r="J170" s="10"/>
      <c r="K170" s="16" t="str">
        <f t="shared" si="2"/>
        <v>Comum</v>
      </c>
    </row>
    <row r="171" spans="1:11" ht="16.5">
      <c r="A171" s="11" t="s">
        <v>1136</v>
      </c>
      <c r="B171" s="11" t="s">
        <v>22</v>
      </c>
      <c r="C171" s="11">
        <f>COUNTIF($B$2:$B$608,Tabela3[[#This Row],[Type]])</f>
        <v>30</v>
      </c>
      <c r="D171" s="9" t="s">
        <v>835</v>
      </c>
      <c r="E171" s="9">
        <v>75</v>
      </c>
      <c r="F171" s="9">
        <v>100</v>
      </c>
      <c r="G171" s="9">
        <v>15</v>
      </c>
      <c r="H171" s="9"/>
      <c r="I171" s="17" t="s">
        <v>916</v>
      </c>
      <c r="J171" s="10">
        <v>10</v>
      </c>
      <c r="K171" s="16" t="str">
        <f t="shared" si="2"/>
        <v>Forte</v>
      </c>
    </row>
    <row r="172" spans="1:11" ht="29.25">
      <c r="A172" s="11" t="s">
        <v>1137</v>
      </c>
      <c r="B172" s="11" t="s">
        <v>22</v>
      </c>
      <c r="C172" s="11">
        <f>COUNTIF($B$2:$B$608,Tabela3[[#This Row],[Type]])</f>
        <v>30</v>
      </c>
      <c r="D172" s="9" t="s">
        <v>825</v>
      </c>
      <c r="E172" s="9">
        <v>35</v>
      </c>
      <c r="F172" s="9">
        <v>85</v>
      </c>
      <c r="G172" s="9">
        <v>15</v>
      </c>
      <c r="H172" s="9"/>
      <c r="I172" s="17" t="s">
        <v>904</v>
      </c>
      <c r="J172" s="10"/>
      <c r="K172" s="16" t="str">
        <f t="shared" si="2"/>
        <v>Comum</v>
      </c>
    </row>
    <row r="173" spans="1:11" ht="16.5">
      <c r="A173" s="11" t="s">
        <v>1138</v>
      </c>
      <c r="B173" s="11" t="s">
        <v>55</v>
      </c>
      <c r="C173" s="11">
        <f>COUNTIF($B$2:$B$608,Tabela3[[#This Row],[Type]])</f>
        <v>19</v>
      </c>
      <c r="D173" s="9" t="s">
        <v>835</v>
      </c>
      <c r="E173" s="9"/>
      <c r="F173" s="9"/>
      <c r="G173" s="9">
        <v>5</v>
      </c>
      <c r="H173" s="9"/>
      <c r="I173" s="17" t="s">
        <v>1139</v>
      </c>
      <c r="J173" s="10"/>
      <c r="K173" s="16" t="str">
        <f t="shared" si="2"/>
        <v>Comum</v>
      </c>
    </row>
    <row r="174" spans="1:11" ht="29.25">
      <c r="A174" s="11" t="s">
        <v>1140</v>
      </c>
      <c r="B174" s="11" t="s">
        <v>42</v>
      </c>
      <c r="C174" s="11">
        <f>COUNTIF($B$2:$B$608,Tabela3[[#This Row],[Type]])</f>
        <v>167</v>
      </c>
      <c r="D174" s="9" t="s">
        <v>835</v>
      </c>
      <c r="E174" s="9"/>
      <c r="F174" s="9">
        <v>100</v>
      </c>
      <c r="G174" s="9">
        <v>15</v>
      </c>
      <c r="H174" s="9"/>
      <c r="I174" s="17" t="s">
        <v>1141</v>
      </c>
      <c r="J174" s="10"/>
      <c r="K174" s="16" t="str">
        <f t="shared" si="2"/>
        <v>Comum</v>
      </c>
    </row>
    <row r="175" spans="1:11" ht="16.5">
      <c r="A175" s="11" t="s">
        <v>1142</v>
      </c>
      <c r="B175" s="11" t="s">
        <v>22</v>
      </c>
      <c r="C175" s="11">
        <f>COUNTIF($B$2:$B$608,Tabela3[[#This Row],[Type]])</f>
        <v>30</v>
      </c>
      <c r="D175" s="9" t="s">
        <v>825</v>
      </c>
      <c r="E175" s="9">
        <v>70</v>
      </c>
      <c r="F175" s="9">
        <v>100</v>
      </c>
      <c r="G175" s="9">
        <v>15</v>
      </c>
      <c r="H175" s="9"/>
      <c r="I175" s="17" t="s">
        <v>1143</v>
      </c>
      <c r="J175" s="10"/>
      <c r="K175" s="16" t="str">
        <f t="shared" si="2"/>
        <v>Forte</v>
      </c>
    </row>
    <row r="176" spans="1:11" ht="16.5">
      <c r="A176" s="11" t="s">
        <v>1144</v>
      </c>
      <c r="B176" s="11" t="s">
        <v>22</v>
      </c>
      <c r="C176" s="11">
        <f>COUNTIF($B$2:$B$608,Tabela3[[#This Row],[Type]])</f>
        <v>30</v>
      </c>
      <c r="D176" s="9" t="s">
        <v>835</v>
      </c>
      <c r="E176" s="9">
        <v>50</v>
      </c>
      <c r="F176" s="9">
        <v>100</v>
      </c>
      <c r="G176" s="9">
        <v>20</v>
      </c>
      <c r="H176" s="9" t="s">
        <v>1145</v>
      </c>
      <c r="I176" s="17" t="s">
        <v>1146</v>
      </c>
      <c r="J176" s="10">
        <v>100</v>
      </c>
      <c r="K176" s="16" t="str">
        <f t="shared" si="2"/>
        <v>Comum</v>
      </c>
    </row>
    <row r="177" spans="1:11" ht="16.5">
      <c r="A177" s="11" t="s">
        <v>1147</v>
      </c>
      <c r="B177" s="11" t="s">
        <v>22</v>
      </c>
      <c r="C177" s="11">
        <f>COUNTIF($B$2:$B$608,Tabela3[[#This Row],[Type]])</f>
        <v>30</v>
      </c>
      <c r="D177" s="9" t="s">
        <v>835</v>
      </c>
      <c r="E177" s="9">
        <v>60</v>
      </c>
      <c r="F177" s="9">
        <v>100</v>
      </c>
      <c r="G177" s="9">
        <v>25</v>
      </c>
      <c r="H177" s="9"/>
      <c r="I177" s="17" t="s">
        <v>916</v>
      </c>
      <c r="J177" s="10">
        <v>10</v>
      </c>
      <c r="K177" s="16" t="str">
        <f t="shared" si="2"/>
        <v>Comum</v>
      </c>
    </row>
    <row r="178" spans="1:11" ht="16.5">
      <c r="A178" s="11" t="s">
        <v>1148</v>
      </c>
      <c r="B178" s="11" t="s">
        <v>22</v>
      </c>
      <c r="C178" s="11">
        <f>COUNTIF($B$2:$B$608,Tabela3[[#This Row],[Type]])</f>
        <v>30</v>
      </c>
      <c r="D178" s="9" t="s">
        <v>825</v>
      </c>
      <c r="E178" s="9">
        <v>95</v>
      </c>
      <c r="F178" s="9">
        <v>100</v>
      </c>
      <c r="G178" s="9">
        <v>15</v>
      </c>
      <c r="H178" s="9" t="s">
        <v>1149</v>
      </c>
      <c r="I178" s="17" t="s">
        <v>916</v>
      </c>
      <c r="J178" s="10">
        <v>10</v>
      </c>
      <c r="K178" s="16" t="str">
        <f t="shared" si="2"/>
        <v>Forte</v>
      </c>
    </row>
    <row r="179" spans="1:11" ht="29.25">
      <c r="A179" s="11" t="s">
        <v>1150</v>
      </c>
      <c r="B179" s="11" t="s">
        <v>22</v>
      </c>
      <c r="C179" s="11">
        <f>COUNTIF($B$2:$B$608,Tabela3[[#This Row],[Type]])</f>
        <v>30</v>
      </c>
      <c r="D179" s="9" t="s">
        <v>835</v>
      </c>
      <c r="E179" s="9">
        <v>120</v>
      </c>
      <c r="F179" s="9">
        <v>100</v>
      </c>
      <c r="G179" s="9">
        <v>15</v>
      </c>
      <c r="H179" s="9"/>
      <c r="I179" s="17" t="s">
        <v>1151</v>
      </c>
      <c r="J179" s="10">
        <v>10</v>
      </c>
      <c r="K179" s="16" t="str">
        <f t="shared" si="2"/>
        <v>Muito Forte</v>
      </c>
    </row>
    <row r="180" spans="1:11" ht="16.5">
      <c r="A180" s="11" t="s">
        <v>1152</v>
      </c>
      <c r="B180" s="11" t="s">
        <v>42</v>
      </c>
      <c r="C180" s="11">
        <f>COUNTIF($B$2:$B$608,Tabela3[[#This Row],[Type]])</f>
        <v>167</v>
      </c>
      <c r="D180" s="9" t="s">
        <v>830</v>
      </c>
      <c r="E180" s="9"/>
      <c r="F180" s="9">
        <v>100</v>
      </c>
      <c r="G180" s="9">
        <v>20</v>
      </c>
      <c r="H180" s="9" t="s">
        <v>1153</v>
      </c>
      <c r="I180" s="17" t="s">
        <v>1154</v>
      </c>
      <c r="J180" s="10"/>
      <c r="K180" s="16" t="str">
        <f t="shared" si="2"/>
        <v>Comum</v>
      </c>
    </row>
    <row r="181" spans="1:11" ht="29.25">
      <c r="A181" s="11" t="s">
        <v>1155</v>
      </c>
      <c r="B181" s="11" t="s">
        <v>115</v>
      </c>
      <c r="C181" s="11">
        <f>COUNTIF($B$2:$B$608,Tabela3[[#This Row],[Type]])</f>
        <v>19</v>
      </c>
      <c r="D181" s="9" t="s">
        <v>825</v>
      </c>
      <c r="E181" s="9">
        <v>80</v>
      </c>
      <c r="F181" s="9">
        <v>100</v>
      </c>
      <c r="G181" s="9">
        <v>10</v>
      </c>
      <c r="H181" s="9" t="s">
        <v>1156</v>
      </c>
      <c r="I181" s="17" t="s">
        <v>828</v>
      </c>
      <c r="J181" s="10">
        <v>10</v>
      </c>
      <c r="K181" s="16" t="str">
        <f t="shared" si="2"/>
        <v>Forte</v>
      </c>
    </row>
    <row r="182" spans="1:11" ht="29.25">
      <c r="A182" s="11" t="s">
        <v>1157</v>
      </c>
      <c r="B182" s="11" t="s">
        <v>170</v>
      </c>
      <c r="C182" s="11">
        <f>COUNTIF($B$2:$B$608,Tabela3[[#This Row],[Type]])</f>
        <v>31</v>
      </c>
      <c r="D182" s="9" t="s">
        <v>830</v>
      </c>
      <c r="E182" s="9"/>
      <c r="F182" s="9">
        <v>100</v>
      </c>
      <c r="G182" s="9">
        <v>15</v>
      </c>
      <c r="H182" s="9"/>
      <c r="I182" s="17" t="s">
        <v>1158</v>
      </c>
      <c r="J182" s="10"/>
      <c r="K182" s="16" t="str">
        <f t="shared" si="2"/>
        <v>Comum</v>
      </c>
    </row>
    <row r="183" spans="1:11" ht="16.5">
      <c r="A183" s="11" t="s">
        <v>1159</v>
      </c>
      <c r="B183" s="11" t="s">
        <v>170</v>
      </c>
      <c r="C183" s="11">
        <f>COUNTIF($B$2:$B$608,Tabela3[[#This Row],[Type]])</f>
        <v>31</v>
      </c>
      <c r="D183" s="9" t="s">
        <v>835</v>
      </c>
      <c r="E183" s="9"/>
      <c r="F183" s="9">
        <v>100</v>
      </c>
      <c r="G183" s="9">
        <v>10</v>
      </c>
      <c r="H183" s="9" t="s">
        <v>1160</v>
      </c>
      <c r="I183" s="17" t="s">
        <v>1161</v>
      </c>
      <c r="J183" s="10"/>
      <c r="K183" s="16" t="str">
        <f t="shared" si="2"/>
        <v>Comum</v>
      </c>
    </row>
    <row r="184" spans="1:11" ht="29.25">
      <c r="A184" s="11" t="s">
        <v>1162</v>
      </c>
      <c r="B184" s="11" t="s">
        <v>64</v>
      </c>
      <c r="C184" s="11">
        <f>COUNTIF($B$2:$B$608,Tabela3[[#This Row],[Type]])</f>
        <v>16</v>
      </c>
      <c r="D184" s="9" t="s">
        <v>830</v>
      </c>
      <c r="E184" s="9"/>
      <c r="F184" s="9"/>
      <c r="G184" s="9">
        <v>10</v>
      </c>
      <c r="H184" s="9"/>
      <c r="I184" s="17" t="s">
        <v>1163</v>
      </c>
      <c r="J184" s="10"/>
      <c r="K184" s="16" t="str">
        <f t="shared" si="2"/>
        <v>Comum</v>
      </c>
    </row>
    <row r="185" spans="1:11" ht="29.25">
      <c r="A185" s="11" t="s">
        <v>1164</v>
      </c>
      <c r="B185" s="11" t="s">
        <v>25</v>
      </c>
      <c r="C185" s="11">
        <f>COUNTIF($B$2:$B$608,Tabela3[[#This Row],[Type]])</f>
        <v>23</v>
      </c>
      <c r="D185" s="9" t="s">
        <v>835</v>
      </c>
      <c r="E185" s="9">
        <v>90</v>
      </c>
      <c r="F185" s="9">
        <v>95</v>
      </c>
      <c r="G185" s="9">
        <v>15</v>
      </c>
      <c r="H185" s="9" t="s">
        <v>1165</v>
      </c>
      <c r="I185" s="17" t="s">
        <v>1166</v>
      </c>
      <c r="J185" s="10"/>
      <c r="K185" s="16" t="str">
        <f t="shared" si="2"/>
        <v>Forte</v>
      </c>
    </row>
    <row r="186" spans="1:11" ht="29.25">
      <c r="A186" s="11" t="s">
        <v>1167</v>
      </c>
      <c r="B186" s="11" t="s">
        <v>86</v>
      </c>
      <c r="C186" s="11">
        <f>COUNTIF($B$2:$B$608,Tabela3[[#This Row],[Type]])</f>
        <v>42</v>
      </c>
      <c r="D186" s="9" t="s">
        <v>835</v>
      </c>
      <c r="E186" s="9">
        <v>80</v>
      </c>
      <c r="F186" s="9">
        <v>95</v>
      </c>
      <c r="G186" s="9">
        <v>10</v>
      </c>
      <c r="H186" s="9"/>
      <c r="I186" s="17" t="s">
        <v>1168</v>
      </c>
      <c r="J186" s="10"/>
      <c r="K186" s="16" t="str">
        <f t="shared" si="2"/>
        <v>Forte</v>
      </c>
    </row>
    <row r="187" spans="1:11" ht="29.25">
      <c r="A187" s="11" t="s">
        <v>1169</v>
      </c>
      <c r="B187" s="11" t="s">
        <v>86</v>
      </c>
      <c r="C187" s="11">
        <f>COUNTIF($B$2:$B$608,Tabela3[[#This Row],[Type]])</f>
        <v>42</v>
      </c>
      <c r="D187" s="9" t="s">
        <v>825</v>
      </c>
      <c r="E187" s="9">
        <v>120</v>
      </c>
      <c r="F187" s="9">
        <v>70</v>
      </c>
      <c r="G187" s="9">
        <v>5</v>
      </c>
      <c r="H187" s="9" t="s">
        <v>1170</v>
      </c>
      <c r="I187" s="17" t="s">
        <v>828</v>
      </c>
      <c r="J187" s="10">
        <v>10</v>
      </c>
      <c r="K187" s="16" t="str">
        <f t="shared" si="2"/>
        <v>Muito Forte</v>
      </c>
    </row>
    <row r="188" spans="1:11" ht="16.5">
      <c r="A188" s="11" t="s">
        <v>1171</v>
      </c>
      <c r="B188" s="11" t="s">
        <v>42</v>
      </c>
      <c r="C188" s="11">
        <f>COUNTIF($B$2:$B$608,Tabela3[[#This Row],[Type]])</f>
        <v>167</v>
      </c>
      <c r="D188" s="9" t="s">
        <v>830</v>
      </c>
      <c r="E188" s="9"/>
      <c r="F188" s="9"/>
      <c r="G188" s="9">
        <v>30</v>
      </c>
      <c r="H188" s="9"/>
      <c r="I188" s="17" t="s">
        <v>1172</v>
      </c>
      <c r="J188" s="10"/>
      <c r="K188" s="16" t="str">
        <f t="shared" si="2"/>
        <v>Comum</v>
      </c>
    </row>
    <row r="189" spans="1:11" ht="29.25">
      <c r="A189" s="11" t="s">
        <v>1173</v>
      </c>
      <c r="B189" s="11" t="s">
        <v>86</v>
      </c>
      <c r="C189" s="11">
        <f>COUNTIF($B$2:$B$608,Tabela3[[#This Row],[Type]])</f>
        <v>42</v>
      </c>
      <c r="D189" s="9" t="s">
        <v>835</v>
      </c>
      <c r="E189" s="9">
        <v>150</v>
      </c>
      <c r="F189" s="9">
        <v>100</v>
      </c>
      <c r="G189" s="9">
        <v>20</v>
      </c>
      <c r="H189" s="9"/>
      <c r="I189" s="17" t="s">
        <v>1174</v>
      </c>
      <c r="J189" s="10"/>
      <c r="K189" s="16" t="str">
        <f t="shared" si="2"/>
        <v>Muito Forte</v>
      </c>
    </row>
    <row r="190" spans="1:11" ht="29.25">
      <c r="A190" s="11" t="s">
        <v>1175</v>
      </c>
      <c r="B190" s="11" t="s">
        <v>42</v>
      </c>
      <c r="C190" s="11">
        <f>COUNTIF($B$2:$B$608,Tabela3[[#This Row],[Type]])</f>
        <v>167</v>
      </c>
      <c r="D190" s="9" t="s">
        <v>830</v>
      </c>
      <c r="E190" s="9"/>
      <c r="F190" s="9"/>
      <c r="G190" s="9">
        <v>20</v>
      </c>
      <c r="H190" s="9"/>
      <c r="I190" s="17" t="s">
        <v>1176</v>
      </c>
      <c r="J190" s="10"/>
      <c r="K190" s="16" t="str">
        <f t="shared" si="2"/>
        <v>Comum</v>
      </c>
    </row>
    <row r="191" spans="1:11" ht="16.5">
      <c r="A191" s="11" t="s">
        <v>1177</v>
      </c>
      <c r="B191" s="11" t="s">
        <v>86</v>
      </c>
      <c r="C191" s="11">
        <f>COUNTIF($B$2:$B$608,Tabela3[[#This Row],[Type]])</f>
        <v>42</v>
      </c>
      <c r="D191" s="9" t="s">
        <v>835</v>
      </c>
      <c r="E191" s="9">
        <v>60</v>
      </c>
      <c r="F191" s="9">
        <v>100</v>
      </c>
      <c r="G191" s="9">
        <v>10</v>
      </c>
      <c r="H191" s="9"/>
      <c r="I191" s="17" t="s">
        <v>918</v>
      </c>
      <c r="J191" s="10">
        <v>30</v>
      </c>
      <c r="K191" s="16" t="str">
        <f t="shared" si="2"/>
        <v>Comum</v>
      </c>
    </row>
    <row r="192" spans="1:11" ht="57.75">
      <c r="A192" s="11" t="s">
        <v>1178</v>
      </c>
      <c r="B192" s="11" t="s">
        <v>42</v>
      </c>
      <c r="C192" s="11">
        <f>COUNTIF($B$2:$B$608,Tabela3[[#This Row],[Type]])</f>
        <v>167</v>
      </c>
      <c r="D192" s="9" t="s">
        <v>830</v>
      </c>
      <c r="E192" s="9"/>
      <c r="F192" s="9"/>
      <c r="G192" s="9">
        <v>40</v>
      </c>
      <c r="H192" s="9"/>
      <c r="I192" s="17" t="s">
        <v>1179</v>
      </c>
      <c r="J192" s="10"/>
      <c r="K192" s="16" t="str">
        <f t="shared" si="2"/>
        <v>Comum</v>
      </c>
    </row>
    <row r="193" spans="1:11" ht="16.5">
      <c r="A193" s="11" t="s">
        <v>1180</v>
      </c>
      <c r="B193" s="11" t="s">
        <v>16</v>
      </c>
      <c r="C193" s="11">
        <f>COUNTIF($B$2:$B$608,Tabela3[[#This Row],[Type]])</f>
        <v>37</v>
      </c>
      <c r="D193" s="9" t="s">
        <v>830</v>
      </c>
      <c r="E193" s="9"/>
      <c r="F193" s="9">
        <v>100</v>
      </c>
      <c r="G193" s="9">
        <v>20</v>
      </c>
      <c r="H193" s="9"/>
      <c r="I193" s="17" t="s">
        <v>1181</v>
      </c>
      <c r="J193" s="10"/>
      <c r="K193" s="16" t="str">
        <f t="shared" si="2"/>
        <v>Comum</v>
      </c>
    </row>
    <row r="194" spans="1:11" ht="16.5">
      <c r="A194" s="11" t="s">
        <v>1182</v>
      </c>
      <c r="B194" s="11" t="s">
        <v>170</v>
      </c>
      <c r="C194" s="11">
        <f>COUNTIF($B$2:$B$608,Tabela3[[#This Row],[Type]])</f>
        <v>31</v>
      </c>
      <c r="D194" s="9" t="s">
        <v>835</v>
      </c>
      <c r="E194" s="9">
        <v>95</v>
      </c>
      <c r="F194" s="9">
        <v>100</v>
      </c>
      <c r="G194" s="9">
        <v>15</v>
      </c>
      <c r="H194" s="9"/>
      <c r="I194" s="17" t="s">
        <v>1183</v>
      </c>
      <c r="J194" s="10"/>
      <c r="K194" s="16" t="str">
        <f t="shared" si="2"/>
        <v>Forte</v>
      </c>
    </row>
    <row r="195" spans="1:11" ht="29.25">
      <c r="A195" s="11" t="s">
        <v>1184</v>
      </c>
      <c r="B195" s="11" t="s">
        <v>122</v>
      </c>
      <c r="C195" s="11">
        <f>COUNTIF($B$2:$B$608,Tabela3[[#This Row],[Type]])</f>
        <v>21</v>
      </c>
      <c r="D195" s="9" t="s">
        <v>835</v>
      </c>
      <c r="E195" s="9">
        <v>140</v>
      </c>
      <c r="F195" s="9">
        <v>90</v>
      </c>
      <c r="G195" s="9">
        <v>5</v>
      </c>
      <c r="H195" s="9"/>
      <c r="I195" s="17" t="s">
        <v>1185</v>
      </c>
      <c r="J195" s="10">
        <v>30</v>
      </c>
      <c r="K195" s="16" t="str">
        <f t="shared" ref="K195:K258" si="3">IF(E195&gt;=100,"Muito Forte",
IF(E195&gt;=70,"Forte",
"Comum"))</f>
        <v>Muito Forte</v>
      </c>
    </row>
    <row r="196" spans="1:11" ht="29.25">
      <c r="A196" s="11" t="s">
        <v>1186</v>
      </c>
      <c r="B196" s="11" t="s">
        <v>122</v>
      </c>
      <c r="C196" s="11">
        <f>COUNTIF($B$2:$B$608,Tabela3[[#This Row],[Type]])</f>
        <v>21</v>
      </c>
      <c r="D196" s="9" t="s">
        <v>825</v>
      </c>
      <c r="E196" s="9">
        <v>70</v>
      </c>
      <c r="F196" s="9">
        <v>100</v>
      </c>
      <c r="G196" s="9">
        <v>20</v>
      </c>
      <c r="H196" s="9"/>
      <c r="I196" s="17" t="s">
        <v>1187</v>
      </c>
      <c r="J196" s="10"/>
      <c r="K196" s="16" t="str">
        <f t="shared" si="3"/>
        <v>Forte</v>
      </c>
    </row>
    <row r="197" spans="1:11" ht="16.5">
      <c r="A197" s="11" t="s">
        <v>1188</v>
      </c>
      <c r="B197" s="11" t="s">
        <v>16</v>
      </c>
      <c r="C197" s="11">
        <f>COUNTIF($B$2:$B$608,Tabela3[[#This Row],[Type]])</f>
        <v>37</v>
      </c>
      <c r="D197" s="9" t="s">
        <v>825</v>
      </c>
      <c r="E197" s="9">
        <v>150</v>
      </c>
      <c r="F197" s="9">
        <v>90</v>
      </c>
      <c r="G197" s="9">
        <v>5</v>
      </c>
      <c r="H197" s="9"/>
      <c r="I197" s="17" t="s">
        <v>907</v>
      </c>
      <c r="J197" s="10"/>
      <c r="K197" s="16" t="str">
        <f t="shared" si="3"/>
        <v>Muito Forte</v>
      </c>
    </row>
    <row r="198" spans="1:11" ht="16.5">
      <c r="A198" s="11" t="s">
        <v>1189</v>
      </c>
      <c r="B198" s="11" t="s">
        <v>122</v>
      </c>
      <c r="C198" s="11">
        <f>COUNTIF($B$2:$B$608,Tabela3[[#This Row],[Type]])</f>
        <v>21</v>
      </c>
      <c r="D198" s="9" t="s">
        <v>825</v>
      </c>
      <c r="E198" s="9">
        <v>40</v>
      </c>
      <c r="F198" s="9">
        <v>90</v>
      </c>
      <c r="G198" s="9">
        <v>10</v>
      </c>
      <c r="H198" s="9" t="s">
        <v>1190</v>
      </c>
      <c r="I198" s="17" t="s">
        <v>1191</v>
      </c>
      <c r="J198" s="10">
        <v>100</v>
      </c>
      <c r="K198" s="16" t="str">
        <f t="shared" si="3"/>
        <v>Comum</v>
      </c>
    </row>
    <row r="199" spans="1:11" ht="29.25">
      <c r="A199" s="11" t="s">
        <v>1192</v>
      </c>
      <c r="B199" s="11" t="s">
        <v>42</v>
      </c>
      <c r="C199" s="11">
        <f>COUNTIF($B$2:$B$608,Tabela3[[#This Row],[Type]])</f>
        <v>167</v>
      </c>
      <c r="D199" s="9" t="s">
        <v>835</v>
      </c>
      <c r="E199" s="9"/>
      <c r="F199" s="9">
        <v>100</v>
      </c>
      <c r="G199" s="9">
        <v>20</v>
      </c>
      <c r="H199" s="9" t="s">
        <v>1193</v>
      </c>
      <c r="I199" s="17" t="s">
        <v>1194</v>
      </c>
      <c r="J199" s="10"/>
      <c r="K199" s="16" t="str">
        <f t="shared" si="3"/>
        <v>Comum</v>
      </c>
    </row>
    <row r="200" spans="1:11" ht="16.5">
      <c r="A200" s="11" t="s">
        <v>1195</v>
      </c>
      <c r="B200" s="11" t="s">
        <v>42</v>
      </c>
      <c r="C200" s="11">
        <f>COUNTIF($B$2:$B$608,Tabela3[[#This Row],[Type]])</f>
        <v>167</v>
      </c>
      <c r="D200" s="9" t="s">
        <v>835</v>
      </c>
      <c r="E200" s="9">
        <v>15</v>
      </c>
      <c r="F200" s="9">
        <v>85</v>
      </c>
      <c r="G200" s="9">
        <v>20</v>
      </c>
      <c r="H200" s="9"/>
      <c r="I200" s="17" t="s">
        <v>866</v>
      </c>
      <c r="J200" s="10"/>
      <c r="K200" s="16" t="str">
        <f t="shared" si="3"/>
        <v>Comum</v>
      </c>
    </row>
    <row r="201" spans="1:11" ht="29.25">
      <c r="A201" s="11" t="s">
        <v>1196</v>
      </c>
      <c r="B201" s="11" t="s">
        <v>35</v>
      </c>
      <c r="C201" s="11">
        <f>COUNTIF($B$2:$B$608,Tabela3[[#This Row],[Type]])</f>
        <v>25</v>
      </c>
      <c r="D201" s="9" t="s">
        <v>835</v>
      </c>
      <c r="E201" s="9">
        <v>20</v>
      </c>
      <c r="F201" s="9">
        <v>95</v>
      </c>
      <c r="G201" s="9">
        <v>20</v>
      </c>
      <c r="H201" s="9"/>
      <c r="I201" s="17" t="s">
        <v>1197</v>
      </c>
      <c r="J201" s="10"/>
      <c r="K201" s="16" t="str">
        <f t="shared" si="3"/>
        <v>Comum</v>
      </c>
    </row>
    <row r="202" spans="1:11" ht="16.5">
      <c r="A202" s="11" t="s">
        <v>1198</v>
      </c>
      <c r="B202" s="11" t="s">
        <v>42</v>
      </c>
      <c r="C202" s="11">
        <f>COUNTIF($B$2:$B$608,Tabela3[[#This Row],[Type]])</f>
        <v>167</v>
      </c>
      <c r="D202" s="9" t="s">
        <v>835</v>
      </c>
      <c r="E202" s="9">
        <v>18</v>
      </c>
      <c r="F202" s="9">
        <v>80</v>
      </c>
      <c r="G202" s="9">
        <v>15</v>
      </c>
      <c r="H202" s="9"/>
      <c r="I202" s="17" t="s">
        <v>866</v>
      </c>
      <c r="J202" s="10"/>
      <c r="K202" s="16" t="str">
        <f t="shared" si="3"/>
        <v>Comum</v>
      </c>
    </row>
    <row r="203" spans="1:11" ht="29.25">
      <c r="A203" s="11" t="s">
        <v>1199</v>
      </c>
      <c r="B203" s="11" t="s">
        <v>52</v>
      </c>
      <c r="C203" s="11">
        <f>COUNTIF($B$2:$B$608,Tabela3[[#This Row],[Type]])</f>
        <v>28</v>
      </c>
      <c r="D203" s="9" t="s">
        <v>835</v>
      </c>
      <c r="E203" s="9">
        <v>100</v>
      </c>
      <c r="F203" s="9">
        <v>100</v>
      </c>
      <c r="G203" s="9">
        <v>5</v>
      </c>
      <c r="H203" s="9"/>
      <c r="I203" s="17" t="s">
        <v>1200</v>
      </c>
      <c r="J203" s="10"/>
      <c r="K203" s="16" t="str">
        <f t="shared" si="3"/>
        <v>Muito Forte</v>
      </c>
    </row>
    <row r="204" spans="1:11" ht="29.25">
      <c r="A204" s="11" t="s">
        <v>1201</v>
      </c>
      <c r="B204" s="11" t="s">
        <v>22</v>
      </c>
      <c r="C204" s="11">
        <f>COUNTIF($B$2:$B$608,Tabela3[[#This Row],[Type]])</f>
        <v>30</v>
      </c>
      <c r="D204" s="9" t="s">
        <v>825</v>
      </c>
      <c r="E204" s="9">
        <v>100</v>
      </c>
      <c r="F204" s="9">
        <v>100</v>
      </c>
      <c r="G204" s="9">
        <v>5</v>
      </c>
      <c r="H204" s="9"/>
      <c r="I204" s="17" t="s">
        <v>1202</v>
      </c>
      <c r="J204" s="10"/>
      <c r="K204" s="16" t="str">
        <f t="shared" si="3"/>
        <v>Muito Forte</v>
      </c>
    </row>
    <row r="205" spans="1:11" ht="16.5">
      <c r="A205" s="11" t="s">
        <v>1203</v>
      </c>
      <c r="B205" s="11" t="s">
        <v>94</v>
      </c>
      <c r="C205" s="11">
        <f>COUNTIF($B$2:$B$608,Tabela3[[#This Row],[Type]])</f>
        <v>53</v>
      </c>
      <c r="D205" s="9" t="s">
        <v>825</v>
      </c>
      <c r="E205" s="9">
        <v>100</v>
      </c>
      <c r="F205" s="9">
        <v>100</v>
      </c>
      <c r="G205" s="9">
        <v>10</v>
      </c>
      <c r="H205" s="9"/>
      <c r="I205" s="17" t="s">
        <v>1040</v>
      </c>
      <c r="J205" s="10"/>
      <c r="K205" s="16" t="str">
        <f t="shared" si="3"/>
        <v>Muito Forte</v>
      </c>
    </row>
    <row r="206" spans="1:11" ht="29.25">
      <c r="A206" s="11" t="s">
        <v>1204</v>
      </c>
      <c r="B206" s="11" t="s">
        <v>17</v>
      </c>
      <c r="C206" s="11">
        <f>COUNTIF($B$2:$B$608,Tabela3[[#This Row],[Type]])</f>
        <v>23</v>
      </c>
      <c r="D206" s="9" t="s">
        <v>830</v>
      </c>
      <c r="E206" s="9"/>
      <c r="F206" s="9">
        <v>100</v>
      </c>
      <c r="G206" s="9">
        <v>10</v>
      </c>
      <c r="H206" s="9"/>
      <c r="I206" s="17" t="s">
        <v>1205</v>
      </c>
      <c r="J206" s="10"/>
      <c r="K206" s="16" t="str">
        <f t="shared" si="3"/>
        <v>Comum</v>
      </c>
    </row>
    <row r="207" spans="1:11" ht="16.5">
      <c r="A207" s="11" t="s">
        <v>1206</v>
      </c>
      <c r="B207" s="11" t="s">
        <v>115</v>
      </c>
      <c r="C207" s="11">
        <f>COUNTIF($B$2:$B$608,Tabela3[[#This Row],[Type]])</f>
        <v>19</v>
      </c>
      <c r="D207" s="9" t="s">
        <v>835</v>
      </c>
      <c r="E207" s="9">
        <v>50</v>
      </c>
      <c r="F207" s="9">
        <v>85</v>
      </c>
      <c r="G207" s="9">
        <v>15</v>
      </c>
      <c r="H207" s="9"/>
      <c r="I207" s="17" t="s">
        <v>923</v>
      </c>
      <c r="J207" s="10"/>
      <c r="K207" s="16" t="str">
        <f t="shared" si="3"/>
        <v>Comum</v>
      </c>
    </row>
    <row r="208" spans="1:11" ht="42.75">
      <c r="A208" s="11" t="s">
        <v>1207</v>
      </c>
      <c r="B208" s="11" t="s">
        <v>64</v>
      </c>
      <c r="C208" s="11">
        <f>COUNTIF($B$2:$B$608,Tabela3[[#This Row],[Type]])</f>
        <v>16</v>
      </c>
      <c r="D208" s="9" t="s">
        <v>830</v>
      </c>
      <c r="E208" s="9"/>
      <c r="F208" s="9"/>
      <c r="G208" s="9">
        <v>10</v>
      </c>
      <c r="H208" s="9"/>
      <c r="I208" s="17" t="s">
        <v>1208</v>
      </c>
      <c r="J208" s="10"/>
      <c r="K208" s="16" t="str">
        <f t="shared" si="3"/>
        <v>Comum</v>
      </c>
    </row>
    <row r="209" spans="1:11" ht="29.25">
      <c r="A209" s="11" t="s">
        <v>1209</v>
      </c>
      <c r="B209" s="11" t="s">
        <v>16</v>
      </c>
      <c r="C209" s="11">
        <f>COUNTIF($B$2:$B$608,Tabela3[[#This Row],[Type]])</f>
        <v>37</v>
      </c>
      <c r="D209" s="9" t="s">
        <v>825</v>
      </c>
      <c r="E209" s="9">
        <v>75</v>
      </c>
      <c r="F209" s="9">
        <v>100</v>
      </c>
      <c r="G209" s="9">
        <v>10</v>
      </c>
      <c r="H209" s="9"/>
      <c r="I209" s="17" t="s">
        <v>826</v>
      </c>
      <c r="J209" s="10"/>
      <c r="K209" s="16" t="str">
        <f t="shared" si="3"/>
        <v>Forte</v>
      </c>
    </row>
    <row r="210" spans="1:11" ht="16.5">
      <c r="A210" s="11" t="s">
        <v>1210</v>
      </c>
      <c r="B210" s="11" t="s">
        <v>42</v>
      </c>
      <c r="C210" s="11">
        <f>COUNTIF($B$2:$B$608,Tabela3[[#This Row],[Type]])</f>
        <v>167</v>
      </c>
      <c r="D210" s="9" t="s">
        <v>835</v>
      </c>
      <c r="E210" s="9">
        <v>150</v>
      </c>
      <c r="F210" s="9">
        <v>90</v>
      </c>
      <c r="G210" s="9">
        <v>5</v>
      </c>
      <c r="H210" s="9" t="s">
        <v>1211</v>
      </c>
      <c r="I210" s="17" t="s">
        <v>907</v>
      </c>
      <c r="J210" s="10"/>
      <c r="K210" s="16" t="str">
        <f t="shared" si="3"/>
        <v>Muito Forte</v>
      </c>
    </row>
    <row r="211" spans="1:11" ht="16.5">
      <c r="A211" s="11" t="s">
        <v>1212</v>
      </c>
      <c r="B211" s="11" t="s">
        <v>122</v>
      </c>
      <c r="C211" s="11">
        <f>COUNTIF($B$2:$B$608,Tabela3[[#This Row],[Type]])</f>
        <v>21</v>
      </c>
      <c r="D211" s="9" t="s">
        <v>825</v>
      </c>
      <c r="E211" s="9">
        <v>65</v>
      </c>
      <c r="F211" s="9">
        <v>95</v>
      </c>
      <c r="G211" s="9">
        <v>10</v>
      </c>
      <c r="H211" s="9"/>
      <c r="I211" s="17" t="s">
        <v>946</v>
      </c>
      <c r="J211" s="10">
        <v>100</v>
      </c>
      <c r="K211" s="16" t="str">
        <f t="shared" si="3"/>
        <v>Comum</v>
      </c>
    </row>
    <row r="212" spans="1:11" ht="16.5">
      <c r="A212" s="11" t="s">
        <v>1213</v>
      </c>
      <c r="B212" s="11" t="s">
        <v>42</v>
      </c>
      <c r="C212" s="11">
        <f>COUNTIF($B$2:$B$608,Tabela3[[#This Row],[Type]])</f>
        <v>167</v>
      </c>
      <c r="D212" s="9" t="s">
        <v>830</v>
      </c>
      <c r="E212" s="9"/>
      <c r="F212" s="9">
        <v>90</v>
      </c>
      <c r="G212" s="9">
        <v>30</v>
      </c>
      <c r="H212" s="9"/>
      <c r="I212" s="17" t="s">
        <v>1214</v>
      </c>
      <c r="J212" s="10"/>
      <c r="K212" s="16" t="str">
        <f t="shared" si="3"/>
        <v>Comum</v>
      </c>
    </row>
    <row r="213" spans="1:11" ht="29.25">
      <c r="A213" s="11" t="s">
        <v>1215</v>
      </c>
      <c r="B213" s="11" t="s">
        <v>16</v>
      </c>
      <c r="C213" s="11">
        <f>COUNTIF($B$2:$B$608,Tabela3[[#This Row],[Type]])</f>
        <v>37</v>
      </c>
      <c r="D213" s="9" t="s">
        <v>825</v>
      </c>
      <c r="E213" s="9"/>
      <c r="F213" s="9">
        <v>100</v>
      </c>
      <c r="G213" s="9">
        <v>20</v>
      </c>
      <c r="H213" s="9" t="s">
        <v>1216</v>
      </c>
      <c r="I213" s="17" t="s">
        <v>1217</v>
      </c>
      <c r="J213" s="10"/>
      <c r="K213" s="16" t="str">
        <f t="shared" si="3"/>
        <v>Comum</v>
      </c>
    </row>
    <row r="214" spans="1:11" ht="42.75">
      <c r="A214" s="11" t="s">
        <v>1218</v>
      </c>
      <c r="B214" s="11" t="s">
        <v>16</v>
      </c>
      <c r="C214" s="11">
        <f>COUNTIF($B$2:$B$608,Tabela3[[#This Row],[Type]])</f>
        <v>37</v>
      </c>
      <c r="D214" s="9" t="s">
        <v>825</v>
      </c>
      <c r="E214" s="9">
        <v>50</v>
      </c>
      <c r="F214" s="9">
        <v>100</v>
      </c>
      <c r="G214" s="9">
        <v>10</v>
      </c>
      <c r="H214" s="9"/>
      <c r="I214" s="17" t="s">
        <v>1219</v>
      </c>
      <c r="J214" s="10"/>
      <c r="K214" s="16" t="str">
        <f t="shared" si="3"/>
        <v>Comum</v>
      </c>
    </row>
    <row r="215" spans="1:11" ht="16.5">
      <c r="A215" s="11" t="s">
        <v>1220</v>
      </c>
      <c r="B215" s="11" t="s">
        <v>16</v>
      </c>
      <c r="C215" s="11">
        <f>COUNTIF($B$2:$B$608,Tabela3[[#This Row],[Type]])</f>
        <v>37</v>
      </c>
      <c r="D215" s="9" t="s">
        <v>830</v>
      </c>
      <c r="E215" s="9"/>
      <c r="F215" s="9">
        <v>55</v>
      </c>
      <c r="G215" s="9">
        <v>15</v>
      </c>
      <c r="H215" s="9"/>
      <c r="I215" s="17" t="s">
        <v>1221</v>
      </c>
      <c r="J215" s="10"/>
      <c r="K215" s="16" t="str">
        <f t="shared" si="3"/>
        <v>Comum</v>
      </c>
    </row>
    <row r="216" spans="1:11" ht="29.25">
      <c r="A216" s="11" t="s">
        <v>1222</v>
      </c>
      <c r="B216" s="11" t="s">
        <v>16</v>
      </c>
      <c r="C216" s="11">
        <f>COUNTIF($B$2:$B$608,Tabela3[[#This Row],[Type]])</f>
        <v>37</v>
      </c>
      <c r="D216" s="9" t="s">
        <v>830</v>
      </c>
      <c r="E216" s="9"/>
      <c r="F216" s="9"/>
      <c r="G216" s="9">
        <v>10</v>
      </c>
      <c r="H216" s="9"/>
      <c r="I216" s="17" t="s">
        <v>1223</v>
      </c>
      <c r="J216" s="10"/>
      <c r="K216" s="16" t="str">
        <f t="shared" si="3"/>
        <v>Comum</v>
      </c>
    </row>
    <row r="217" spans="1:11" ht="29.25">
      <c r="A217" s="11" t="s">
        <v>1224</v>
      </c>
      <c r="B217" s="11" t="s">
        <v>94</v>
      </c>
      <c r="C217" s="11">
        <f>COUNTIF($B$2:$B$608,Tabela3[[#This Row],[Type]])</f>
        <v>53</v>
      </c>
      <c r="D217" s="9" t="s">
        <v>830</v>
      </c>
      <c r="E217" s="9"/>
      <c r="F217" s="9"/>
      <c r="G217" s="9">
        <v>5</v>
      </c>
      <c r="H217" s="9"/>
      <c r="I217" s="17" t="s">
        <v>1225</v>
      </c>
      <c r="J217" s="10"/>
      <c r="K217" s="16" t="str">
        <f t="shared" si="3"/>
        <v>Comum</v>
      </c>
    </row>
    <row r="218" spans="1:11" ht="16.5">
      <c r="A218" s="11" t="s">
        <v>1226</v>
      </c>
      <c r="B218" s="11" t="s">
        <v>42</v>
      </c>
      <c r="C218" s="11">
        <f>COUNTIF($B$2:$B$608,Tabela3[[#This Row],[Type]])</f>
        <v>167</v>
      </c>
      <c r="D218" s="9" t="s">
        <v>830</v>
      </c>
      <c r="E218" s="9"/>
      <c r="F218" s="9">
        <v>100</v>
      </c>
      <c r="G218" s="9">
        <v>40</v>
      </c>
      <c r="H218" s="9"/>
      <c r="I218" s="17" t="s">
        <v>1227</v>
      </c>
      <c r="J218" s="10"/>
      <c r="K218" s="16" t="str">
        <f t="shared" si="3"/>
        <v>Comum</v>
      </c>
    </row>
    <row r="219" spans="1:11" ht="29.25">
      <c r="A219" s="11" t="s">
        <v>1228</v>
      </c>
      <c r="B219" s="11" t="s">
        <v>42</v>
      </c>
      <c r="C219" s="11">
        <f>COUNTIF($B$2:$B$608,Tabela3[[#This Row],[Type]])</f>
        <v>167</v>
      </c>
      <c r="D219" s="9" t="s">
        <v>830</v>
      </c>
      <c r="E219" s="9"/>
      <c r="F219" s="9"/>
      <c r="G219" s="9">
        <v>40</v>
      </c>
      <c r="H219" s="9"/>
      <c r="I219" s="17" t="s">
        <v>1229</v>
      </c>
      <c r="J219" s="10"/>
      <c r="K219" s="16" t="str">
        <f t="shared" si="3"/>
        <v>Comum</v>
      </c>
    </row>
    <row r="220" spans="1:11" ht="42.75">
      <c r="A220" s="11" t="s">
        <v>1230</v>
      </c>
      <c r="B220" s="11" t="s">
        <v>128</v>
      </c>
      <c r="C220" s="11">
        <f>COUNTIF($B$2:$B$608,Tabela3[[#This Row],[Type]])</f>
        <v>18</v>
      </c>
      <c r="D220" s="9" t="s">
        <v>830</v>
      </c>
      <c r="E220" s="9"/>
      <c r="F220" s="9"/>
      <c r="G220" s="9">
        <v>5</v>
      </c>
      <c r="H220" s="9"/>
      <c r="I220" s="17" t="s">
        <v>1231</v>
      </c>
      <c r="J220" s="10"/>
      <c r="K220" s="16" t="str">
        <f t="shared" si="3"/>
        <v>Comum</v>
      </c>
    </row>
    <row r="221" spans="1:11" ht="29.25">
      <c r="A221" s="11" t="s">
        <v>1232</v>
      </c>
      <c r="B221" s="11" t="s">
        <v>94</v>
      </c>
      <c r="C221" s="11">
        <f>COUNTIF($B$2:$B$608,Tabela3[[#This Row],[Type]])</f>
        <v>53</v>
      </c>
      <c r="D221" s="9" t="s">
        <v>830</v>
      </c>
      <c r="E221" s="9"/>
      <c r="F221" s="9"/>
      <c r="G221" s="9">
        <v>10</v>
      </c>
      <c r="H221" s="9"/>
      <c r="I221" s="17" t="s">
        <v>1233</v>
      </c>
      <c r="J221" s="10"/>
      <c r="K221" s="16" t="str">
        <f t="shared" si="3"/>
        <v>Comum</v>
      </c>
    </row>
    <row r="222" spans="1:11" ht="29.25">
      <c r="A222" s="11" t="s">
        <v>1234</v>
      </c>
      <c r="B222" s="11" t="s">
        <v>94</v>
      </c>
      <c r="C222" s="11">
        <f>COUNTIF($B$2:$B$608,Tabela3[[#This Row],[Type]])</f>
        <v>53</v>
      </c>
      <c r="D222" s="9" t="s">
        <v>830</v>
      </c>
      <c r="E222" s="9"/>
      <c r="F222" s="9"/>
      <c r="G222" s="9">
        <v>10</v>
      </c>
      <c r="H222" s="9"/>
      <c r="I222" s="17" t="s">
        <v>1235</v>
      </c>
      <c r="J222" s="10"/>
      <c r="K222" s="16" t="str">
        <f t="shared" si="3"/>
        <v>Comum</v>
      </c>
    </row>
    <row r="223" spans="1:11" ht="16.5">
      <c r="A223" s="11" t="s">
        <v>1236</v>
      </c>
      <c r="B223" s="11" t="s">
        <v>42</v>
      </c>
      <c r="C223" s="11">
        <f>COUNTIF($B$2:$B$608,Tabela3[[#This Row],[Type]])</f>
        <v>167</v>
      </c>
      <c r="D223" s="9" t="s">
        <v>835</v>
      </c>
      <c r="E223" s="9"/>
      <c r="F223" s="9"/>
      <c r="G223" s="9">
        <v>5</v>
      </c>
      <c r="H223" s="9"/>
      <c r="I223" s="17" t="s">
        <v>1139</v>
      </c>
      <c r="J223" s="10"/>
      <c r="K223" s="16" t="str">
        <f t="shared" si="3"/>
        <v>Comum</v>
      </c>
    </row>
    <row r="224" spans="1:11" ht="16.5">
      <c r="A224" s="11" t="s">
        <v>1237</v>
      </c>
      <c r="B224" s="11" t="s">
        <v>17</v>
      </c>
      <c r="C224" s="11">
        <f>COUNTIF($B$2:$B$608,Tabela3[[#This Row],[Type]])</f>
        <v>23</v>
      </c>
      <c r="D224" s="9" t="s">
        <v>835</v>
      </c>
      <c r="E224" s="9">
        <v>120</v>
      </c>
      <c r="F224" s="9">
        <v>70</v>
      </c>
      <c r="G224" s="9">
        <v>5</v>
      </c>
      <c r="H224" s="9"/>
      <c r="I224" s="17" t="s">
        <v>1238</v>
      </c>
      <c r="J224" s="10">
        <v>30</v>
      </c>
      <c r="K224" s="16" t="str">
        <f t="shared" si="3"/>
        <v>Muito Forte</v>
      </c>
    </row>
    <row r="225" spans="1:11" ht="29.25">
      <c r="A225" s="11" t="s">
        <v>1239</v>
      </c>
      <c r="B225" s="11" t="s">
        <v>25</v>
      </c>
      <c r="C225" s="11">
        <f>COUNTIF($B$2:$B$608,Tabela3[[#This Row],[Type]])</f>
        <v>23</v>
      </c>
      <c r="D225" s="9" t="s">
        <v>825</v>
      </c>
      <c r="E225" s="9">
        <v>40</v>
      </c>
      <c r="F225" s="9">
        <v>100</v>
      </c>
      <c r="G225" s="9">
        <v>35</v>
      </c>
      <c r="H225" s="9"/>
      <c r="I225" s="17" t="s">
        <v>1240</v>
      </c>
      <c r="J225" s="10"/>
      <c r="K225" s="16" t="str">
        <f t="shared" si="3"/>
        <v>Comum</v>
      </c>
    </row>
    <row r="226" spans="1:11" ht="29.25">
      <c r="A226" s="11" t="s">
        <v>1241</v>
      </c>
      <c r="B226" s="11" t="s">
        <v>115</v>
      </c>
      <c r="C226" s="11">
        <f>COUNTIF($B$2:$B$608,Tabela3[[#This Row],[Type]])</f>
        <v>19</v>
      </c>
      <c r="D226" s="9" t="s">
        <v>835</v>
      </c>
      <c r="E226" s="9"/>
      <c r="F226" s="9">
        <v>100</v>
      </c>
      <c r="G226" s="9">
        <v>5</v>
      </c>
      <c r="H226" s="9" t="s">
        <v>1242</v>
      </c>
      <c r="I226" s="17" t="s">
        <v>1243</v>
      </c>
      <c r="J226" s="10"/>
      <c r="K226" s="16" t="str">
        <f t="shared" si="3"/>
        <v>Comum</v>
      </c>
    </row>
    <row r="227" spans="1:11" ht="29.25">
      <c r="A227" s="11" t="s">
        <v>1244</v>
      </c>
      <c r="B227" s="11" t="s">
        <v>122</v>
      </c>
      <c r="C227" s="11">
        <f>COUNTIF($B$2:$B$608,Tabela3[[#This Row],[Type]])</f>
        <v>21</v>
      </c>
      <c r="D227" s="9" t="s">
        <v>830</v>
      </c>
      <c r="E227" s="9"/>
      <c r="F227" s="9"/>
      <c r="G227" s="9">
        <v>10</v>
      </c>
      <c r="H227" s="9" t="s">
        <v>1245</v>
      </c>
      <c r="I227" s="17" t="s">
        <v>1246</v>
      </c>
      <c r="J227" s="10"/>
      <c r="K227" s="16" t="str">
        <f t="shared" si="3"/>
        <v>Comum</v>
      </c>
    </row>
    <row r="228" spans="1:11" ht="16.5">
      <c r="A228" s="11" t="s">
        <v>1247</v>
      </c>
      <c r="B228" s="11" t="s">
        <v>86</v>
      </c>
      <c r="C228" s="11">
        <f>COUNTIF($B$2:$B$608,Tabela3[[#This Row],[Type]])</f>
        <v>42</v>
      </c>
      <c r="D228" s="9" t="s">
        <v>835</v>
      </c>
      <c r="E228" s="9">
        <v>100</v>
      </c>
      <c r="F228" s="9">
        <v>90</v>
      </c>
      <c r="G228" s="9">
        <v>10</v>
      </c>
      <c r="H228" s="9"/>
      <c r="I228" s="17" t="s">
        <v>1248</v>
      </c>
      <c r="J228" s="10"/>
      <c r="K228" s="16" t="str">
        <f t="shared" si="3"/>
        <v>Muito Forte</v>
      </c>
    </row>
    <row r="229" spans="1:11" ht="16.5">
      <c r="A229" s="11" t="s">
        <v>1249</v>
      </c>
      <c r="B229" s="11" t="s">
        <v>42</v>
      </c>
      <c r="C229" s="11">
        <f>COUNTIF($B$2:$B$608,Tabela3[[#This Row],[Type]])</f>
        <v>167</v>
      </c>
      <c r="D229" s="9" t="s">
        <v>830</v>
      </c>
      <c r="E229" s="9"/>
      <c r="F229" s="9"/>
      <c r="G229" s="9">
        <v>30</v>
      </c>
      <c r="H229" s="9"/>
      <c r="I229" s="17" t="s">
        <v>1021</v>
      </c>
      <c r="J229" s="10"/>
      <c r="K229" s="16" t="str">
        <f t="shared" si="3"/>
        <v>Comum</v>
      </c>
    </row>
    <row r="230" spans="1:11" ht="16.5">
      <c r="A230" s="11" t="s">
        <v>1250</v>
      </c>
      <c r="B230" s="11" t="s">
        <v>122</v>
      </c>
      <c r="C230" s="11">
        <f>COUNTIF($B$2:$B$608,Tabela3[[#This Row],[Type]])</f>
        <v>21</v>
      </c>
      <c r="D230" s="9" t="s">
        <v>830</v>
      </c>
      <c r="E230" s="9"/>
      <c r="F230" s="9"/>
      <c r="G230" s="9">
        <v>30</v>
      </c>
      <c r="H230" s="9"/>
      <c r="I230" s="17" t="s">
        <v>1251</v>
      </c>
      <c r="J230" s="10"/>
      <c r="K230" s="16" t="str">
        <f t="shared" si="3"/>
        <v>Comum</v>
      </c>
    </row>
    <row r="231" spans="1:11" ht="16.5">
      <c r="A231" s="11" t="s">
        <v>1252</v>
      </c>
      <c r="B231" s="11" t="s">
        <v>42</v>
      </c>
      <c r="C231" s="11">
        <f>COUNTIF($B$2:$B$608,Tabela3[[#This Row],[Type]])</f>
        <v>167</v>
      </c>
      <c r="D231" s="9" t="s">
        <v>835</v>
      </c>
      <c r="E231" s="9">
        <v>120</v>
      </c>
      <c r="F231" s="9">
        <v>100</v>
      </c>
      <c r="G231" s="9">
        <v>15</v>
      </c>
      <c r="H231" s="9"/>
      <c r="I231" s="17" t="s">
        <v>929</v>
      </c>
      <c r="J231" s="10"/>
      <c r="K231" s="16" t="str">
        <f t="shared" si="3"/>
        <v>Muito Forte</v>
      </c>
    </row>
    <row r="232" spans="1:11" ht="16.5">
      <c r="A232" s="11" t="s">
        <v>1253</v>
      </c>
      <c r="B232" s="11" t="s">
        <v>107</v>
      </c>
      <c r="C232" s="11">
        <f>COUNTIF($B$2:$B$608,Tabela3[[#This Row],[Type]])</f>
        <v>15</v>
      </c>
      <c r="D232" s="9" t="s">
        <v>835</v>
      </c>
      <c r="E232" s="9">
        <v>150</v>
      </c>
      <c r="F232" s="9">
        <v>80</v>
      </c>
      <c r="G232" s="9">
        <v>5</v>
      </c>
      <c r="H232" s="9"/>
      <c r="I232" s="17" t="s">
        <v>929</v>
      </c>
      <c r="J232" s="10"/>
      <c r="K232" s="16" t="str">
        <f t="shared" si="3"/>
        <v>Muito Forte</v>
      </c>
    </row>
    <row r="233" spans="1:11" ht="16.5">
      <c r="A233" s="11" t="s">
        <v>1254</v>
      </c>
      <c r="B233" s="11" t="s">
        <v>42</v>
      </c>
      <c r="C233" s="11">
        <f>COUNTIF($B$2:$B$608,Tabela3[[#This Row],[Type]])</f>
        <v>167</v>
      </c>
      <c r="D233" s="9" t="s">
        <v>835</v>
      </c>
      <c r="E233" s="9">
        <v>70</v>
      </c>
      <c r="F233" s="9">
        <v>100</v>
      </c>
      <c r="G233" s="9">
        <v>15</v>
      </c>
      <c r="H233" s="9"/>
      <c r="I233" s="17" t="s">
        <v>852</v>
      </c>
      <c r="J233" s="10">
        <v>30</v>
      </c>
      <c r="K233" s="16" t="str">
        <f t="shared" si="3"/>
        <v>Forte</v>
      </c>
    </row>
    <row r="234" spans="1:11" ht="29.25">
      <c r="A234" s="11" t="s">
        <v>1255</v>
      </c>
      <c r="B234" s="11" t="s">
        <v>42</v>
      </c>
      <c r="C234" s="11">
        <f>COUNTIF($B$2:$B$608,Tabela3[[#This Row],[Type]])</f>
        <v>167</v>
      </c>
      <c r="D234" s="9" t="s">
        <v>830</v>
      </c>
      <c r="E234" s="9"/>
      <c r="F234" s="9"/>
      <c r="G234" s="9">
        <v>5</v>
      </c>
      <c r="H234" s="9"/>
      <c r="I234" s="17" t="s">
        <v>1256</v>
      </c>
      <c r="J234" s="10"/>
      <c r="K234" s="16" t="str">
        <f t="shared" si="3"/>
        <v>Comum</v>
      </c>
    </row>
    <row r="235" spans="1:11" ht="29.25">
      <c r="A235" s="11" t="s">
        <v>1257</v>
      </c>
      <c r="B235" s="11" t="s">
        <v>94</v>
      </c>
      <c r="C235" s="11">
        <f>COUNTIF($B$2:$B$608,Tabela3[[#This Row],[Type]])</f>
        <v>53</v>
      </c>
      <c r="D235" s="9" t="s">
        <v>830</v>
      </c>
      <c r="E235" s="9"/>
      <c r="F235" s="9"/>
      <c r="G235" s="9">
        <v>15</v>
      </c>
      <c r="H235" s="9"/>
      <c r="I235" s="17" t="s">
        <v>1258</v>
      </c>
      <c r="J235" s="10"/>
      <c r="K235" s="16" t="str">
        <f t="shared" si="3"/>
        <v>Comum</v>
      </c>
    </row>
    <row r="236" spans="1:11" ht="16.5">
      <c r="A236" s="11" t="s">
        <v>1259</v>
      </c>
      <c r="B236" s="11" t="s">
        <v>35</v>
      </c>
      <c r="C236" s="11">
        <f>COUNTIF($B$2:$B$608,Tabela3[[#This Row],[Type]])</f>
        <v>25</v>
      </c>
      <c r="D236" s="9" t="s">
        <v>830</v>
      </c>
      <c r="E236" s="9"/>
      <c r="F236" s="9"/>
      <c r="G236" s="9">
        <v>10</v>
      </c>
      <c r="H236" s="9"/>
      <c r="I236" s="17" t="s">
        <v>1260</v>
      </c>
      <c r="J236" s="10"/>
      <c r="K236" s="16" t="str">
        <f t="shared" si="3"/>
        <v>Comum</v>
      </c>
    </row>
    <row r="237" spans="1:11" ht="16.5">
      <c r="A237" s="11" t="s">
        <v>1261</v>
      </c>
      <c r="B237" s="11" t="s">
        <v>94</v>
      </c>
      <c r="C237" s="11">
        <f>COUNTIF($B$2:$B$608,Tabela3[[#This Row],[Type]])</f>
        <v>53</v>
      </c>
      <c r="D237" s="9" t="s">
        <v>830</v>
      </c>
      <c r="E237" s="9"/>
      <c r="F237" s="9"/>
      <c r="G237" s="9">
        <v>10</v>
      </c>
      <c r="H237" s="9"/>
      <c r="I237" s="17" t="s">
        <v>1262</v>
      </c>
      <c r="J237" s="10"/>
      <c r="K237" s="16" t="str">
        <f t="shared" si="3"/>
        <v>Comum</v>
      </c>
    </row>
    <row r="238" spans="1:11" ht="29.25">
      <c r="A238" s="11" t="s">
        <v>1263</v>
      </c>
      <c r="B238" s="11" t="s">
        <v>94</v>
      </c>
      <c r="C238" s="11">
        <f>COUNTIF($B$2:$B$608,Tabela3[[#This Row],[Type]])</f>
        <v>53</v>
      </c>
      <c r="D238" s="9" t="s">
        <v>830</v>
      </c>
      <c r="E238" s="9"/>
      <c r="F238" s="9"/>
      <c r="G238" s="9">
        <v>10</v>
      </c>
      <c r="H238" s="9"/>
      <c r="I238" s="17" t="s">
        <v>1264</v>
      </c>
      <c r="J238" s="10"/>
      <c r="K238" s="16" t="str">
        <f t="shared" si="3"/>
        <v>Comum</v>
      </c>
    </row>
    <row r="239" spans="1:11" ht="16.5">
      <c r="A239" s="11" t="s">
        <v>1265</v>
      </c>
      <c r="B239" s="11" t="s">
        <v>94</v>
      </c>
      <c r="C239" s="11">
        <f>COUNTIF($B$2:$B$608,Tabela3[[#This Row],[Type]])</f>
        <v>53</v>
      </c>
      <c r="D239" s="9" t="s">
        <v>835</v>
      </c>
      <c r="E239" s="9">
        <v>60</v>
      </c>
      <c r="F239" s="9">
        <v>100</v>
      </c>
      <c r="G239" s="9">
        <v>25</v>
      </c>
      <c r="H239" s="9"/>
      <c r="I239" s="17" t="s">
        <v>852</v>
      </c>
      <c r="J239" s="10">
        <v>30</v>
      </c>
      <c r="K239" s="16" t="str">
        <f t="shared" si="3"/>
        <v>Comum</v>
      </c>
    </row>
    <row r="240" spans="1:11" ht="29.25">
      <c r="A240" s="11" t="s">
        <v>1266</v>
      </c>
      <c r="B240" s="11" t="s">
        <v>94</v>
      </c>
      <c r="C240" s="11">
        <f>COUNTIF($B$2:$B$608,Tabela3[[#This Row],[Type]])</f>
        <v>53</v>
      </c>
      <c r="D240" s="9" t="s">
        <v>830</v>
      </c>
      <c r="E240" s="9"/>
      <c r="F240" s="9"/>
      <c r="G240" s="9">
        <v>10</v>
      </c>
      <c r="H240" s="9"/>
      <c r="I240" s="17" t="s">
        <v>1267</v>
      </c>
      <c r="J240" s="10"/>
      <c r="K240" s="16" t="str">
        <f t="shared" si="3"/>
        <v>Comum</v>
      </c>
    </row>
    <row r="241" spans="1:11" ht="29.25">
      <c r="A241" s="11" t="s">
        <v>1268</v>
      </c>
      <c r="B241" s="11" t="s">
        <v>22</v>
      </c>
      <c r="C241" s="11">
        <f>COUNTIF($B$2:$B$608,Tabela3[[#This Row],[Type]])</f>
        <v>30</v>
      </c>
      <c r="D241" s="9" t="s">
        <v>835</v>
      </c>
      <c r="E241" s="9"/>
      <c r="F241" s="9">
        <v>100</v>
      </c>
      <c r="G241" s="9">
        <v>10</v>
      </c>
      <c r="H241" s="9"/>
      <c r="I241" s="17" t="s">
        <v>1269</v>
      </c>
      <c r="J241" s="10"/>
      <c r="K241" s="16" t="str">
        <f t="shared" si="3"/>
        <v>Comum</v>
      </c>
    </row>
    <row r="242" spans="1:11" ht="16.5">
      <c r="A242" s="11" t="s">
        <v>1270</v>
      </c>
      <c r="B242" s="11" t="s">
        <v>22</v>
      </c>
      <c r="C242" s="11">
        <f>COUNTIF($B$2:$B$608,Tabela3[[#This Row],[Type]])</f>
        <v>30</v>
      </c>
      <c r="D242" s="9" t="s">
        <v>825</v>
      </c>
      <c r="E242" s="9">
        <v>100</v>
      </c>
      <c r="F242" s="9">
        <v>90</v>
      </c>
      <c r="G242" s="9">
        <v>10</v>
      </c>
      <c r="H242" s="9"/>
      <c r="I242" s="17" t="s">
        <v>916</v>
      </c>
      <c r="J242" s="10">
        <v>10</v>
      </c>
      <c r="K242" s="16" t="str">
        <f t="shared" si="3"/>
        <v>Muito Forte</v>
      </c>
    </row>
    <row r="243" spans="1:11" ht="29.25">
      <c r="A243" s="11" t="s">
        <v>1271</v>
      </c>
      <c r="B243" s="11" t="s">
        <v>115</v>
      </c>
      <c r="C243" s="11">
        <f>COUNTIF($B$2:$B$608,Tabela3[[#This Row],[Type]])</f>
        <v>19</v>
      </c>
      <c r="D243" s="9" t="s">
        <v>835</v>
      </c>
      <c r="E243" s="9"/>
      <c r="F243" s="9">
        <v>100</v>
      </c>
      <c r="G243" s="9">
        <v>10</v>
      </c>
      <c r="H243" s="9"/>
      <c r="I243" s="17" t="s">
        <v>1269</v>
      </c>
      <c r="J243" s="10"/>
      <c r="K243" s="16" t="str">
        <f t="shared" si="3"/>
        <v>Comum</v>
      </c>
    </row>
    <row r="244" spans="1:11" ht="29.25">
      <c r="A244" s="11" t="s">
        <v>1272</v>
      </c>
      <c r="B244" s="11" t="s">
        <v>42</v>
      </c>
      <c r="C244" s="11">
        <f>COUNTIF($B$2:$B$608,Tabela3[[#This Row],[Type]])</f>
        <v>167</v>
      </c>
      <c r="D244" s="9" t="s">
        <v>830</v>
      </c>
      <c r="E244" s="9"/>
      <c r="F244" s="9"/>
      <c r="G244" s="9">
        <v>20</v>
      </c>
      <c r="H244" s="9"/>
      <c r="I244" s="17" t="s">
        <v>1273</v>
      </c>
      <c r="J244" s="10"/>
      <c r="K244" s="16" t="str">
        <f t="shared" si="3"/>
        <v>Comum</v>
      </c>
    </row>
    <row r="245" spans="1:11" ht="29.25">
      <c r="A245" s="11" t="s">
        <v>1274</v>
      </c>
      <c r="B245" s="11" t="s">
        <v>128</v>
      </c>
      <c r="C245" s="11">
        <f>COUNTIF($B$2:$B$608,Tabela3[[#This Row],[Type]])</f>
        <v>18</v>
      </c>
      <c r="D245" s="9" t="s">
        <v>825</v>
      </c>
      <c r="E245" s="9">
        <v>50</v>
      </c>
      <c r="F245" s="9">
        <v>100</v>
      </c>
      <c r="G245" s="9">
        <v>10</v>
      </c>
      <c r="H245" s="9"/>
      <c r="I245" s="17" t="s">
        <v>1275</v>
      </c>
      <c r="J245" s="10"/>
      <c r="K245" s="16" t="str">
        <f t="shared" si="3"/>
        <v>Comum</v>
      </c>
    </row>
    <row r="246" spans="1:11" ht="29.25">
      <c r="A246" s="11" t="s">
        <v>1276</v>
      </c>
      <c r="B246" s="11" t="s">
        <v>86</v>
      </c>
      <c r="C246" s="11">
        <f>COUNTIF($B$2:$B$608,Tabela3[[#This Row],[Type]])</f>
        <v>42</v>
      </c>
      <c r="D246" s="9" t="s">
        <v>835</v>
      </c>
      <c r="E246" s="9">
        <v>130</v>
      </c>
      <c r="F246" s="9">
        <v>90</v>
      </c>
      <c r="G246" s="9">
        <v>10</v>
      </c>
      <c r="H246" s="9"/>
      <c r="I246" s="17" t="s">
        <v>1277</v>
      </c>
      <c r="J246" s="10"/>
      <c r="K246" s="16" t="str">
        <f t="shared" si="3"/>
        <v>Muito Forte</v>
      </c>
    </row>
    <row r="247" spans="1:11" ht="29.25">
      <c r="A247" s="11" t="s">
        <v>1278</v>
      </c>
      <c r="B247" s="11" t="s">
        <v>42</v>
      </c>
      <c r="C247" s="11">
        <f>COUNTIF($B$2:$B$608,Tabela3[[#This Row],[Type]])</f>
        <v>167</v>
      </c>
      <c r="D247" s="9" t="s">
        <v>825</v>
      </c>
      <c r="E247" s="9"/>
      <c r="F247" s="9">
        <v>100</v>
      </c>
      <c r="G247" s="9">
        <v>15</v>
      </c>
      <c r="H247" s="9" t="s">
        <v>1279</v>
      </c>
      <c r="I247" s="17" t="s">
        <v>1280</v>
      </c>
      <c r="J247" s="10"/>
      <c r="K247" s="16" t="str">
        <f t="shared" si="3"/>
        <v>Comum</v>
      </c>
    </row>
    <row r="248" spans="1:11" ht="16.5">
      <c r="A248" s="11" t="s">
        <v>1281</v>
      </c>
      <c r="B248" s="11" t="s">
        <v>170</v>
      </c>
      <c r="C248" s="11">
        <f>COUNTIF($B$2:$B$608,Tabela3[[#This Row],[Type]])</f>
        <v>31</v>
      </c>
      <c r="D248" s="9" t="s">
        <v>830</v>
      </c>
      <c r="E248" s="9"/>
      <c r="F248" s="9"/>
      <c r="G248" s="9">
        <v>15</v>
      </c>
      <c r="H248" s="9" t="s">
        <v>1282</v>
      </c>
      <c r="I248" s="17" t="s">
        <v>1283</v>
      </c>
      <c r="J248" s="10"/>
      <c r="K248" s="16" t="str">
        <f t="shared" si="3"/>
        <v>Comum</v>
      </c>
    </row>
    <row r="249" spans="1:11" ht="16.5">
      <c r="A249" s="11" t="s">
        <v>1284</v>
      </c>
      <c r="B249" s="11" t="s">
        <v>42</v>
      </c>
      <c r="C249" s="11">
        <f>COUNTIF($B$2:$B$608,Tabela3[[#This Row],[Type]])</f>
        <v>167</v>
      </c>
      <c r="D249" s="9" t="s">
        <v>835</v>
      </c>
      <c r="E249" s="9">
        <v>65</v>
      </c>
      <c r="F249" s="9">
        <v>100</v>
      </c>
      <c r="G249" s="9">
        <v>25</v>
      </c>
      <c r="H249" s="9"/>
      <c r="I249" s="17"/>
      <c r="J249" s="10"/>
      <c r="K249" s="16" t="str">
        <f t="shared" si="3"/>
        <v>Comum</v>
      </c>
    </row>
    <row r="250" spans="1:11" ht="16.5">
      <c r="A250" s="11" t="s">
        <v>1285</v>
      </c>
      <c r="B250" s="11" t="s">
        <v>42</v>
      </c>
      <c r="C250" s="11">
        <f>COUNTIF($B$2:$B$608,Tabela3[[#This Row],[Type]])</f>
        <v>167</v>
      </c>
      <c r="D250" s="9" t="s">
        <v>835</v>
      </c>
      <c r="E250" s="9"/>
      <c r="F250" s="9"/>
      <c r="G250" s="9">
        <v>5</v>
      </c>
      <c r="H250" s="9"/>
      <c r="I250" s="17" t="s">
        <v>1139</v>
      </c>
      <c r="J250" s="10"/>
      <c r="K250" s="16" t="str">
        <f t="shared" si="3"/>
        <v>Comum</v>
      </c>
    </row>
    <row r="251" spans="1:11" ht="29.25">
      <c r="A251" s="11" t="s">
        <v>1286</v>
      </c>
      <c r="B251" s="11" t="s">
        <v>16</v>
      </c>
      <c r="C251" s="11">
        <f>COUNTIF($B$2:$B$608,Tabela3[[#This Row],[Type]])</f>
        <v>37</v>
      </c>
      <c r="D251" s="9" t="s">
        <v>835</v>
      </c>
      <c r="E251" s="9">
        <v>75</v>
      </c>
      <c r="F251" s="9">
        <v>100</v>
      </c>
      <c r="G251" s="9">
        <v>10</v>
      </c>
      <c r="H251" s="9"/>
      <c r="I251" s="17" t="s">
        <v>826</v>
      </c>
      <c r="J251" s="10"/>
      <c r="K251" s="16" t="str">
        <f t="shared" si="3"/>
        <v>Forte</v>
      </c>
    </row>
    <row r="252" spans="1:11" ht="16.5">
      <c r="A252" s="11" t="s">
        <v>1287</v>
      </c>
      <c r="B252" s="11" t="s">
        <v>42</v>
      </c>
      <c r="C252" s="11">
        <f>COUNTIF($B$2:$B$608,Tabela3[[#This Row],[Type]])</f>
        <v>167</v>
      </c>
      <c r="D252" s="9" t="s">
        <v>830</v>
      </c>
      <c r="E252" s="9"/>
      <c r="F252" s="9"/>
      <c r="G252" s="9">
        <v>40</v>
      </c>
      <c r="H252" s="9"/>
      <c r="I252" s="17" t="s">
        <v>1288</v>
      </c>
      <c r="J252" s="10"/>
      <c r="K252" s="16" t="str">
        <f t="shared" si="3"/>
        <v>Comum</v>
      </c>
    </row>
    <row r="253" spans="1:11" ht="16.5">
      <c r="A253" s="11" t="s">
        <v>1289</v>
      </c>
      <c r="B253" s="11" t="s">
        <v>25</v>
      </c>
      <c r="C253" s="11">
        <f>COUNTIF($B$2:$B$608,Tabela3[[#This Row],[Type]])</f>
        <v>23</v>
      </c>
      <c r="D253" s="9" t="s">
        <v>825</v>
      </c>
      <c r="E253" s="9">
        <v>120</v>
      </c>
      <c r="F253" s="9">
        <v>70</v>
      </c>
      <c r="G253" s="9">
        <v>10</v>
      </c>
      <c r="H253" s="9"/>
      <c r="I253" s="17" t="s">
        <v>964</v>
      </c>
      <c r="J253" s="10">
        <v>30</v>
      </c>
      <c r="K253" s="16" t="str">
        <f t="shared" si="3"/>
        <v>Muito Forte</v>
      </c>
    </row>
    <row r="254" spans="1:11" ht="16.5">
      <c r="A254" s="11" t="s">
        <v>1290</v>
      </c>
      <c r="B254" s="11" t="s">
        <v>30</v>
      </c>
      <c r="C254" s="11">
        <f>COUNTIF($B$2:$B$608,Tabela3[[#This Row],[Type]])</f>
        <v>27</v>
      </c>
      <c r="D254" s="9" t="s">
        <v>825</v>
      </c>
      <c r="E254" s="9">
        <v>150</v>
      </c>
      <c r="F254" s="9">
        <v>90</v>
      </c>
      <c r="G254" s="9">
        <v>5</v>
      </c>
      <c r="H254" s="9"/>
      <c r="I254" s="17" t="s">
        <v>907</v>
      </c>
      <c r="J254" s="10"/>
      <c r="K254" s="16" t="str">
        <f t="shared" si="3"/>
        <v>Muito Forte</v>
      </c>
    </row>
    <row r="255" spans="1:11" ht="16.5">
      <c r="A255" s="11" t="s">
        <v>1291</v>
      </c>
      <c r="B255" s="11" t="s">
        <v>30</v>
      </c>
      <c r="C255" s="11">
        <f>COUNTIF($B$2:$B$608,Tabela3[[#This Row],[Type]])</f>
        <v>27</v>
      </c>
      <c r="D255" s="9" t="s">
        <v>825</v>
      </c>
      <c r="E255" s="9">
        <v>120</v>
      </c>
      <c r="F255" s="9">
        <v>80</v>
      </c>
      <c r="G255" s="9">
        <v>5</v>
      </c>
      <c r="H255" s="9"/>
      <c r="I255" s="17"/>
      <c r="J255" s="10"/>
      <c r="K255" s="16" t="str">
        <f t="shared" si="3"/>
        <v>Muito Forte</v>
      </c>
    </row>
    <row r="256" spans="1:11" ht="16.5">
      <c r="A256" s="11" t="s">
        <v>1292</v>
      </c>
      <c r="B256" s="11" t="s">
        <v>42</v>
      </c>
      <c r="C256" s="11">
        <f>COUNTIF($B$2:$B$608,Tabela3[[#This Row],[Type]])</f>
        <v>167</v>
      </c>
      <c r="D256" s="9" t="s">
        <v>825</v>
      </c>
      <c r="E256" s="9">
        <v>150</v>
      </c>
      <c r="F256" s="9">
        <v>90</v>
      </c>
      <c r="G256" s="9">
        <v>5</v>
      </c>
      <c r="H256" s="9" t="s">
        <v>1293</v>
      </c>
      <c r="I256" s="17" t="s">
        <v>907</v>
      </c>
      <c r="J256" s="10"/>
      <c r="K256" s="16" t="str">
        <f t="shared" si="3"/>
        <v>Muito Forte</v>
      </c>
    </row>
    <row r="257" spans="1:11" ht="16.5">
      <c r="A257" s="11" t="s">
        <v>1294</v>
      </c>
      <c r="B257" s="11" t="s">
        <v>42</v>
      </c>
      <c r="C257" s="11">
        <f>COUNTIF($B$2:$B$608,Tabela3[[#This Row],[Type]])</f>
        <v>167</v>
      </c>
      <c r="D257" s="9" t="s">
        <v>835</v>
      </c>
      <c r="E257" s="9">
        <v>80</v>
      </c>
      <c r="F257" s="9">
        <v>90</v>
      </c>
      <c r="G257" s="9">
        <v>15</v>
      </c>
      <c r="H257" s="9"/>
      <c r="I257" s="17" t="s">
        <v>852</v>
      </c>
      <c r="J257" s="10">
        <v>10</v>
      </c>
      <c r="K257" s="16" t="str">
        <f t="shared" si="3"/>
        <v>Forte</v>
      </c>
    </row>
    <row r="258" spans="1:11" ht="16.5">
      <c r="A258" s="11" t="s">
        <v>1295</v>
      </c>
      <c r="B258" s="11" t="s">
        <v>42</v>
      </c>
      <c r="C258" s="11">
        <f>COUNTIF($B$2:$B$608,Tabela3[[#This Row],[Type]])</f>
        <v>167</v>
      </c>
      <c r="D258" s="9" t="s">
        <v>825</v>
      </c>
      <c r="E258" s="9">
        <v>90</v>
      </c>
      <c r="F258" s="9">
        <v>100</v>
      </c>
      <c r="G258" s="9">
        <v>10</v>
      </c>
      <c r="H258" s="9"/>
      <c r="I258" s="17"/>
      <c r="J258" s="10"/>
      <c r="K258" s="16" t="str">
        <f t="shared" si="3"/>
        <v>Forte</v>
      </c>
    </row>
    <row r="259" spans="1:11" ht="16.5">
      <c r="A259" s="11" t="s">
        <v>1296</v>
      </c>
      <c r="B259" s="11" t="s">
        <v>94</v>
      </c>
      <c r="C259" s="11">
        <f>COUNTIF($B$2:$B$608,Tabela3[[#This Row],[Type]])</f>
        <v>53</v>
      </c>
      <c r="D259" s="9" t="s">
        <v>830</v>
      </c>
      <c r="E259" s="9"/>
      <c r="F259" s="9">
        <v>60</v>
      </c>
      <c r="G259" s="9">
        <v>20</v>
      </c>
      <c r="H259" s="9"/>
      <c r="I259" s="17" t="s">
        <v>1297</v>
      </c>
      <c r="J259" s="10"/>
      <c r="K259" s="16" t="str">
        <f t="shared" ref="K259:K322" si="4">IF(E259&gt;=100,"Muito Forte",
IF(E259&gt;=70,"Forte",
"Comum"))</f>
        <v>Comum</v>
      </c>
    </row>
    <row r="260" spans="1:11" ht="29.25">
      <c r="A260" s="11" t="s">
        <v>1298</v>
      </c>
      <c r="B260" s="11" t="s">
        <v>122</v>
      </c>
      <c r="C260" s="11">
        <f>COUNTIF($B$2:$B$608,Tabela3[[#This Row],[Type]])</f>
        <v>21</v>
      </c>
      <c r="D260" s="9" t="s">
        <v>835</v>
      </c>
      <c r="E260" s="9">
        <v>30</v>
      </c>
      <c r="F260" s="9">
        <v>90</v>
      </c>
      <c r="G260" s="9">
        <v>20</v>
      </c>
      <c r="H260" s="9"/>
      <c r="I260" s="17" t="s">
        <v>1299</v>
      </c>
      <c r="J260" s="10"/>
      <c r="K260" s="16" t="str">
        <f t="shared" si="4"/>
        <v>Comum</v>
      </c>
    </row>
    <row r="261" spans="1:11" ht="16.5">
      <c r="A261" s="11" t="s">
        <v>1300</v>
      </c>
      <c r="B261" s="11" t="s">
        <v>122</v>
      </c>
      <c r="C261" s="11">
        <f>COUNTIF($B$2:$B$608,Tabela3[[#This Row],[Type]])</f>
        <v>21</v>
      </c>
      <c r="D261" s="9" t="s">
        <v>825</v>
      </c>
      <c r="E261" s="9">
        <v>95</v>
      </c>
      <c r="F261" s="9">
        <v>100</v>
      </c>
      <c r="G261" s="9">
        <v>10</v>
      </c>
      <c r="H261" s="9" t="s">
        <v>1301</v>
      </c>
      <c r="I261" s="17" t="s">
        <v>912</v>
      </c>
      <c r="J261" s="10">
        <v>10</v>
      </c>
      <c r="K261" s="16" t="str">
        <f t="shared" si="4"/>
        <v>Forte</v>
      </c>
    </row>
    <row r="262" spans="1:11" ht="29.25">
      <c r="A262" s="11" t="s">
        <v>1302</v>
      </c>
      <c r="B262" s="11" t="s">
        <v>122</v>
      </c>
      <c r="C262" s="11">
        <f>COUNTIF($B$2:$B$608,Tabela3[[#This Row],[Type]])</f>
        <v>21</v>
      </c>
      <c r="D262" s="9" t="s">
        <v>825</v>
      </c>
      <c r="E262" s="9">
        <v>140</v>
      </c>
      <c r="F262" s="9">
        <v>90</v>
      </c>
      <c r="G262" s="9">
        <v>5</v>
      </c>
      <c r="H262" s="9"/>
      <c r="I262" s="17" t="s">
        <v>1303</v>
      </c>
      <c r="J262" s="10">
        <v>30</v>
      </c>
      <c r="K262" s="16" t="str">
        <f t="shared" si="4"/>
        <v>Muito Forte</v>
      </c>
    </row>
    <row r="263" spans="1:11" ht="29.25">
      <c r="A263" s="11" t="s">
        <v>1304</v>
      </c>
      <c r="B263" s="11" t="s">
        <v>122</v>
      </c>
      <c r="C263" s="11">
        <f>COUNTIF($B$2:$B$608,Tabela3[[#This Row],[Type]])</f>
        <v>21</v>
      </c>
      <c r="D263" s="9" t="s">
        <v>835</v>
      </c>
      <c r="E263" s="9">
        <v>65</v>
      </c>
      <c r="F263" s="9">
        <v>95</v>
      </c>
      <c r="G263" s="9">
        <v>15</v>
      </c>
      <c r="H263" s="9"/>
      <c r="I263" s="17" t="s">
        <v>1305</v>
      </c>
      <c r="J263" s="10">
        <v>10</v>
      </c>
      <c r="K263" s="16" t="str">
        <f t="shared" si="4"/>
        <v>Comum</v>
      </c>
    </row>
    <row r="264" spans="1:11" ht="16.5">
      <c r="A264" s="11" t="s">
        <v>1306</v>
      </c>
      <c r="B264" s="11" t="s">
        <v>122</v>
      </c>
      <c r="C264" s="11">
        <f>COUNTIF($B$2:$B$608,Tabela3[[#This Row],[Type]])</f>
        <v>21</v>
      </c>
      <c r="D264" s="9" t="s">
        <v>835</v>
      </c>
      <c r="E264" s="9">
        <v>75</v>
      </c>
      <c r="F264" s="9">
        <v>100</v>
      </c>
      <c r="G264" s="9">
        <v>15</v>
      </c>
      <c r="H264" s="9"/>
      <c r="I264" s="17" t="s">
        <v>912</v>
      </c>
      <c r="J264" s="10">
        <v>10</v>
      </c>
      <c r="K264" s="16" t="str">
        <f t="shared" si="4"/>
        <v>Forte</v>
      </c>
    </row>
    <row r="265" spans="1:11" ht="16.5">
      <c r="A265" s="11" t="s">
        <v>1307</v>
      </c>
      <c r="B265" s="11" t="s">
        <v>122</v>
      </c>
      <c r="C265" s="11">
        <f>COUNTIF($B$2:$B$608,Tabela3[[#This Row],[Type]])</f>
        <v>21</v>
      </c>
      <c r="D265" s="9" t="s">
        <v>835</v>
      </c>
      <c r="E265" s="9">
        <v>40</v>
      </c>
      <c r="F265" s="9">
        <v>100</v>
      </c>
      <c r="G265" s="9">
        <v>30</v>
      </c>
      <c r="H265" s="9"/>
      <c r="I265" s="17" t="s">
        <v>861</v>
      </c>
      <c r="J265" s="10"/>
      <c r="K265" s="16" t="str">
        <f t="shared" si="4"/>
        <v>Comum</v>
      </c>
    </row>
    <row r="266" spans="1:11" ht="16.5">
      <c r="A266" s="11" t="s">
        <v>1308</v>
      </c>
      <c r="B266" s="11" t="s">
        <v>122</v>
      </c>
      <c r="C266" s="11">
        <f>COUNTIF($B$2:$B$608,Tabela3[[#This Row],[Type]])</f>
        <v>21</v>
      </c>
      <c r="D266" s="9" t="s">
        <v>835</v>
      </c>
      <c r="E266" s="9">
        <v>85</v>
      </c>
      <c r="F266" s="9">
        <v>90</v>
      </c>
      <c r="G266" s="9">
        <v>10</v>
      </c>
      <c r="H266" s="9"/>
      <c r="I266" s="17" t="s">
        <v>852</v>
      </c>
      <c r="J266" s="10">
        <v>30</v>
      </c>
      <c r="K266" s="16" t="str">
        <f t="shared" si="4"/>
        <v>Forte</v>
      </c>
    </row>
    <row r="267" spans="1:11" ht="16.5">
      <c r="A267" s="11" t="s">
        <v>1309</v>
      </c>
      <c r="B267" s="11" t="s">
        <v>122</v>
      </c>
      <c r="C267" s="11">
        <f>COUNTIF($B$2:$B$608,Tabela3[[#This Row],[Type]])</f>
        <v>21</v>
      </c>
      <c r="D267" s="9" t="s">
        <v>835</v>
      </c>
      <c r="E267" s="9">
        <v>25</v>
      </c>
      <c r="F267" s="9">
        <v>100</v>
      </c>
      <c r="G267" s="9">
        <v>30</v>
      </c>
      <c r="H267" s="9"/>
      <c r="I267" s="17" t="s">
        <v>866</v>
      </c>
      <c r="J267" s="10"/>
      <c r="K267" s="16" t="str">
        <f t="shared" si="4"/>
        <v>Comum</v>
      </c>
    </row>
    <row r="268" spans="1:11" ht="16.5">
      <c r="A268" s="11" t="s">
        <v>1310</v>
      </c>
      <c r="B268" s="11" t="s">
        <v>122</v>
      </c>
      <c r="C268" s="11">
        <f>COUNTIF($B$2:$B$608,Tabela3[[#This Row],[Type]])</f>
        <v>21</v>
      </c>
      <c r="D268" s="9" t="s">
        <v>825</v>
      </c>
      <c r="E268" s="9">
        <v>55</v>
      </c>
      <c r="F268" s="9">
        <v>95</v>
      </c>
      <c r="G268" s="9">
        <v>15</v>
      </c>
      <c r="H268" s="9"/>
      <c r="I268" s="17" t="s">
        <v>946</v>
      </c>
      <c r="J268" s="10">
        <v>100</v>
      </c>
      <c r="K268" s="16" t="str">
        <f t="shared" si="4"/>
        <v>Comum</v>
      </c>
    </row>
    <row r="269" spans="1:11" ht="29.25">
      <c r="A269" s="11" t="s">
        <v>1311</v>
      </c>
      <c r="B269" s="11" t="s">
        <v>94</v>
      </c>
      <c r="C269" s="11">
        <f>COUNTIF($B$2:$B$608,Tabela3[[#This Row],[Type]])</f>
        <v>53</v>
      </c>
      <c r="D269" s="9" t="s">
        <v>830</v>
      </c>
      <c r="E269" s="9"/>
      <c r="F269" s="9"/>
      <c r="G269" s="9">
        <v>10</v>
      </c>
      <c r="H269" s="9"/>
      <c r="I269" s="17" t="s">
        <v>1312</v>
      </c>
      <c r="J269" s="10"/>
      <c r="K269" s="16" t="str">
        <f t="shared" si="4"/>
        <v>Comum</v>
      </c>
    </row>
    <row r="270" spans="1:11" ht="16.5">
      <c r="A270" s="11" t="s">
        <v>1313</v>
      </c>
      <c r="B270" s="11" t="s">
        <v>22</v>
      </c>
      <c r="C270" s="11">
        <f>COUNTIF($B$2:$B$608,Tabela3[[#This Row],[Type]])</f>
        <v>30</v>
      </c>
      <c r="D270" s="9" t="s">
        <v>825</v>
      </c>
      <c r="E270" s="9">
        <v>30</v>
      </c>
      <c r="F270" s="9">
        <v>100</v>
      </c>
      <c r="G270" s="9">
        <v>15</v>
      </c>
      <c r="H270" s="9" t="s">
        <v>1314</v>
      </c>
      <c r="I270" s="17" t="s">
        <v>1315</v>
      </c>
      <c r="J270" s="10"/>
      <c r="K270" s="16" t="str">
        <f t="shared" si="4"/>
        <v>Comum</v>
      </c>
    </row>
    <row r="271" spans="1:11" ht="16.5">
      <c r="A271" s="11" t="s">
        <v>1316</v>
      </c>
      <c r="B271" s="11" t="s">
        <v>22</v>
      </c>
      <c r="C271" s="11">
        <f>COUNTIF($B$2:$B$608,Tabela3[[#This Row],[Type]])</f>
        <v>30</v>
      </c>
      <c r="D271" s="9" t="s">
        <v>825</v>
      </c>
      <c r="E271" s="9">
        <v>100</v>
      </c>
      <c r="F271" s="9">
        <v>50</v>
      </c>
      <c r="G271" s="9">
        <v>5</v>
      </c>
      <c r="H271" s="9"/>
      <c r="I271" s="17" t="s">
        <v>1317</v>
      </c>
      <c r="J271" s="10">
        <v>100</v>
      </c>
      <c r="K271" s="16" t="str">
        <f t="shared" si="4"/>
        <v>Muito Forte</v>
      </c>
    </row>
    <row r="272" spans="1:11" ht="29.25">
      <c r="A272" s="11" t="s">
        <v>1318</v>
      </c>
      <c r="B272" s="11" t="s">
        <v>35</v>
      </c>
      <c r="C272" s="11">
        <f>COUNTIF($B$2:$B$608,Tabela3[[#This Row],[Type]])</f>
        <v>25</v>
      </c>
      <c r="D272" s="9" t="s">
        <v>825</v>
      </c>
      <c r="E272" s="9">
        <v>20</v>
      </c>
      <c r="F272" s="9">
        <v>100</v>
      </c>
      <c r="G272" s="9">
        <v>20</v>
      </c>
      <c r="H272" s="9"/>
      <c r="I272" s="17" t="s">
        <v>904</v>
      </c>
      <c r="J272" s="10"/>
      <c r="K272" s="16" t="str">
        <f t="shared" si="4"/>
        <v>Comum</v>
      </c>
    </row>
    <row r="273" spans="1:11" ht="29.25">
      <c r="A273" s="11" t="s">
        <v>1319</v>
      </c>
      <c r="B273" s="11" t="s">
        <v>16</v>
      </c>
      <c r="C273" s="11">
        <f>COUNTIF($B$2:$B$608,Tabela3[[#This Row],[Type]])</f>
        <v>37</v>
      </c>
      <c r="D273" s="9" t="s">
        <v>830</v>
      </c>
      <c r="E273" s="9"/>
      <c r="F273" s="9"/>
      <c r="G273" s="9">
        <v>20</v>
      </c>
      <c r="H273" s="9"/>
      <c r="I273" s="17" t="s">
        <v>1320</v>
      </c>
      <c r="J273" s="10"/>
      <c r="K273" s="16" t="str">
        <f t="shared" si="4"/>
        <v>Comum</v>
      </c>
    </row>
    <row r="274" spans="1:11" ht="29.25">
      <c r="A274" s="11" t="s">
        <v>1321</v>
      </c>
      <c r="B274" s="11" t="s">
        <v>52</v>
      </c>
      <c r="C274" s="11">
        <f>COUNTIF($B$2:$B$608,Tabela3[[#This Row],[Type]])</f>
        <v>28</v>
      </c>
      <c r="D274" s="9" t="s">
        <v>830</v>
      </c>
      <c r="E274" s="9"/>
      <c r="F274" s="9"/>
      <c r="G274" s="9">
        <v>25</v>
      </c>
      <c r="H274" s="9"/>
      <c r="I274" s="17" t="s">
        <v>1322</v>
      </c>
      <c r="J274" s="10"/>
      <c r="K274" s="16" t="str">
        <f t="shared" si="4"/>
        <v>Comum</v>
      </c>
    </row>
    <row r="275" spans="1:11" ht="16.5">
      <c r="A275" s="11" t="s">
        <v>1323</v>
      </c>
      <c r="B275" s="11" t="s">
        <v>115</v>
      </c>
      <c r="C275" s="11">
        <f>COUNTIF($B$2:$B$608,Tabela3[[#This Row],[Type]])</f>
        <v>19</v>
      </c>
      <c r="D275" s="9" t="s">
        <v>830</v>
      </c>
      <c r="E275" s="9"/>
      <c r="F275" s="9"/>
      <c r="G275" s="9">
        <v>15</v>
      </c>
      <c r="H275" s="9"/>
      <c r="I275" s="17" t="s">
        <v>831</v>
      </c>
      <c r="J275" s="10"/>
      <c r="K275" s="16" t="str">
        <f t="shared" si="4"/>
        <v>Comum</v>
      </c>
    </row>
    <row r="276" spans="1:11" ht="16.5">
      <c r="A276" s="11" t="s">
        <v>1324</v>
      </c>
      <c r="B276" s="11" t="s">
        <v>115</v>
      </c>
      <c r="C276" s="11">
        <f>COUNTIF($B$2:$B$608,Tabela3[[#This Row],[Type]])</f>
        <v>19</v>
      </c>
      <c r="D276" s="9" t="s">
        <v>835</v>
      </c>
      <c r="E276" s="9">
        <v>80</v>
      </c>
      <c r="F276" s="9">
        <v>100</v>
      </c>
      <c r="G276" s="9">
        <v>15</v>
      </c>
      <c r="H276" s="9"/>
      <c r="I276" s="17" t="s">
        <v>852</v>
      </c>
      <c r="J276" s="10">
        <v>30</v>
      </c>
      <c r="K276" s="16" t="str">
        <f t="shared" si="4"/>
        <v>Forte</v>
      </c>
    </row>
    <row r="277" spans="1:11" ht="16.5">
      <c r="A277" s="11" t="s">
        <v>1325</v>
      </c>
      <c r="B277" s="11" t="s">
        <v>115</v>
      </c>
      <c r="C277" s="11">
        <f>COUNTIF($B$2:$B$608,Tabela3[[#This Row],[Type]])</f>
        <v>19</v>
      </c>
      <c r="D277" s="9" t="s">
        <v>835</v>
      </c>
      <c r="E277" s="9">
        <v>100</v>
      </c>
      <c r="F277" s="9">
        <v>75</v>
      </c>
      <c r="G277" s="9">
        <v>15</v>
      </c>
      <c r="H277" s="9"/>
      <c r="I277" s="17" t="s">
        <v>1007</v>
      </c>
      <c r="J277" s="10">
        <v>10</v>
      </c>
      <c r="K277" s="16" t="str">
        <f t="shared" si="4"/>
        <v>Muito Forte</v>
      </c>
    </row>
    <row r="278" spans="1:11" ht="29.25">
      <c r="A278" s="11" t="s">
        <v>1326</v>
      </c>
      <c r="B278" s="11" t="s">
        <v>42</v>
      </c>
      <c r="C278" s="11">
        <f>COUNTIF($B$2:$B$608,Tabela3[[#This Row],[Type]])</f>
        <v>167</v>
      </c>
      <c r="D278" s="9" t="s">
        <v>825</v>
      </c>
      <c r="E278" s="9">
        <v>100</v>
      </c>
      <c r="F278" s="9">
        <v>100</v>
      </c>
      <c r="G278" s="9">
        <v>10</v>
      </c>
      <c r="H278" s="9"/>
      <c r="I278" s="17" t="s">
        <v>1327</v>
      </c>
      <c r="J278" s="10"/>
      <c r="K278" s="16" t="str">
        <f t="shared" si="4"/>
        <v>Muito Forte</v>
      </c>
    </row>
    <row r="279" spans="1:11" ht="29.25">
      <c r="A279" s="11" t="s">
        <v>1328</v>
      </c>
      <c r="B279" s="11" t="s">
        <v>86</v>
      </c>
      <c r="C279" s="11">
        <f>COUNTIF($B$2:$B$608,Tabela3[[#This Row],[Type]])</f>
        <v>42</v>
      </c>
      <c r="D279" s="9" t="s">
        <v>835</v>
      </c>
      <c r="E279" s="9">
        <v>100</v>
      </c>
      <c r="F279" s="9">
        <v>95</v>
      </c>
      <c r="G279" s="9">
        <v>10</v>
      </c>
      <c r="H279" s="9"/>
      <c r="I279" s="17" t="s">
        <v>1277</v>
      </c>
      <c r="J279" s="10"/>
      <c r="K279" s="16" t="str">
        <f t="shared" si="4"/>
        <v>Muito Forte</v>
      </c>
    </row>
    <row r="280" spans="1:11" ht="16.5">
      <c r="A280" s="11" t="s">
        <v>1329</v>
      </c>
      <c r="B280" s="11" t="s">
        <v>86</v>
      </c>
      <c r="C280" s="11">
        <f>COUNTIF($B$2:$B$608,Tabela3[[#This Row],[Type]])</f>
        <v>42</v>
      </c>
      <c r="D280" s="9" t="s">
        <v>835</v>
      </c>
      <c r="E280" s="9">
        <v>50</v>
      </c>
      <c r="F280" s="9">
        <v>100</v>
      </c>
      <c r="G280" s="9">
        <v>25</v>
      </c>
      <c r="H280" s="9"/>
      <c r="I280" s="17" t="s">
        <v>845</v>
      </c>
      <c r="J280" s="10"/>
      <c r="K280" s="16" t="str">
        <f t="shared" si="4"/>
        <v>Comum</v>
      </c>
    </row>
    <row r="281" spans="1:11" ht="16.5">
      <c r="A281" s="11" t="s">
        <v>1330</v>
      </c>
      <c r="B281" s="11" t="s">
        <v>94</v>
      </c>
      <c r="C281" s="11">
        <f>COUNTIF($B$2:$B$608,Tabela3[[#This Row],[Type]])</f>
        <v>53</v>
      </c>
      <c r="D281" s="9" t="s">
        <v>830</v>
      </c>
      <c r="E281" s="9"/>
      <c r="F281" s="9">
        <v>80</v>
      </c>
      <c r="G281" s="9">
        <v>15</v>
      </c>
      <c r="H281" s="9"/>
      <c r="I281" s="17" t="s">
        <v>1154</v>
      </c>
      <c r="J281" s="10"/>
      <c r="K281" s="16" t="str">
        <f t="shared" si="4"/>
        <v>Comum</v>
      </c>
    </row>
    <row r="282" spans="1:11" ht="42.75">
      <c r="A282" s="11" t="s">
        <v>1331</v>
      </c>
      <c r="B282" s="11" t="s">
        <v>115</v>
      </c>
      <c r="C282" s="11">
        <f>COUNTIF($B$2:$B$608,Tabela3[[#This Row],[Type]])</f>
        <v>19</v>
      </c>
      <c r="D282" s="9" t="s">
        <v>830</v>
      </c>
      <c r="E282" s="9"/>
      <c r="F282" s="9"/>
      <c r="G282" s="9">
        <v>10</v>
      </c>
      <c r="H282" s="9"/>
      <c r="I282" s="17" t="s">
        <v>1332</v>
      </c>
      <c r="J282" s="10"/>
      <c r="K282" s="16" t="str">
        <f t="shared" si="4"/>
        <v>Comum</v>
      </c>
    </row>
    <row r="283" spans="1:11" ht="29.25">
      <c r="A283" s="11" t="s">
        <v>1333</v>
      </c>
      <c r="B283" s="11" t="s">
        <v>170</v>
      </c>
      <c r="C283" s="11">
        <f>COUNTIF($B$2:$B$608,Tabela3[[#This Row],[Type]])</f>
        <v>31</v>
      </c>
      <c r="D283" s="9" t="s">
        <v>835</v>
      </c>
      <c r="E283" s="9">
        <v>20</v>
      </c>
      <c r="F283" s="9">
        <v>100</v>
      </c>
      <c r="G283" s="9">
        <v>20</v>
      </c>
      <c r="H283" s="9"/>
      <c r="I283" s="17" t="s">
        <v>1334</v>
      </c>
      <c r="J283" s="10"/>
      <c r="K283" s="16" t="str">
        <f t="shared" si="4"/>
        <v>Comum</v>
      </c>
    </row>
    <row r="284" spans="1:11" ht="16.5">
      <c r="A284" s="11" t="s">
        <v>1335</v>
      </c>
      <c r="B284" s="11" t="s">
        <v>55</v>
      </c>
      <c r="C284" s="11">
        <f>COUNTIF($B$2:$B$608,Tabela3[[#This Row],[Type]])</f>
        <v>19</v>
      </c>
      <c r="D284" s="9" t="s">
        <v>835</v>
      </c>
      <c r="E284" s="9">
        <v>90</v>
      </c>
      <c r="F284" s="9">
        <v>100</v>
      </c>
      <c r="G284" s="9">
        <v>10</v>
      </c>
      <c r="H284" s="9"/>
      <c r="I284" s="17"/>
      <c r="J284" s="10"/>
      <c r="K284" s="16" t="str">
        <f t="shared" si="4"/>
        <v>Forte</v>
      </c>
    </row>
    <row r="285" spans="1:11" ht="29.25">
      <c r="A285" s="11" t="s">
        <v>1336</v>
      </c>
      <c r="B285" s="11" t="s">
        <v>42</v>
      </c>
      <c r="C285" s="11">
        <f>COUNTIF($B$2:$B$608,Tabela3[[#This Row],[Type]])</f>
        <v>167</v>
      </c>
      <c r="D285" s="9" t="s">
        <v>835</v>
      </c>
      <c r="E285" s="9">
        <v>140</v>
      </c>
      <c r="F285" s="9">
        <v>100</v>
      </c>
      <c r="G285" s="9">
        <v>5</v>
      </c>
      <c r="H285" s="9"/>
      <c r="I285" s="17" t="s">
        <v>1337</v>
      </c>
      <c r="J285" s="10"/>
      <c r="K285" s="16" t="str">
        <f t="shared" si="4"/>
        <v>Muito Forte</v>
      </c>
    </row>
    <row r="286" spans="1:11" ht="16.5">
      <c r="A286" s="11" t="s">
        <v>1338</v>
      </c>
      <c r="B286" s="11" t="s">
        <v>22</v>
      </c>
      <c r="C286" s="11">
        <f>COUNTIF($B$2:$B$608,Tabela3[[#This Row],[Type]])</f>
        <v>30</v>
      </c>
      <c r="D286" s="9" t="s">
        <v>825</v>
      </c>
      <c r="E286" s="9">
        <v>80</v>
      </c>
      <c r="F286" s="9">
        <v>100</v>
      </c>
      <c r="G286" s="9">
        <v>15</v>
      </c>
      <c r="H286" s="9"/>
      <c r="I286" s="17" t="s">
        <v>916</v>
      </c>
      <c r="J286" s="10">
        <v>30</v>
      </c>
      <c r="K286" s="16" t="str">
        <f t="shared" si="4"/>
        <v>Forte</v>
      </c>
    </row>
    <row r="287" spans="1:11" ht="16.5">
      <c r="A287" s="11" t="s">
        <v>1339</v>
      </c>
      <c r="B287" s="11" t="s">
        <v>16</v>
      </c>
      <c r="C287" s="11">
        <f>COUNTIF($B$2:$B$608,Tabela3[[#This Row],[Type]])</f>
        <v>37</v>
      </c>
      <c r="D287" s="9" t="s">
        <v>835</v>
      </c>
      <c r="E287" s="9">
        <v>90</v>
      </c>
      <c r="F287" s="9">
        <v>100</v>
      </c>
      <c r="G287" s="9">
        <v>15</v>
      </c>
      <c r="H287" s="9"/>
      <c r="I287" s="17" t="s">
        <v>845</v>
      </c>
      <c r="J287" s="10"/>
      <c r="K287" s="16" t="str">
        <f t="shared" si="4"/>
        <v>Forte</v>
      </c>
    </row>
    <row r="288" spans="1:11" ht="29.25">
      <c r="A288" s="11" t="s">
        <v>1340</v>
      </c>
      <c r="B288" s="11" t="s">
        <v>16</v>
      </c>
      <c r="C288" s="11">
        <f>COUNTIF($B$2:$B$608,Tabela3[[#This Row],[Type]])</f>
        <v>37</v>
      </c>
      <c r="D288" s="9" t="s">
        <v>825</v>
      </c>
      <c r="E288" s="9">
        <v>140</v>
      </c>
      <c r="F288" s="9">
        <v>90</v>
      </c>
      <c r="G288" s="9">
        <v>5</v>
      </c>
      <c r="H288" s="9"/>
      <c r="I288" s="17" t="s">
        <v>1049</v>
      </c>
      <c r="J288" s="10"/>
      <c r="K288" s="16" t="str">
        <f t="shared" si="4"/>
        <v>Muito Forte</v>
      </c>
    </row>
    <row r="289" spans="1:11" ht="16.5">
      <c r="A289" s="11" t="s">
        <v>1341</v>
      </c>
      <c r="B289" s="11" t="s">
        <v>16</v>
      </c>
      <c r="C289" s="11">
        <f>COUNTIF($B$2:$B$608,Tabela3[[#This Row],[Type]])</f>
        <v>37</v>
      </c>
      <c r="D289" s="9" t="s">
        <v>825</v>
      </c>
      <c r="E289" s="9">
        <v>65</v>
      </c>
      <c r="F289" s="9">
        <v>90</v>
      </c>
      <c r="G289" s="9">
        <v>10</v>
      </c>
      <c r="H289" s="9"/>
      <c r="I289" s="17" t="s">
        <v>1342</v>
      </c>
      <c r="J289" s="10">
        <v>30</v>
      </c>
      <c r="K289" s="16" t="str">
        <f t="shared" si="4"/>
        <v>Comum</v>
      </c>
    </row>
    <row r="290" spans="1:11" ht="29.25">
      <c r="A290" s="11" t="s">
        <v>1343</v>
      </c>
      <c r="B290" s="11" t="s">
        <v>35</v>
      </c>
      <c r="C290" s="11">
        <f>COUNTIF($B$2:$B$608,Tabela3[[#This Row],[Type]])</f>
        <v>25</v>
      </c>
      <c r="D290" s="9" t="s">
        <v>835</v>
      </c>
      <c r="E290" s="9">
        <v>20</v>
      </c>
      <c r="F290" s="9">
        <v>100</v>
      </c>
      <c r="G290" s="9">
        <v>15</v>
      </c>
      <c r="H290" s="9"/>
      <c r="I290" s="17" t="s">
        <v>826</v>
      </c>
      <c r="J290" s="10"/>
      <c r="K290" s="16" t="str">
        <f t="shared" si="4"/>
        <v>Comum</v>
      </c>
    </row>
    <row r="291" spans="1:11" ht="29.25">
      <c r="A291" s="11" t="s">
        <v>1344</v>
      </c>
      <c r="B291" s="11" t="s">
        <v>16</v>
      </c>
      <c r="C291" s="11">
        <f>COUNTIF($B$2:$B$608,Tabela3[[#This Row],[Type]])</f>
        <v>37</v>
      </c>
      <c r="D291" s="9" t="s">
        <v>830</v>
      </c>
      <c r="E291" s="9"/>
      <c r="F291" s="9">
        <v>90</v>
      </c>
      <c r="G291" s="9">
        <v>10</v>
      </c>
      <c r="H291" s="9"/>
      <c r="I291" s="17" t="s">
        <v>1345</v>
      </c>
      <c r="J291" s="10"/>
      <c r="K291" s="16" t="str">
        <f t="shared" si="4"/>
        <v>Comum</v>
      </c>
    </row>
    <row r="292" spans="1:11" ht="16.5">
      <c r="A292" s="11" t="s">
        <v>1346</v>
      </c>
      <c r="B292" s="11" t="s">
        <v>42</v>
      </c>
      <c r="C292" s="11">
        <f>COUNTIF($B$2:$B$608,Tabela3[[#This Row],[Type]])</f>
        <v>167</v>
      </c>
      <c r="D292" s="9" t="s">
        <v>830</v>
      </c>
      <c r="E292" s="9"/>
      <c r="F292" s="9">
        <v>100</v>
      </c>
      <c r="G292" s="9">
        <v>30</v>
      </c>
      <c r="H292" s="9"/>
      <c r="I292" s="17" t="s">
        <v>1347</v>
      </c>
      <c r="J292" s="10"/>
      <c r="K292" s="16" t="str">
        <f t="shared" si="4"/>
        <v>Comum</v>
      </c>
    </row>
    <row r="293" spans="1:11" ht="16.5">
      <c r="A293" s="11" t="s">
        <v>1348</v>
      </c>
      <c r="B293" s="11" t="s">
        <v>128</v>
      </c>
      <c r="C293" s="11">
        <f>COUNTIF($B$2:$B$608,Tabela3[[#This Row],[Type]])</f>
        <v>18</v>
      </c>
      <c r="D293" s="9" t="s">
        <v>835</v>
      </c>
      <c r="E293" s="9">
        <v>20</v>
      </c>
      <c r="F293" s="9">
        <v>100</v>
      </c>
      <c r="G293" s="9">
        <v>30</v>
      </c>
      <c r="H293" s="9"/>
      <c r="I293" s="17" t="s">
        <v>918</v>
      </c>
      <c r="J293" s="10">
        <v>30</v>
      </c>
      <c r="K293" s="16" t="str">
        <f t="shared" si="4"/>
        <v>Comum</v>
      </c>
    </row>
    <row r="294" spans="1:11" ht="29.25">
      <c r="A294" s="11" t="s">
        <v>1349</v>
      </c>
      <c r="B294" s="11" t="s">
        <v>94</v>
      </c>
      <c r="C294" s="11">
        <f>COUNTIF($B$2:$B$608,Tabela3[[#This Row],[Type]])</f>
        <v>53</v>
      </c>
      <c r="D294" s="9" t="s">
        <v>830</v>
      </c>
      <c r="E294" s="9"/>
      <c r="F294" s="9"/>
      <c r="G294" s="9">
        <v>30</v>
      </c>
      <c r="H294" s="9" t="s">
        <v>1350</v>
      </c>
      <c r="I294" s="17" t="s">
        <v>1351</v>
      </c>
      <c r="J294" s="10"/>
      <c r="K294" s="16" t="str">
        <f t="shared" si="4"/>
        <v>Comum</v>
      </c>
    </row>
    <row r="295" spans="1:11" ht="29.25">
      <c r="A295" s="11" t="s">
        <v>1352</v>
      </c>
      <c r="B295" s="11" t="s">
        <v>42</v>
      </c>
      <c r="C295" s="11">
        <f>COUNTIF($B$2:$B$608,Tabela3[[#This Row],[Type]])</f>
        <v>167</v>
      </c>
      <c r="D295" s="9" t="s">
        <v>830</v>
      </c>
      <c r="E295" s="9"/>
      <c r="F295" s="9"/>
      <c r="G295" s="9">
        <v>5</v>
      </c>
      <c r="H295" s="9"/>
      <c r="I295" s="17" t="s">
        <v>1353</v>
      </c>
      <c r="J295" s="10"/>
      <c r="K295" s="16" t="str">
        <f t="shared" si="4"/>
        <v>Comum</v>
      </c>
    </row>
    <row r="296" spans="1:11" ht="29.25">
      <c r="A296" s="11" t="s">
        <v>1354</v>
      </c>
      <c r="B296" s="11" t="s">
        <v>42</v>
      </c>
      <c r="C296" s="11">
        <f>COUNTIF($B$2:$B$608,Tabela3[[#This Row],[Type]])</f>
        <v>167</v>
      </c>
      <c r="D296" s="9" t="s">
        <v>830</v>
      </c>
      <c r="E296" s="9"/>
      <c r="F296" s="9">
        <v>75</v>
      </c>
      <c r="G296" s="9">
        <v>10</v>
      </c>
      <c r="H296" s="9"/>
      <c r="I296" s="17" t="s">
        <v>1355</v>
      </c>
      <c r="J296" s="10"/>
      <c r="K296" s="16" t="str">
        <f t="shared" si="4"/>
        <v>Comum</v>
      </c>
    </row>
    <row r="297" spans="1:11" ht="29.25">
      <c r="A297" s="11" t="s">
        <v>1356</v>
      </c>
      <c r="B297" s="11" t="s">
        <v>86</v>
      </c>
      <c r="C297" s="11">
        <f>COUNTIF($B$2:$B$608,Tabela3[[#This Row],[Type]])</f>
        <v>42</v>
      </c>
      <c r="D297" s="9" t="s">
        <v>835</v>
      </c>
      <c r="E297" s="9"/>
      <c r="F297" s="9">
        <v>100</v>
      </c>
      <c r="G297" s="9">
        <v>20</v>
      </c>
      <c r="H297" s="9"/>
      <c r="I297" s="17" t="s">
        <v>1217</v>
      </c>
      <c r="J297" s="10"/>
      <c r="K297" s="16" t="str">
        <f t="shared" si="4"/>
        <v>Comum</v>
      </c>
    </row>
    <row r="298" spans="1:11" ht="16.5">
      <c r="A298" s="11" t="s">
        <v>1357</v>
      </c>
      <c r="B298" s="11" t="s">
        <v>86</v>
      </c>
      <c r="C298" s="11">
        <f>COUNTIF($B$2:$B$608,Tabela3[[#This Row],[Type]])</f>
        <v>42</v>
      </c>
      <c r="D298" s="9" t="s">
        <v>835</v>
      </c>
      <c r="E298" s="9">
        <v>60</v>
      </c>
      <c r="F298" s="9">
        <v>100</v>
      </c>
      <c r="G298" s="9">
        <v>20</v>
      </c>
      <c r="H298" s="9" t="s">
        <v>1358</v>
      </c>
      <c r="I298" s="17" t="s">
        <v>946</v>
      </c>
      <c r="J298" s="10">
        <v>100</v>
      </c>
      <c r="K298" s="16" t="str">
        <f t="shared" si="4"/>
        <v>Comum</v>
      </c>
    </row>
    <row r="299" spans="1:11" ht="29.25">
      <c r="A299" s="11" t="s">
        <v>1359</v>
      </c>
      <c r="B299" s="11" t="s">
        <v>42</v>
      </c>
      <c r="C299" s="11">
        <f>COUNTIF($B$2:$B$608,Tabela3[[#This Row],[Type]])</f>
        <v>167</v>
      </c>
      <c r="D299" s="9" t="s">
        <v>830</v>
      </c>
      <c r="E299" s="9"/>
      <c r="F299" s="9"/>
      <c r="G299" s="9">
        <v>30</v>
      </c>
      <c r="H299" s="9"/>
      <c r="I299" s="17" t="s">
        <v>1360</v>
      </c>
      <c r="J299" s="10"/>
      <c r="K299" s="16" t="str">
        <f t="shared" si="4"/>
        <v>Comum</v>
      </c>
    </row>
    <row r="300" spans="1:11" ht="29.25">
      <c r="A300" s="11" t="s">
        <v>1361</v>
      </c>
      <c r="B300" s="11" t="s">
        <v>94</v>
      </c>
      <c r="C300" s="11">
        <f>COUNTIF($B$2:$B$608,Tabela3[[#This Row],[Type]])</f>
        <v>53</v>
      </c>
      <c r="D300" s="9" t="s">
        <v>830</v>
      </c>
      <c r="E300" s="9"/>
      <c r="F300" s="9"/>
      <c r="G300" s="9">
        <v>10</v>
      </c>
      <c r="H300" s="9"/>
      <c r="I300" s="17" t="s">
        <v>1362</v>
      </c>
      <c r="J300" s="10"/>
      <c r="K300" s="16" t="str">
        <f t="shared" si="4"/>
        <v>Comum</v>
      </c>
    </row>
    <row r="301" spans="1:11" ht="29.25">
      <c r="A301" s="11" t="s">
        <v>1363</v>
      </c>
      <c r="B301" s="11" t="s">
        <v>94</v>
      </c>
      <c r="C301" s="11">
        <f>COUNTIF($B$2:$B$608,Tabela3[[#This Row],[Type]])</f>
        <v>53</v>
      </c>
      <c r="D301" s="9" t="s">
        <v>825</v>
      </c>
      <c r="E301" s="9">
        <v>70</v>
      </c>
      <c r="F301" s="9">
        <v>100</v>
      </c>
      <c r="G301" s="9">
        <v>5</v>
      </c>
      <c r="H301" s="9"/>
      <c r="I301" s="17" t="s">
        <v>828</v>
      </c>
      <c r="J301" s="10">
        <v>50</v>
      </c>
      <c r="K301" s="16" t="str">
        <f t="shared" si="4"/>
        <v>Forte</v>
      </c>
    </row>
    <row r="302" spans="1:11" ht="16.5">
      <c r="A302" s="11" t="s">
        <v>1364</v>
      </c>
      <c r="B302" s="11" t="s">
        <v>86</v>
      </c>
      <c r="C302" s="11">
        <f>COUNTIF($B$2:$B$608,Tabela3[[#This Row],[Type]])</f>
        <v>42</v>
      </c>
      <c r="D302" s="9" t="s">
        <v>835</v>
      </c>
      <c r="E302" s="9">
        <v>40</v>
      </c>
      <c r="F302" s="9">
        <v>100</v>
      </c>
      <c r="G302" s="9">
        <v>30</v>
      </c>
      <c r="H302" s="9"/>
      <c r="I302" s="17" t="s">
        <v>861</v>
      </c>
      <c r="J302" s="10"/>
      <c r="K302" s="16" t="str">
        <f t="shared" si="4"/>
        <v>Comum</v>
      </c>
    </row>
    <row r="303" spans="1:11" ht="29.25">
      <c r="A303" s="11" t="s">
        <v>1365</v>
      </c>
      <c r="B303" s="11" t="s">
        <v>94</v>
      </c>
      <c r="C303" s="11">
        <f>COUNTIF($B$2:$B$608,Tabela3[[#This Row],[Type]])</f>
        <v>53</v>
      </c>
      <c r="D303" s="9" t="s">
        <v>830</v>
      </c>
      <c r="E303" s="9"/>
      <c r="F303" s="9"/>
      <c r="G303" s="9">
        <v>15</v>
      </c>
      <c r="H303" s="9"/>
      <c r="I303" s="17" t="s">
        <v>1366</v>
      </c>
      <c r="J303" s="10"/>
      <c r="K303" s="16" t="str">
        <f t="shared" si="4"/>
        <v>Comum</v>
      </c>
    </row>
    <row r="304" spans="1:11" ht="29.25">
      <c r="A304" s="11" t="s">
        <v>1367</v>
      </c>
      <c r="B304" s="11" t="s">
        <v>94</v>
      </c>
      <c r="C304" s="11">
        <f>COUNTIF($B$2:$B$608,Tabela3[[#This Row],[Type]])</f>
        <v>53</v>
      </c>
      <c r="D304" s="9" t="s">
        <v>830</v>
      </c>
      <c r="E304" s="9"/>
      <c r="F304" s="9"/>
      <c r="G304" s="9">
        <v>10</v>
      </c>
      <c r="H304" s="9"/>
      <c r="I304" s="17" t="s">
        <v>1368</v>
      </c>
      <c r="J304" s="10"/>
      <c r="K304" s="16" t="str">
        <f t="shared" si="4"/>
        <v>Comum</v>
      </c>
    </row>
    <row r="305" spans="1:11" ht="16.5">
      <c r="A305" s="11" t="s">
        <v>1369</v>
      </c>
      <c r="B305" s="11" t="s">
        <v>16</v>
      </c>
      <c r="C305" s="11">
        <f>COUNTIF($B$2:$B$608,Tabela3[[#This Row],[Type]])</f>
        <v>37</v>
      </c>
      <c r="D305" s="9" t="s">
        <v>825</v>
      </c>
      <c r="E305" s="9">
        <v>60</v>
      </c>
      <c r="F305" s="9" t="s">
        <v>841</v>
      </c>
      <c r="G305" s="9">
        <v>20</v>
      </c>
      <c r="H305" s="9"/>
      <c r="I305" s="17" t="s">
        <v>843</v>
      </c>
      <c r="J305" s="10"/>
      <c r="K305" s="16" t="str">
        <f t="shared" si="4"/>
        <v>Comum</v>
      </c>
    </row>
    <row r="306" spans="1:11" ht="29.25">
      <c r="A306" s="11" t="s">
        <v>1370</v>
      </c>
      <c r="B306" s="11" t="s">
        <v>22</v>
      </c>
      <c r="C306" s="11">
        <f>COUNTIF($B$2:$B$608,Tabela3[[#This Row],[Type]])</f>
        <v>30</v>
      </c>
      <c r="D306" s="9" t="s">
        <v>825</v>
      </c>
      <c r="E306" s="9">
        <v>120</v>
      </c>
      <c r="F306" s="9">
        <v>75</v>
      </c>
      <c r="G306" s="9">
        <v>5</v>
      </c>
      <c r="H306" s="9"/>
      <c r="I306" s="17" t="s">
        <v>904</v>
      </c>
      <c r="J306" s="10"/>
      <c r="K306" s="16" t="str">
        <f t="shared" si="4"/>
        <v>Muito Forte</v>
      </c>
    </row>
    <row r="307" spans="1:11" ht="16.5">
      <c r="A307" s="11" t="s">
        <v>1371</v>
      </c>
      <c r="B307" s="11" t="s">
        <v>115</v>
      </c>
      <c r="C307" s="11">
        <f>COUNTIF($B$2:$B$608,Tabela3[[#This Row],[Type]])</f>
        <v>19</v>
      </c>
      <c r="D307" s="9" t="s">
        <v>835</v>
      </c>
      <c r="E307" s="9">
        <v>60</v>
      </c>
      <c r="F307" s="9" t="s">
        <v>841</v>
      </c>
      <c r="G307" s="9">
        <v>20</v>
      </c>
      <c r="H307" s="9"/>
      <c r="I307" s="17" t="s">
        <v>843</v>
      </c>
      <c r="J307" s="10"/>
      <c r="K307" s="16" t="str">
        <f t="shared" si="4"/>
        <v>Comum</v>
      </c>
    </row>
    <row r="308" spans="1:11" ht="29.25">
      <c r="A308" s="11" t="s">
        <v>1372</v>
      </c>
      <c r="B308" s="11" t="s">
        <v>52</v>
      </c>
      <c r="C308" s="11">
        <f>COUNTIF($B$2:$B$608,Tabela3[[#This Row],[Type]])</f>
        <v>28</v>
      </c>
      <c r="D308" s="9" t="s">
        <v>830</v>
      </c>
      <c r="E308" s="9"/>
      <c r="F308" s="9"/>
      <c r="G308" s="9">
        <v>10</v>
      </c>
      <c r="H308" s="9"/>
      <c r="I308" s="17" t="s">
        <v>1373</v>
      </c>
      <c r="J308" s="10"/>
      <c r="K308" s="16" t="str">
        <f t="shared" si="4"/>
        <v>Comum</v>
      </c>
    </row>
    <row r="309" spans="1:11" ht="29.25">
      <c r="A309" s="11" t="s">
        <v>1374</v>
      </c>
      <c r="B309" s="11" t="s">
        <v>52</v>
      </c>
      <c r="C309" s="11">
        <f>COUNTIF($B$2:$B$608,Tabela3[[#This Row],[Type]])</f>
        <v>28</v>
      </c>
      <c r="D309" s="9" t="s">
        <v>830</v>
      </c>
      <c r="E309" s="9"/>
      <c r="F309" s="9"/>
      <c r="G309" s="9">
        <v>20</v>
      </c>
      <c r="H309" s="9"/>
      <c r="I309" s="17" t="s">
        <v>1375</v>
      </c>
      <c r="J309" s="10"/>
      <c r="K309" s="16" t="str">
        <f t="shared" si="4"/>
        <v>Comum</v>
      </c>
    </row>
    <row r="310" spans="1:11" ht="16.5">
      <c r="A310" s="11" t="s">
        <v>1376</v>
      </c>
      <c r="B310" s="11" t="s">
        <v>55</v>
      </c>
      <c r="C310" s="11">
        <f>COUNTIF($B$2:$B$608,Tabela3[[#This Row],[Type]])</f>
        <v>19</v>
      </c>
      <c r="D310" s="9" t="s">
        <v>835</v>
      </c>
      <c r="E310" s="9"/>
      <c r="F310" s="9">
        <v>100</v>
      </c>
      <c r="G310" s="9">
        <v>30</v>
      </c>
      <c r="H310" s="9"/>
      <c r="I310" s="17" t="s">
        <v>1377</v>
      </c>
      <c r="J310" s="10"/>
      <c r="K310" s="16" t="str">
        <f t="shared" si="4"/>
        <v>Comum</v>
      </c>
    </row>
    <row r="311" spans="1:11" ht="29.25">
      <c r="A311" s="11" t="s">
        <v>1378</v>
      </c>
      <c r="B311" s="11" t="s">
        <v>86</v>
      </c>
      <c r="C311" s="11">
        <f>COUNTIF($B$2:$B$608,Tabela3[[#This Row],[Type]])</f>
        <v>42</v>
      </c>
      <c r="D311" s="9" t="s">
        <v>830</v>
      </c>
      <c r="E311" s="9"/>
      <c r="F311" s="9"/>
      <c r="G311" s="9">
        <v>15</v>
      </c>
      <c r="H311" s="9"/>
      <c r="I311" s="17" t="s">
        <v>1379</v>
      </c>
      <c r="J311" s="10"/>
      <c r="K311" s="16" t="str">
        <f t="shared" si="4"/>
        <v>Comum</v>
      </c>
    </row>
    <row r="312" spans="1:11" ht="29.25">
      <c r="A312" s="11" t="s">
        <v>1380</v>
      </c>
      <c r="B312" s="11" t="s">
        <v>42</v>
      </c>
      <c r="C312" s="11">
        <f>COUNTIF($B$2:$B$608,Tabela3[[#This Row],[Type]])</f>
        <v>167</v>
      </c>
      <c r="D312" s="9" t="s">
        <v>830</v>
      </c>
      <c r="E312" s="9"/>
      <c r="F312" s="9"/>
      <c r="G312" s="9">
        <v>20</v>
      </c>
      <c r="H312" s="9"/>
      <c r="I312" s="17" t="s">
        <v>1381</v>
      </c>
      <c r="J312" s="10"/>
      <c r="K312" s="16" t="str">
        <f t="shared" si="4"/>
        <v>Comum</v>
      </c>
    </row>
    <row r="313" spans="1:11" ht="16.5">
      <c r="A313" s="11" t="s">
        <v>1382</v>
      </c>
      <c r="B313" s="11" t="s">
        <v>42</v>
      </c>
      <c r="C313" s="11">
        <f>COUNTIF($B$2:$B$608,Tabela3[[#This Row],[Type]])</f>
        <v>167</v>
      </c>
      <c r="D313" s="9" t="s">
        <v>830</v>
      </c>
      <c r="E313" s="9"/>
      <c r="F313" s="9"/>
      <c r="G313" s="9">
        <v>5</v>
      </c>
      <c r="H313" s="9"/>
      <c r="I313" s="17" t="s">
        <v>1383</v>
      </c>
      <c r="J313" s="10"/>
      <c r="K313" s="16" t="str">
        <f t="shared" si="4"/>
        <v>Comum</v>
      </c>
    </row>
    <row r="314" spans="1:11" ht="16.5">
      <c r="A314" s="11" t="s">
        <v>1384</v>
      </c>
      <c r="B314" s="11" t="s">
        <v>94</v>
      </c>
      <c r="C314" s="11">
        <f>COUNTIF($B$2:$B$608,Tabela3[[#This Row],[Type]])</f>
        <v>53</v>
      </c>
      <c r="D314" s="9" t="s">
        <v>830</v>
      </c>
      <c r="E314" s="9"/>
      <c r="F314" s="9"/>
      <c r="G314" s="9">
        <v>40</v>
      </c>
      <c r="H314" s="9"/>
      <c r="I314" s="17" t="s">
        <v>1288</v>
      </c>
      <c r="J314" s="10"/>
      <c r="K314" s="16" t="str">
        <f t="shared" si="4"/>
        <v>Comum</v>
      </c>
    </row>
    <row r="315" spans="1:11" ht="29.25">
      <c r="A315" s="11" t="s">
        <v>1385</v>
      </c>
      <c r="B315" s="11" t="s">
        <v>16</v>
      </c>
      <c r="C315" s="11">
        <f>COUNTIF($B$2:$B$608,Tabela3[[#This Row],[Type]])</f>
        <v>37</v>
      </c>
      <c r="D315" s="9" t="s">
        <v>825</v>
      </c>
      <c r="E315" s="9">
        <v>40</v>
      </c>
      <c r="F315" s="9">
        <v>100</v>
      </c>
      <c r="G315" s="9">
        <v>15</v>
      </c>
      <c r="H315" s="9"/>
      <c r="I315" s="17" t="s">
        <v>826</v>
      </c>
      <c r="J315" s="10"/>
      <c r="K315" s="16" t="str">
        <f t="shared" si="4"/>
        <v>Comum</v>
      </c>
    </row>
    <row r="316" spans="1:11" ht="16.5">
      <c r="A316" s="11" t="s">
        <v>1386</v>
      </c>
      <c r="B316" s="11" t="s">
        <v>42</v>
      </c>
      <c r="C316" s="11">
        <f>COUNTIF($B$2:$B$608,Tabela3[[#This Row],[Type]])</f>
        <v>167</v>
      </c>
      <c r="D316" s="9" t="s">
        <v>835</v>
      </c>
      <c r="E316" s="9">
        <v>120</v>
      </c>
      <c r="F316" s="9">
        <v>75</v>
      </c>
      <c r="G316" s="9">
        <v>5</v>
      </c>
      <c r="H316" s="9"/>
      <c r="I316" s="17"/>
      <c r="J316" s="10"/>
      <c r="K316" s="16" t="str">
        <f t="shared" si="4"/>
        <v>Muito Forte</v>
      </c>
    </row>
    <row r="317" spans="1:11" ht="16.5">
      <c r="A317" s="11" t="s">
        <v>1387</v>
      </c>
      <c r="B317" s="11" t="s">
        <v>42</v>
      </c>
      <c r="C317" s="11">
        <f>COUNTIF($B$2:$B$608,Tabela3[[#This Row],[Type]])</f>
        <v>167</v>
      </c>
      <c r="D317" s="9" t="s">
        <v>835</v>
      </c>
      <c r="E317" s="9">
        <v>80</v>
      </c>
      <c r="F317" s="9">
        <v>85</v>
      </c>
      <c r="G317" s="9">
        <v>20</v>
      </c>
      <c r="H317" s="9"/>
      <c r="I317" s="17"/>
      <c r="J317" s="10"/>
      <c r="K317" s="16" t="str">
        <f t="shared" si="4"/>
        <v>Forte</v>
      </c>
    </row>
    <row r="318" spans="1:11" ht="16.5">
      <c r="A318" s="11" t="s">
        <v>1388</v>
      </c>
      <c r="B318" s="11" t="s">
        <v>35</v>
      </c>
      <c r="C318" s="11">
        <f>COUNTIF($B$2:$B$608,Tabela3[[#This Row],[Type]])</f>
        <v>25</v>
      </c>
      <c r="D318" s="9" t="s">
        <v>835</v>
      </c>
      <c r="E318" s="9">
        <v>120</v>
      </c>
      <c r="F318" s="9">
        <v>85</v>
      </c>
      <c r="G318" s="9">
        <v>10</v>
      </c>
      <c r="H318" s="9"/>
      <c r="I318" s="17"/>
      <c r="J318" s="10"/>
      <c r="K318" s="16" t="str">
        <f t="shared" si="4"/>
        <v>Muito Forte</v>
      </c>
    </row>
    <row r="319" spans="1:11" ht="42.75">
      <c r="A319" s="11" t="s">
        <v>1389</v>
      </c>
      <c r="B319" s="11" t="s">
        <v>170</v>
      </c>
      <c r="C319" s="11">
        <f>COUNTIF($B$2:$B$608,Tabela3[[#This Row],[Type]])</f>
        <v>31</v>
      </c>
      <c r="D319" s="9" t="s">
        <v>830</v>
      </c>
      <c r="E319" s="9"/>
      <c r="F319" s="9">
        <v>100</v>
      </c>
      <c r="G319" s="9">
        <v>10</v>
      </c>
      <c r="H319" s="9"/>
      <c r="I319" s="17" t="s">
        <v>1390</v>
      </c>
      <c r="J319" s="10"/>
      <c r="K319" s="16" t="str">
        <f t="shared" si="4"/>
        <v>Comum</v>
      </c>
    </row>
    <row r="320" spans="1:11" ht="29.25">
      <c r="A320" s="11" t="s">
        <v>1391</v>
      </c>
      <c r="B320" s="11" t="s">
        <v>115</v>
      </c>
      <c r="C320" s="11">
        <f>COUNTIF($B$2:$B$608,Tabela3[[#This Row],[Type]])</f>
        <v>19</v>
      </c>
      <c r="D320" s="9" t="s">
        <v>835</v>
      </c>
      <c r="E320" s="9"/>
      <c r="F320" s="9">
        <v>100</v>
      </c>
      <c r="G320" s="9">
        <v>10</v>
      </c>
      <c r="H320" s="9"/>
      <c r="I320" s="17" t="s">
        <v>1392</v>
      </c>
      <c r="J320" s="10"/>
      <c r="K320" s="16" t="str">
        <f t="shared" si="4"/>
        <v>Comum</v>
      </c>
    </row>
    <row r="321" spans="1:11" ht="16.5">
      <c r="A321" s="11" t="s">
        <v>1393</v>
      </c>
      <c r="B321" s="11" t="s">
        <v>115</v>
      </c>
      <c r="C321" s="11">
        <f>COUNTIF($B$2:$B$608,Tabela3[[#This Row],[Type]])</f>
        <v>19</v>
      </c>
      <c r="D321" s="9" t="s">
        <v>835</v>
      </c>
      <c r="E321" s="9">
        <v>50</v>
      </c>
      <c r="F321" s="9">
        <v>95</v>
      </c>
      <c r="G321" s="9">
        <v>35</v>
      </c>
      <c r="H321" s="9"/>
      <c r="I321" s="17" t="s">
        <v>1394</v>
      </c>
      <c r="J321" s="10">
        <v>10</v>
      </c>
      <c r="K321" s="16" t="str">
        <f t="shared" si="4"/>
        <v>Comum</v>
      </c>
    </row>
    <row r="322" spans="1:11" ht="29.25">
      <c r="A322" s="11" t="s">
        <v>1395</v>
      </c>
      <c r="B322" s="11" t="s">
        <v>115</v>
      </c>
      <c r="C322" s="11">
        <f>COUNTIF($B$2:$B$608,Tabela3[[#This Row],[Type]])</f>
        <v>19</v>
      </c>
      <c r="D322" s="9" t="s">
        <v>830</v>
      </c>
      <c r="E322" s="9"/>
      <c r="F322" s="9">
        <v>85</v>
      </c>
      <c r="G322" s="9">
        <v>40</v>
      </c>
      <c r="H322" s="9"/>
      <c r="I322" s="17" t="s">
        <v>833</v>
      </c>
      <c r="J322" s="10"/>
      <c r="K322" s="16" t="str">
        <f t="shared" si="4"/>
        <v>Comum</v>
      </c>
    </row>
    <row r="323" spans="1:11" ht="16.5">
      <c r="A323" s="11" t="s">
        <v>1396</v>
      </c>
      <c r="B323" s="11" t="s">
        <v>115</v>
      </c>
      <c r="C323" s="11">
        <f>COUNTIF($B$2:$B$608,Tabela3[[#This Row],[Type]])</f>
        <v>19</v>
      </c>
      <c r="D323" s="9" t="s">
        <v>835</v>
      </c>
      <c r="E323" s="9">
        <v>100</v>
      </c>
      <c r="F323" s="9">
        <v>85</v>
      </c>
      <c r="G323" s="9">
        <v>10</v>
      </c>
      <c r="H323" s="9"/>
      <c r="I323" s="17" t="s">
        <v>1394</v>
      </c>
      <c r="J323" s="10">
        <v>20</v>
      </c>
      <c r="K323" s="16" t="str">
        <f t="shared" ref="K323:K386" si="5">IF(E323&gt;=100,"Muito Forte",
IF(E323&gt;=70,"Forte",
"Comum"))</f>
        <v>Muito Forte</v>
      </c>
    </row>
    <row r="324" spans="1:11" ht="29.25">
      <c r="A324" s="11" t="s">
        <v>1397</v>
      </c>
      <c r="B324" s="11" t="s">
        <v>42</v>
      </c>
      <c r="C324" s="11">
        <f>COUNTIF($B$2:$B$608,Tabela3[[#This Row],[Type]])</f>
        <v>167</v>
      </c>
      <c r="D324" s="9" t="s">
        <v>830</v>
      </c>
      <c r="E324" s="9"/>
      <c r="F324" s="9"/>
      <c r="G324" s="9">
        <v>10</v>
      </c>
      <c r="H324" s="9"/>
      <c r="I324" s="17" t="s">
        <v>1398</v>
      </c>
      <c r="J324" s="10"/>
      <c r="K324" s="16" t="str">
        <f t="shared" si="5"/>
        <v>Comum</v>
      </c>
    </row>
    <row r="325" spans="1:11" ht="29.25">
      <c r="A325" s="11" t="s">
        <v>1399</v>
      </c>
      <c r="B325" s="11" t="s">
        <v>42</v>
      </c>
      <c r="C325" s="11">
        <f>COUNTIF($B$2:$B$608,Tabela3[[#This Row],[Type]])</f>
        <v>167</v>
      </c>
      <c r="D325" s="9" t="s">
        <v>830</v>
      </c>
      <c r="E325" s="9"/>
      <c r="F325" s="9"/>
      <c r="G325" s="9">
        <v>10</v>
      </c>
      <c r="H325" s="9"/>
      <c r="I325" s="17" t="s">
        <v>1400</v>
      </c>
      <c r="J325" s="10"/>
      <c r="K325" s="16" t="str">
        <f t="shared" si="5"/>
        <v>Comum</v>
      </c>
    </row>
    <row r="326" spans="1:11" ht="16.5">
      <c r="A326" s="11" t="s">
        <v>1401</v>
      </c>
      <c r="B326" s="11" t="s">
        <v>42</v>
      </c>
      <c r="C326" s="11">
        <f>COUNTIF($B$2:$B$608,Tabela3[[#This Row],[Type]])</f>
        <v>167</v>
      </c>
      <c r="D326" s="9" t="s">
        <v>830</v>
      </c>
      <c r="E326" s="9"/>
      <c r="F326" s="9"/>
      <c r="G326" s="9">
        <v>10</v>
      </c>
      <c r="H326" s="9"/>
      <c r="I326" s="17" t="s">
        <v>1402</v>
      </c>
      <c r="J326" s="10"/>
      <c r="K326" s="16" t="str">
        <f t="shared" si="5"/>
        <v>Comum</v>
      </c>
    </row>
    <row r="327" spans="1:11" ht="29.25">
      <c r="A327" s="11" t="s">
        <v>1403</v>
      </c>
      <c r="B327" s="11" t="s">
        <v>42</v>
      </c>
      <c r="C327" s="11">
        <f>COUNTIF($B$2:$B$608,Tabela3[[#This Row],[Type]])</f>
        <v>167</v>
      </c>
      <c r="D327" s="9" t="s">
        <v>830</v>
      </c>
      <c r="E327" s="9"/>
      <c r="F327" s="9"/>
      <c r="G327" s="9">
        <v>5</v>
      </c>
      <c r="H327" s="9"/>
      <c r="I327" s="17" t="s">
        <v>1404</v>
      </c>
      <c r="J327" s="10"/>
      <c r="K327" s="16" t="str">
        <f t="shared" si="5"/>
        <v>Comum</v>
      </c>
    </row>
    <row r="328" spans="1:11" ht="16.5">
      <c r="A328" s="11" t="s">
        <v>1405</v>
      </c>
      <c r="B328" s="11" t="s">
        <v>42</v>
      </c>
      <c r="C328" s="11">
        <f>COUNTIF($B$2:$B$608,Tabela3[[#This Row],[Type]])</f>
        <v>167</v>
      </c>
      <c r="D328" s="9" t="s">
        <v>830</v>
      </c>
      <c r="E328" s="9"/>
      <c r="F328" s="9"/>
      <c r="G328" s="9">
        <v>20</v>
      </c>
      <c r="H328" s="9"/>
      <c r="I328" s="17" t="s">
        <v>1406</v>
      </c>
      <c r="J328" s="10"/>
      <c r="K328" s="16" t="str">
        <f t="shared" si="5"/>
        <v>Comum</v>
      </c>
    </row>
    <row r="329" spans="1:11" ht="29.25">
      <c r="A329" s="11" t="s">
        <v>1407</v>
      </c>
      <c r="B329" s="11" t="s">
        <v>94</v>
      </c>
      <c r="C329" s="11">
        <f>COUNTIF($B$2:$B$608,Tabela3[[#This Row],[Type]])</f>
        <v>53</v>
      </c>
      <c r="D329" s="9" t="s">
        <v>830</v>
      </c>
      <c r="E329" s="9"/>
      <c r="F329" s="9"/>
      <c r="G329" s="9">
        <v>40</v>
      </c>
      <c r="H329" s="9"/>
      <c r="I329" s="17" t="s">
        <v>1408</v>
      </c>
      <c r="J329" s="10"/>
      <c r="K329" s="16" t="str">
        <f t="shared" si="5"/>
        <v>Comum</v>
      </c>
    </row>
    <row r="330" spans="1:11" ht="29.25">
      <c r="A330" s="11" t="s">
        <v>1409</v>
      </c>
      <c r="B330" s="11" t="s">
        <v>94</v>
      </c>
      <c r="C330" s="11">
        <f>COUNTIF($B$2:$B$608,Tabela3[[#This Row],[Type]])</f>
        <v>53</v>
      </c>
      <c r="D330" s="9" t="s">
        <v>825</v>
      </c>
      <c r="E330" s="9"/>
      <c r="F330" s="9">
        <v>100</v>
      </c>
      <c r="G330" s="9">
        <v>20</v>
      </c>
      <c r="H330" s="9"/>
      <c r="I330" s="17" t="s">
        <v>1410</v>
      </c>
      <c r="J330" s="10"/>
      <c r="K330" s="16" t="str">
        <f t="shared" si="5"/>
        <v>Comum</v>
      </c>
    </row>
    <row r="331" spans="1:11" ht="29.25">
      <c r="A331" s="11" t="s">
        <v>1411</v>
      </c>
      <c r="B331" s="11" t="s">
        <v>25</v>
      </c>
      <c r="C331" s="11">
        <f>COUNTIF($B$2:$B$608,Tabela3[[#This Row],[Type]])</f>
        <v>23</v>
      </c>
      <c r="D331" s="9" t="s">
        <v>830</v>
      </c>
      <c r="E331" s="9"/>
      <c r="F331" s="9"/>
      <c r="G331" s="9">
        <v>20</v>
      </c>
      <c r="H331" s="9"/>
      <c r="I331" s="17" t="s">
        <v>1412</v>
      </c>
      <c r="J331" s="10"/>
      <c r="K331" s="16" t="str">
        <f t="shared" si="5"/>
        <v>Comum</v>
      </c>
    </row>
    <row r="332" spans="1:11" ht="16.5">
      <c r="A332" s="11" t="s">
        <v>1413</v>
      </c>
      <c r="B332" s="11" t="s">
        <v>115</v>
      </c>
      <c r="C332" s="11">
        <f>COUNTIF($B$2:$B$608,Tabela3[[#This Row],[Type]])</f>
        <v>19</v>
      </c>
      <c r="D332" s="9" t="s">
        <v>825</v>
      </c>
      <c r="E332" s="9">
        <v>65</v>
      </c>
      <c r="F332" s="9">
        <v>85</v>
      </c>
      <c r="G332" s="9">
        <v>10</v>
      </c>
      <c r="H332" s="9"/>
      <c r="I332" s="17" t="s">
        <v>1342</v>
      </c>
      <c r="J332" s="10">
        <v>30</v>
      </c>
      <c r="K332" s="16" t="str">
        <f t="shared" si="5"/>
        <v>Comum</v>
      </c>
    </row>
    <row r="333" spans="1:11" ht="29.25">
      <c r="A333" s="11" t="s">
        <v>1414</v>
      </c>
      <c r="B333" s="11" t="s">
        <v>122</v>
      </c>
      <c r="C333" s="11">
        <f>COUNTIF($B$2:$B$608,Tabela3[[#This Row],[Type]])</f>
        <v>21</v>
      </c>
      <c r="D333" s="9" t="s">
        <v>830</v>
      </c>
      <c r="E333" s="9"/>
      <c r="F333" s="9"/>
      <c r="G333" s="9">
        <v>30</v>
      </c>
      <c r="H333" s="9"/>
      <c r="I333" s="17" t="s">
        <v>1415</v>
      </c>
      <c r="J333" s="10"/>
      <c r="K333" s="16" t="str">
        <f t="shared" si="5"/>
        <v>Comum</v>
      </c>
    </row>
    <row r="334" spans="1:11" ht="29.25">
      <c r="A334" s="11" t="s">
        <v>1416</v>
      </c>
      <c r="B334" s="11" t="s">
        <v>94</v>
      </c>
      <c r="C334" s="11">
        <f>COUNTIF($B$2:$B$608,Tabela3[[#This Row],[Type]])</f>
        <v>53</v>
      </c>
      <c r="D334" s="9" t="s">
        <v>825</v>
      </c>
      <c r="E334" s="9">
        <v>70</v>
      </c>
      <c r="F334" s="9">
        <v>100</v>
      </c>
      <c r="G334" s="9">
        <v>5</v>
      </c>
      <c r="H334" s="9"/>
      <c r="I334" s="17" t="s">
        <v>1417</v>
      </c>
      <c r="J334" s="10">
        <v>50</v>
      </c>
      <c r="K334" s="16" t="str">
        <f t="shared" si="5"/>
        <v>Forte</v>
      </c>
    </row>
    <row r="335" spans="1:11" ht="29.25">
      <c r="A335" s="11" t="s">
        <v>1418</v>
      </c>
      <c r="B335" s="11" t="s">
        <v>64</v>
      </c>
      <c r="C335" s="11">
        <f>COUNTIF($B$2:$B$608,Tabela3[[#This Row],[Type]])</f>
        <v>16</v>
      </c>
      <c r="D335" s="9" t="s">
        <v>830</v>
      </c>
      <c r="E335" s="9"/>
      <c r="F335" s="9"/>
      <c r="G335" s="9">
        <v>10</v>
      </c>
      <c r="H335" s="9"/>
      <c r="I335" s="17" t="s">
        <v>1419</v>
      </c>
      <c r="J335" s="10"/>
      <c r="K335" s="16" t="str">
        <f t="shared" si="5"/>
        <v>Comum</v>
      </c>
    </row>
    <row r="336" spans="1:11" ht="29.25">
      <c r="A336" s="11" t="s">
        <v>1420</v>
      </c>
      <c r="B336" s="11" t="s">
        <v>64</v>
      </c>
      <c r="C336" s="11">
        <f>COUNTIF($B$2:$B$608,Tabela3[[#This Row],[Type]])</f>
        <v>16</v>
      </c>
      <c r="D336" s="9" t="s">
        <v>825</v>
      </c>
      <c r="E336" s="9">
        <v>95</v>
      </c>
      <c r="F336" s="9">
        <v>100</v>
      </c>
      <c r="G336" s="9">
        <v>15</v>
      </c>
      <c r="H336" s="9"/>
      <c r="I336" s="17" t="s">
        <v>1417</v>
      </c>
      <c r="J336" s="10"/>
      <c r="K336" s="16" t="str">
        <f t="shared" si="5"/>
        <v>Forte</v>
      </c>
    </row>
    <row r="337" spans="1:11" ht="29.25">
      <c r="A337" s="11" t="s">
        <v>1421</v>
      </c>
      <c r="B337" s="11" t="s">
        <v>64</v>
      </c>
      <c r="C337" s="11">
        <f>COUNTIF($B$2:$B$608,Tabela3[[#This Row],[Type]])</f>
        <v>16</v>
      </c>
      <c r="D337" s="9" t="s">
        <v>830</v>
      </c>
      <c r="E337" s="9"/>
      <c r="F337" s="9"/>
      <c r="G337" s="9">
        <v>5</v>
      </c>
      <c r="H337" s="9"/>
      <c r="I337" s="17" t="s">
        <v>1422</v>
      </c>
      <c r="J337" s="10"/>
      <c r="K337" s="16" t="str">
        <f t="shared" si="5"/>
        <v>Comum</v>
      </c>
    </row>
    <row r="338" spans="1:11" ht="29.25">
      <c r="A338" s="11" t="s">
        <v>1423</v>
      </c>
      <c r="B338" s="11" t="s">
        <v>42</v>
      </c>
      <c r="C338" s="11">
        <f>COUNTIF($B$2:$B$608,Tabela3[[#This Row],[Type]])</f>
        <v>167</v>
      </c>
      <c r="D338" s="9" t="s">
        <v>830</v>
      </c>
      <c r="E338" s="9"/>
      <c r="F338" s="9"/>
      <c r="G338" s="9">
        <v>5</v>
      </c>
      <c r="H338" s="9"/>
      <c r="I338" s="17" t="s">
        <v>1422</v>
      </c>
      <c r="J338" s="10"/>
      <c r="K338" s="16" t="str">
        <f t="shared" si="5"/>
        <v>Comum</v>
      </c>
    </row>
    <row r="339" spans="1:11" ht="16.5">
      <c r="A339" s="11" t="s">
        <v>1424</v>
      </c>
      <c r="B339" s="11" t="s">
        <v>55</v>
      </c>
      <c r="C339" s="11">
        <f>COUNTIF($B$2:$B$608,Tabela3[[#This Row],[Type]])</f>
        <v>19</v>
      </c>
      <c r="D339" s="9" t="s">
        <v>825</v>
      </c>
      <c r="E339" s="9">
        <v>65</v>
      </c>
      <c r="F339" s="9">
        <v>85</v>
      </c>
      <c r="G339" s="9">
        <v>10</v>
      </c>
      <c r="H339" s="9"/>
      <c r="I339" s="17" t="s">
        <v>1342</v>
      </c>
      <c r="J339" s="10">
        <v>30</v>
      </c>
      <c r="K339" s="16" t="str">
        <f t="shared" si="5"/>
        <v>Comum</v>
      </c>
    </row>
    <row r="340" spans="1:11" ht="16.5">
      <c r="A340" s="11" t="s">
        <v>1425</v>
      </c>
      <c r="B340" s="11" t="s">
        <v>55</v>
      </c>
      <c r="C340" s="11">
        <f>COUNTIF($B$2:$B$608,Tabela3[[#This Row],[Type]])</f>
        <v>19</v>
      </c>
      <c r="D340" s="9" t="s">
        <v>825</v>
      </c>
      <c r="E340" s="9">
        <v>55</v>
      </c>
      <c r="F340" s="9">
        <v>95</v>
      </c>
      <c r="G340" s="9">
        <v>15</v>
      </c>
      <c r="H340" s="9"/>
      <c r="I340" s="17" t="s">
        <v>946</v>
      </c>
      <c r="J340" s="10">
        <v>100</v>
      </c>
      <c r="K340" s="16" t="str">
        <f t="shared" si="5"/>
        <v>Comum</v>
      </c>
    </row>
    <row r="341" spans="1:11" ht="29.25">
      <c r="A341" s="11" t="s">
        <v>1426</v>
      </c>
      <c r="B341" s="11" t="s">
        <v>55</v>
      </c>
      <c r="C341" s="11">
        <f>COUNTIF($B$2:$B$608,Tabela3[[#This Row],[Type]])</f>
        <v>19</v>
      </c>
      <c r="D341" s="9" t="s">
        <v>830</v>
      </c>
      <c r="E341" s="9"/>
      <c r="F341" s="9"/>
      <c r="G341" s="9">
        <v>15</v>
      </c>
      <c r="H341" s="9"/>
      <c r="I341" s="17" t="s">
        <v>1427</v>
      </c>
      <c r="J341" s="10"/>
      <c r="K341" s="16" t="str">
        <f t="shared" si="5"/>
        <v>Comum</v>
      </c>
    </row>
    <row r="342" spans="1:11" ht="16.5">
      <c r="A342" s="11" t="s">
        <v>1428</v>
      </c>
      <c r="B342" s="11" t="s">
        <v>55</v>
      </c>
      <c r="C342" s="11">
        <f>COUNTIF($B$2:$B$608,Tabela3[[#This Row],[Type]])</f>
        <v>19</v>
      </c>
      <c r="D342" s="9" t="s">
        <v>825</v>
      </c>
      <c r="E342" s="9">
        <v>20</v>
      </c>
      <c r="F342" s="9">
        <v>100</v>
      </c>
      <c r="G342" s="9">
        <v>10</v>
      </c>
      <c r="H342" s="9"/>
      <c r="I342" s="17" t="s">
        <v>1154</v>
      </c>
      <c r="J342" s="10">
        <v>100</v>
      </c>
      <c r="K342" s="16" t="str">
        <f t="shared" si="5"/>
        <v>Comum</v>
      </c>
    </row>
    <row r="343" spans="1:11" ht="16.5">
      <c r="A343" s="11" t="s">
        <v>1429</v>
      </c>
      <c r="B343" s="11" t="s">
        <v>30</v>
      </c>
      <c r="C343" s="11">
        <f>COUNTIF($B$2:$B$608,Tabela3[[#This Row],[Type]])</f>
        <v>27</v>
      </c>
      <c r="D343" s="9" t="s">
        <v>825</v>
      </c>
      <c r="E343" s="9">
        <v>95</v>
      </c>
      <c r="F343" s="9">
        <v>85</v>
      </c>
      <c r="G343" s="9">
        <v>10</v>
      </c>
      <c r="H343" s="9"/>
      <c r="I343" s="17" t="s">
        <v>1342</v>
      </c>
      <c r="J343" s="10">
        <v>30</v>
      </c>
      <c r="K343" s="16" t="str">
        <f t="shared" si="5"/>
        <v>Forte</v>
      </c>
    </row>
    <row r="344" spans="1:11" ht="16.5">
      <c r="A344" s="11" t="s">
        <v>1430</v>
      </c>
      <c r="B344" s="11" t="s">
        <v>22</v>
      </c>
      <c r="C344" s="11">
        <f>COUNTIF($B$2:$B$608,Tabela3[[#This Row],[Type]])</f>
        <v>30</v>
      </c>
      <c r="D344" s="9" t="s">
        <v>825</v>
      </c>
      <c r="E344" s="9">
        <v>65</v>
      </c>
      <c r="F344" s="9">
        <v>100</v>
      </c>
      <c r="G344" s="9">
        <v>10</v>
      </c>
      <c r="H344" s="9"/>
      <c r="I344" s="17" t="s">
        <v>978</v>
      </c>
      <c r="J344" s="10">
        <v>100</v>
      </c>
      <c r="K344" s="16" t="str">
        <f t="shared" si="5"/>
        <v>Comum</v>
      </c>
    </row>
    <row r="345" spans="1:11" ht="16.5">
      <c r="A345" s="11" t="s">
        <v>1431</v>
      </c>
      <c r="B345" s="11" t="s">
        <v>170</v>
      </c>
      <c r="C345" s="11">
        <f>COUNTIF($B$2:$B$608,Tabela3[[#This Row],[Type]])</f>
        <v>31</v>
      </c>
      <c r="D345" s="9" t="s">
        <v>830</v>
      </c>
      <c r="E345" s="9"/>
      <c r="F345" s="9"/>
      <c r="G345" s="9">
        <v>20</v>
      </c>
      <c r="H345" s="9"/>
      <c r="I345" s="17" t="s">
        <v>1432</v>
      </c>
      <c r="J345" s="10"/>
      <c r="K345" s="16" t="str">
        <f t="shared" si="5"/>
        <v>Comum</v>
      </c>
    </row>
    <row r="346" spans="1:11" ht="29.25">
      <c r="A346" s="11" t="s">
        <v>1433</v>
      </c>
      <c r="B346" s="11" t="s">
        <v>42</v>
      </c>
      <c r="C346" s="11">
        <f>COUNTIF($B$2:$B$608,Tabela3[[#This Row],[Type]])</f>
        <v>167</v>
      </c>
      <c r="D346" s="9" t="s">
        <v>835</v>
      </c>
      <c r="E346" s="9"/>
      <c r="F346" s="9">
        <v>100</v>
      </c>
      <c r="G346" s="9">
        <v>15</v>
      </c>
      <c r="H346" s="9"/>
      <c r="I346" s="17" t="s">
        <v>1434</v>
      </c>
      <c r="J346" s="10"/>
      <c r="K346" s="16" t="str">
        <f t="shared" si="5"/>
        <v>Comum</v>
      </c>
    </row>
    <row r="347" spans="1:11" ht="29.25">
      <c r="A347" s="11" t="s">
        <v>1435</v>
      </c>
      <c r="B347" s="11" t="s">
        <v>42</v>
      </c>
      <c r="C347" s="11">
        <f>COUNTIF($B$2:$B$608,Tabela3[[#This Row],[Type]])</f>
        <v>167</v>
      </c>
      <c r="D347" s="9" t="s">
        <v>830</v>
      </c>
      <c r="E347" s="9"/>
      <c r="F347" s="9"/>
      <c r="G347" s="9">
        <v>20</v>
      </c>
      <c r="H347" s="9"/>
      <c r="I347" s="17" t="s">
        <v>1436</v>
      </c>
      <c r="J347" s="10"/>
      <c r="K347" s="16" t="str">
        <f t="shared" si="5"/>
        <v>Comum</v>
      </c>
    </row>
    <row r="348" spans="1:11" ht="16.5">
      <c r="A348" s="11" t="s">
        <v>1437</v>
      </c>
      <c r="B348" s="11" t="s">
        <v>16</v>
      </c>
      <c r="C348" s="11">
        <f>COUNTIF($B$2:$B$608,Tabela3[[#This Row],[Type]])</f>
        <v>37</v>
      </c>
      <c r="D348" s="9" t="s">
        <v>835</v>
      </c>
      <c r="E348" s="9">
        <v>60</v>
      </c>
      <c r="F348" s="9">
        <v>100</v>
      </c>
      <c r="G348" s="9">
        <v>15</v>
      </c>
      <c r="H348" s="9"/>
      <c r="I348" s="17" t="s">
        <v>852</v>
      </c>
      <c r="J348" s="10">
        <v>30</v>
      </c>
      <c r="K348" s="16" t="str">
        <f t="shared" si="5"/>
        <v>Comum</v>
      </c>
    </row>
    <row r="349" spans="1:11" ht="16.5">
      <c r="A349" s="11" t="s">
        <v>1438</v>
      </c>
      <c r="B349" s="11" t="s">
        <v>170</v>
      </c>
      <c r="C349" s="11">
        <f>COUNTIF($B$2:$B$608,Tabela3[[#This Row],[Type]])</f>
        <v>31</v>
      </c>
      <c r="D349" s="9" t="s">
        <v>825</v>
      </c>
      <c r="E349" s="9">
        <v>85</v>
      </c>
      <c r="F349" s="9">
        <v>95</v>
      </c>
      <c r="G349" s="9">
        <v>10</v>
      </c>
      <c r="H349" s="9"/>
      <c r="I349" s="17" t="s">
        <v>1342</v>
      </c>
      <c r="J349" s="10">
        <v>40</v>
      </c>
      <c r="K349" s="16" t="str">
        <f t="shared" si="5"/>
        <v>Forte</v>
      </c>
    </row>
    <row r="350" spans="1:11" ht="29.25">
      <c r="A350" s="11" t="s">
        <v>1439</v>
      </c>
      <c r="B350" s="11" t="s">
        <v>128</v>
      </c>
      <c r="C350" s="11">
        <f>COUNTIF($B$2:$B$608,Tabela3[[#This Row],[Type]])</f>
        <v>18</v>
      </c>
      <c r="D350" s="9" t="s">
        <v>825</v>
      </c>
      <c r="E350" s="9"/>
      <c r="F350" s="9">
        <v>100</v>
      </c>
      <c r="G350" s="9">
        <v>15</v>
      </c>
      <c r="H350" s="9"/>
      <c r="I350" s="17" t="s">
        <v>1440</v>
      </c>
      <c r="J350" s="10"/>
      <c r="K350" s="16" t="str">
        <f t="shared" si="5"/>
        <v>Comum</v>
      </c>
    </row>
    <row r="351" spans="1:11" ht="16.5">
      <c r="A351" s="11" t="s">
        <v>1441</v>
      </c>
      <c r="B351" s="11" t="s">
        <v>170</v>
      </c>
      <c r="C351" s="11">
        <f>COUNTIF($B$2:$B$608,Tabela3[[#This Row],[Type]])</f>
        <v>31</v>
      </c>
      <c r="D351" s="9" t="s">
        <v>835</v>
      </c>
      <c r="E351" s="9">
        <v>70</v>
      </c>
      <c r="F351" s="9">
        <v>100</v>
      </c>
      <c r="G351" s="9">
        <v>15</v>
      </c>
      <c r="H351" s="9"/>
      <c r="I351" s="17" t="s">
        <v>845</v>
      </c>
      <c r="J351" s="10"/>
      <c r="K351" s="16" t="str">
        <f t="shared" si="5"/>
        <v>Forte</v>
      </c>
    </row>
    <row r="352" spans="1:11" ht="29.25">
      <c r="A352" s="11" t="s">
        <v>1442</v>
      </c>
      <c r="B352" s="11" t="s">
        <v>128</v>
      </c>
      <c r="C352" s="11">
        <f>COUNTIF($B$2:$B$608,Tabela3[[#This Row],[Type]])</f>
        <v>18</v>
      </c>
      <c r="D352" s="9" t="s">
        <v>825</v>
      </c>
      <c r="E352" s="9"/>
      <c r="F352" s="9">
        <v>100</v>
      </c>
      <c r="G352" s="9">
        <v>15</v>
      </c>
      <c r="H352" s="9"/>
      <c r="I352" s="17" t="s">
        <v>1443</v>
      </c>
      <c r="J352" s="10"/>
      <c r="K352" s="16" t="str">
        <f t="shared" si="5"/>
        <v>Comum</v>
      </c>
    </row>
    <row r="353" spans="1:11" ht="29.25">
      <c r="A353" s="11" t="s">
        <v>1444</v>
      </c>
      <c r="B353" s="11" t="s">
        <v>42</v>
      </c>
      <c r="C353" s="11">
        <f>COUNTIF($B$2:$B$608,Tabela3[[#This Row],[Type]])</f>
        <v>167</v>
      </c>
      <c r="D353" s="9" t="s">
        <v>830</v>
      </c>
      <c r="E353" s="9"/>
      <c r="F353" s="9">
        <v>100</v>
      </c>
      <c r="G353" s="9">
        <v>30</v>
      </c>
      <c r="H353" s="9"/>
      <c r="I353" s="17" t="s">
        <v>1445</v>
      </c>
      <c r="J353" s="10"/>
      <c r="K353" s="16" t="str">
        <f t="shared" si="5"/>
        <v>Comum</v>
      </c>
    </row>
    <row r="354" spans="1:11" ht="16.5">
      <c r="A354" s="11" t="s">
        <v>1446</v>
      </c>
      <c r="B354" s="11" t="s">
        <v>52</v>
      </c>
      <c r="C354" s="11">
        <f>COUNTIF($B$2:$B$608,Tabela3[[#This Row],[Type]])</f>
        <v>28</v>
      </c>
      <c r="D354" s="9" t="s">
        <v>835</v>
      </c>
      <c r="E354" s="9">
        <v>20</v>
      </c>
      <c r="F354" s="9">
        <v>100</v>
      </c>
      <c r="G354" s="9">
        <v>20</v>
      </c>
      <c r="H354" s="9"/>
      <c r="I354" s="17" t="s">
        <v>1214</v>
      </c>
      <c r="J354" s="10">
        <v>100</v>
      </c>
      <c r="K354" s="16" t="str">
        <f t="shared" si="5"/>
        <v>Comum</v>
      </c>
    </row>
    <row r="355" spans="1:11" ht="29.25">
      <c r="A355" s="11" t="s">
        <v>1447</v>
      </c>
      <c r="B355" s="11" t="s">
        <v>25</v>
      </c>
      <c r="C355" s="11">
        <f>COUNTIF($B$2:$B$608,Tabela3[[#This Row],[Type]])</f>
        <v>23</v>
      </c>
      <c r="D355" s="9" t="s">
        <v>825</v>
      </c>
      <c r="E355" s="9">
        <v>80</v>
      </c>
      <c r="F355" s="9">
        <v>100</v>
      </c>
      <c r="G355" s="9">
        <v>10</v>
      </c>
      <c r="H355" s="9"/>
      <c r="I355" s="17" t="s">
        <v>1448</v>
      </c>
      <c r="J355" s="10"/>
      <c r="K355" s="16" t="str">
        <f t="shared" si="5"/>
        <v>Forte</v>
      </c>
    </row>
    <row r="356" spans="1:11" ht="16.5">
      <c r="A356" s="11" t="s">
        <v>1449</v>
      </c>
      <c r="B356" s="11" t="s">
        <v>30</v>
      </c>
      <c r="C356" s="11">
        <f>COUNTIF($B$2:$B$608,Tabela3[[#This Row],[Type]])</f>
        <v>27</v>
      </c>
      <c r="D356" s="9" t="s">
        <v>825</v>
      </c>
      <c r="E356" s="9">
        <v>65</v>
      </c>
      <c r="F356" s="9">
        <v>85</v>
      </c>
      <c r="G356" s="9">
        <v>10</v>
      </c>
      <c r="H356" s="9"/>
      <c r="I356" s="17" t="s">
        <v>1342</v>
      </c>
      <c r="J356" s="10">
        <v>50</v>
      </c>
      <c r="K356" s="16" t="str">
        <f t="shared" si="5"/>
        <v>Comum</v>
      </c>
    </row>
    <row r="357" spans="1:11" ht="57.75">
      <c r="A357" s="11" t="s">
        <v>1450</v>
      </c>
      <c r="B357" s="11" t="s">
        <v>42</v>
      </c>
      <c r="C357" s="11">
        <f>COUNTIF($B$2:$B$608,Tabela3[[#This Row],[Type]])</f>
        <v>167</v>
      </c>
      <c r="D357" s="9" t="s">
        <v>830</v>
      </c>
      <c r="E357" s="9"/>
      <c r="F357" s="9"/>
      <c r="G357" s="9">
        <v>40</v>
      </c>
      <c r="H357" s="9"/>
      <c r="I357" s="17" t="s">
        <v>1179</v>
      </c>
      <c r="J357" s="10"/>
      <c r="K357" s="16" t="str">
        <f t="shared" si="5"/>
        <v>Comum</v>
      </c>
    </row>
    <row r="358" spans="1:11" ht="16.5">
      <c r="A358" s="11" t="s">
        <v>1451</v>
      </c>
      <c r="B358" s="11" t="s">
        <v>128</v>
      </c>
      <c r="C358" s="11">
        <f>COUNTIF($B$2:$B$608,Tabela3[[#This Row],[Type]])</f>
        <v>18</v>
      </c>
      <c r="D358" s="9" t="s">
        <v>825</v>
      </c>
      <c r="E358" s="9">
        <v>60</v>
      </c>
      <c r="F358" s="9">
        <v>100</v>
      </c>
      <c r="G358" s="9">
        <v>5</v>
      </c>
      <c r="H358" s="9"/>
      <c r="I358" s="17" t="s">
        <v>859</v>
      </c>
      <c r="J358" s="10">
        <v>10</v>
      </c>
      <c r="K358" s="16" t="str">
        <f t="shared" si="5"/>
        <v>Comum</v>
      </c>
    </row>
    <row r="359" spans="1:11" ht="29.25">
      <c r="A359" s="11" t="s">
        <v>1452</v>
      </c>
      <c r="B359" s="11" t="s">
        <v>27</v>
      </c>
      <c r="C359" s="11">
        <f>COUNTIF($B$2:$B$608,Tabela3[[#This Row],[Type]])</f>
        <v>13</v>
      </c>
      <c r="D359" s="9" t="s">
        <v>835</v>
      </c>
      <c r="E359" s="9">
        <v>120</v>
      </c>
      <c r="F359" s="9">
        <v>100</v>
      </c>
      <c r="G359" s="9">
        <v>10</v>
      </c>
      <c r="H359" s="9"/>
      <c r="I359" s="17" t="s">
        <v>1453</v>
      </c>
      <c r="J359" s="10"/>
      <c r="K359" s="16" t="str">
        <f t="shared" si="5"/>
        <v>Muito Forte</v>
      </c>
    </row>
    <row r="360" spans="1:11" ht="29.25">
      <c r="A360" s="11" t="s">
        <v>1454</v>
      </c>
      <c r="B360" s="11" t="s">
        <v>22</v>
      </c>
      <c r="C360" s="11">
        <f>COUNTIF($B$2:$B$608,Tabela3[[#This Row],[Type]])</f>
        <v>30</v>
      </c>
      <c r="D360" s="9" t="s">
        <v>825</v>
      </c>
      <c r="E360" s="9">
        <v>140</v>
      </c>
      <c r="F360" s="9">
        <v>90</v>
      </c>
      <c r="G360" s="9">
        <v>5</v>
      </c>
      <c r="H360" s="9" t="s">
        <v>1455</v>
      </c>
      <c r="I360" s="17" t="s">
        <v>1049</v>
      </c>
      <c r="J360" s="10"/>
      <c r="K360" s="16" t="str">
        <f t="shared" si="5"/>
        <v>Muito Forte</v>
      </c>
    </row>
    <row r="361" spans="1:11" ht="29.25">
      <c r="A361" s="11" t="s">
        <v>1456</v>
      </c>
      <c r="B361" s="11" t="s">
        <v>42</v>
      </c>
      <c r="C361" s="11">
        <f>COUNTIF($B$2:$B$608,Tabela3[[#This Row],[Type]])</f>
        <v>167</v>
      </c>
      <c r="D361" s="9" t="s">
        <v>830</v>
      </c>
      <c r="E361" s="9"/>
      <c r="F361" s="9"/>
      <c r="G361" s="9">
        <v>20</v>
      </c>
      <c r="H361" s="9"/>
      <c r="I361" s="17" t="s">
        <v>1457</v>
      </c>
      <c r="J361" s="10"/>
      <c r="K361" s="16" t="str">
        <f t="shared" si="5"/>
        <v>Comum</v>
      </c>
    </row>
    <row r="362" spans="1:11" ht="29.25">
      <c r="A362" s="11" t="s">
        <v>1458</v>
      </c>
      <c r="B362" s="11" t="s">
        <v>52</v>
      </c>
      <c r="C362" s="11">
        <f>COUNTIF($B$2:$B$608,Tabela3[[#This Row],[Type]])</f>
        <v>28</v>
      </c>
      <c r="D362" s="9" t="s">
        <v>825</v>
      </c>
      <c r="E362" s="9">
        <v>50</v>
      </c>
      <c r="F362" s="9">
        <v>100</v>
      </c>
      <c r="G362" s="9">
        <v>20</v>
      </c>
      <c r="H362" s="9"/>
      <c r="I362" s="17" t="s">
        <v>826</v>
      </c>
      <c r="J362" s="10"/>
      <c r="K362" s="16" t="str">
        <f t="shared" si="5"/>
        <v>Comum</v>
      </c>
    </row>
    <row r="363" spans="1:11" ht="29.25">
      <c r="A363" s="11" t="s">
        <v>1459</v>
      </c>
      <c r="B363" s="11" t="s">
        <v>170</v>
      </c>
      <c r="C363" s="11">
        <f>COUNTIF($B$2:$B$608,Tabela3[[#This Row],[Type]])</f>
        <v>31</v>
      </c>
      <c r="D363" s="9" t="s">
        <v>830</v>
      </c>
      <c r="E363" s="9"/>
      <c r="F363" s="9">
        <v>100</v>
      </c>
      <c r="G363" s="9">
        <v>20</v>
      </c>
      <c r="H363" s="9"/>
      <c r="I363" s="17" t="s">
        <v>1460</v>
      </c>
      <c r="J363" s="10"/>
      <c r="K363" s="16" t="str">
        <f t="shared" si="5"/>
        <v>Comum</v>
      </c>
    </row>
    <row r="364" spans="1:11" ht="29.25">
      <c r="A364" s="11" t="s">
        <v>1461</v>
      </c>
      <c r="B364" s="11" t="s">
        <v>42</v>
      </c>
      <c r="C364" s="11">
        <f>COUNTIF($B$2:$B$608,Tabela3[[#This Row],[Type]])</f>
        <v>167</v>
      </c>
      <c r="D364" s="9" t="s">
        <v>835</v>
      </c>
      <c r="E364" s="9">
        <v>40</v>
      </c>
      <c r="F364" s="9">
        <v>100</v>
      </c>
      <c r="G364" s="9">
        <v>20</v>
      </c>
      <c r="H364" s="9"/>
      <c r="I364" s="17" t="s">
        <v>1462</v>
      </c>
      <c r="J364" s="10"/>
      <c r="K364" s="16" t="str">
        <f t="shared" si="5"/>
        <v>Comum</v>
      </c>
    </row>
    <row r="365" spans="1:11" ht="29.25">
      <c r="A365" s="11" t="s">
        <v>1463</v>
      </c>
      <c r="B365" s="11" t="s">
        <v>170</v>
      </c>
      <c r="C365" s="11">
        <f>COUNTIF($B$2:$B$608,Tabela3[[#This Row],[Type]])</f>
        <v>31</v>
      </c>
      <c r="D365" s="9" t="s">
        <v>835</v>
      </c>
      <c r="E365" s="9">
        <v>50</v>
      </c>
      <c r="F365" s="9">
        <v>100</v>
      </c>
      <c r="G365" s="9">
        <v>10</v>
      </c>
      <c r="H365" s="9" t="s">
        <v>1464</v>
      </c>
      <c r="I365" s="17" t="s">
        <v>1465</v>
      </c>
      <c r="J365" s="10"/>
      <c r="K365" s="16" t="str">
        <f t="shared" si="5"/>
        <v>Comum</v>
      </c>
    </row>
    <row r="366" spans="1:11" ht="16.5">
      <c r="A366" s="11" t="s">
        <v>1466</v>
      </c>
      <c r="B366" s="11" t="s">
        <v>25</v>
      </c>
      <c r="C366" s="11">
        <f>COUNTIF($B$2:$B$608,Tabela3[[#This Row],[Type]])</f>
        <v>23</v>
      </c>
      <c r="D366" s="9" t="s">
        <v>835</v>
      </c>
      <c r="E366" s="9">
        <v>35</v>
      </c>
      <c r="F366" s="9">
        <v>100</v>
      </c>
      <c r="G366" s="9">
        <v>35</v>
      </c>
      <c r="H366" s="9"/>
      <c r="I366" s="17"/>
      <c r="J366" s="10"/>
      <c r="K366" s="16" t="str">
        <f t="shared" si="5"/>
        <v>Comum</v>
      </c>
    </row>
    <row r="367" spans="1:11" ht="29.25">
      <c r="A367" s="11" t="s">
        <v>1467</v>
      </c>
      <c r="B367" s="11" t="s">
        <v>42</v>
      </c>
      <c r="C367" s="11">
        <f>COUNTIF($B$2:$B$608,Tabela3[[#This Row],[Type]])</f>
        <v>167</v>
      </c>
      <c r="D367" s="9" t="s">
        <v>830</v>
      </c>
      <c r="E367" s="9"/>
      <c r="F367" s="9"/>
      <c r="G367" s="9">
        <v>5</v>
      </c>
      <c r="H367" s="9"/>
      <c r="I367" s="17" t="s">
        <v>1468</v>
      </c>
      <c r="J367" s="10"/>
      <c r="K367" s="16" t="str">
        <f t="shared" si="5"/>
        <v>Comum</v>
      </c>
    </row>
    <row r="368" spans="1:11" ht="16.5">
      <c r="A368" s="11" t="s">
        <v>1469</v>
      </c>
      <c r="B368" s="11" t="s">
        <v>16</v>
      </c>
      <c r="C368" s="11">
        <f>COUNTIF($B$2:$B$608,Tabela3[[#This Row],[Type]])</f>
        <v>37</v>
      </c>
      <c r="D368" s="9" t="s">
        <v>835</v>
      </c>
      <c r="E368" s="9">
        <v>90</v>
      </c>
      <c r="F368" s="9">
        <v>100</v>
      </c>
      <c r="G368" s="9">
        <v>15</v>
      </c>
      <c r="H368" s="9"/>
      <c r="I368" s="17"/>
      <c r="J368" s="10"/>
      <c r="K368" s="16" t="str">
        <f t="shared" si="5"/>
        <v>Forte</v>
      </c>
    </row>
    <row r="369" spans="1:11" ht="29.25">
      <c r="A369" s="11" t="s">
        <v>1470</v>
      </c>
      <c r="B369" s="11" t="s">
        <v>16</v>
      </c>
      <c r="C369" s="11">
        <f>COUNTIF($B$2:$B$608,Tabela3[[#This Row],[Type]])</f>
        <v>37</v>
      </c>
      <c r="D369" s="9" t="s">
        <v>825</v>
      </c>
      <c r="E369" s="9">
        <v>120</v>
      </c>
      <c r="F369" s="9">
        <v>100</v>
      </c>
      <c r="G369" s="9">
        <v>10</v>
      </c>
      <c r="H369" s="9"/>
      <c r="I369" s="17" t="s">
        <v>1453</v>
      </c>
      <c r="J369" s="10"/>
      <c r="K369" s="16" t="str">
        <f t="shared" si="5"/>
        <v>Muito Forte</v>
      </c>
    </row>
    <row r="370" spans="1:11" ht="42.75">
      <c r="A370" s="11" t="s">
        <v>1471</v>
      </c>
      <c r="B370" s="11" t="s">
        <v>128</v>
      </c>
      <c r="C370" s="11">
        <f>COUNTIF($B$2:$B$608,Tabela3[[#This Row],[Type]])</f>
        <v>18</v>
      </c>
      <c r="D370" s="9" t="s">
        <v>835</v>
      </c>
      <c r="E370" s="9">
        <v>90</v>
      </c>
      <c r="F370" s="9">
        <v>100</v>
      </c>
      <c r="G370" s="9">
        <v>10</v>
      </c>
      <c r="H370" s="9"/>
      <c r="I370" s="17" t="s">
        <v>1472</v>
      </c>
      <c r="J370" s="10"/>
      <c r="K370" s="16" t="str">
        <f t="shared" si="5"/>
        <v>Forte</v>
      </c>
    </row>
    <row r="371" spans="1:11" ht="16.5">
      <c r="A371" s="11" t="s">
        <v>1473</v>
      </c>
      <c r="B371" s="11" t="s">
        <v>35</v>
      </c>
      <c r="C371" s="11">
        <f>COUNTIF($B$2:$B$608,Tabela3[[#This Row],[Type]])</f>
        <v>25</v>
      </c>
      <c r="D371" s="9" t="s">
        <v>835</v>
      </c>
      <c r="E371" s="9">
        <v>14</v>
      </c>
      <c r="F371" s="9">
        <v>85</v>
      </c>
      <c r="G371" s="9">
        <v>20</v>
      </c>
      <c r="H371" s="9"/>
      <c r="I371" s="17" t="s">
        <v>866</v>
      </c>
      <c r="J371" s="10"/>
      <c r="K371" s="16" t="str">
        <f t="shared" si="5"/>
        <v>Comum</v>
      </c>
    </row>
    <row r="372" spans="1:11" ht="29.25">
      <c r="A372" s="11" t="s">
        <v>1474</v>
      </c>
      <c r="B372" s="11" t="s">
        <v>52</v>
      </c>
      <c r="C372" s="11">
        <f>COUNTIF($B$2:$B$608,Tabela3[[#This Row],[Type]])</f>
        <v>28</v>
      </c>
      <c r="D372" s="9" t="s">
        <v>830</v>
      </c>
      <c r="E372" s="9"/>
      <c r="F372" s="9"/>
      <c r="G372" s="9">
        <v>20</v>
      </c>
      <c r="H372" s="9"/>
      <c r="I372" s="17" t="s">
        <v>1475</v>
      </c>
      <c r="J372" s="10"/>
      <c r="K372" s="16" t="str">
        <f t="shared" si="5"/>
        <v>Comum</v>
      </c>
    </row>
    <row r="373" spans="1:11" ht="16.5">
      <c r="A373" s="11" t="s">
        <v>1476</v>
      </c>
      <c r="B373" s="11" t="s">
        <v>64</v>
      </c>
      <c r="C373" s="11">
        <f>COUNTIF($B$2:$B$608,Tabela3[[#This Row],[Type]])</f>
        <v>16</v>
      </c>
      <c r="D373" s="9" t="s">
        <v>835</v>
      </c>
      <c r="E373" s="9">
        <v>90</v>
      </c>
      <c r="F373" s="9">
        <v>90</v>
      </c>
      <c r="G373" s="9">
        <v>10</v>
      </c>
      <c r="H373" s="9"/>
      <c r="I373" s="17" t="s">
        <v>882</v>
      </c>
      <c r="J373" s="10"/>
      <c r="K373" s="16" t="str">
        <f t="shared" si="5"/>
        <v>Forte</v>
      </c>
    </row>
    <row r="374" spans="1:11" ht="29.25">
      <c r="A374" s="11" t="s">
        <v>1477</v>
      </c>
      <c r="B374" s="11" t="s">
        <v>25</v>
      </c>
      <c r="C374" s="11">
        <f>COUNTIF($B$2:$B$608,Tabela3[[#This Row],[Type]])</f>
        <v>23</v>
      </c>
      <c r="D374" s="9" t="s">
        <v>835</v>
      </c>
      <c r="E374" s="9">
        <v>60</v>
      </c>
      <c r="F374" s="9">
        <v>100</v>
      </c>
      <c r="G374" s="9">
        <v>20</v>
      </c>
      <c r="H374" s="9" t="s">
        <v>1478</v>
      </c>
      <c r="I374" s="17" t="s">
        <v>1479</v>
      </c>
      <c r="J374" s="10"/>
      <c r="K374" s="16" t="str">
        <f t="shared" si="5"/>
        <v>Comum</v>
      </c>
    </row>
    <row r="375" spans="1:11" ht="16.5">
      <c r="A375" s="11" t="s">
        <v>1480</v>
      </c>
      <c r="B375" s="11" t="s">
        <v>17</v>
      </c>
      <c r="C375" s="11">
        <f>COUNTIF($B$2:$B$608,Tabela3[[#This Row],[Type]])</f>
        <v>23</v>
      </c>
      <c r="D375" s="9" t="s">
        <v>835</v>
      </c>
      <c r="E375" s="9">
        <v>50</v>
      </c>
      <c r="F375" s="9">
        <v>100</v>
      </c>
      <c r="G375" s="9">
        <v>15</v>
      </c>
      <c r="H375" s="9"/>
      <c r="I375" s="17" t="s">
        <v>1481</v>
      </c>
      <c r="J375" s="10">
        <v>30</v>
      </c>
      <c r="K375" s="16" t="str">
        <f t="shared" si="5"/>
        <v>Comum</v>
      </c>
    </row>
    <row r="376" spans="1:11" ht="16.5">
      <c r="A376" s="11" t="s">
        <v>1482</v>
      </c>
      <c r="B376" s="11" t="s">
        <v>17</v>
      </c>
      <c r="C376" s="11">
        <f>COUNTIF($B$2:$B$608,Tabela3[[#This Row],[Type]])</f>
        <v>23</v>
      </c>
      <c r="D376" s="9" t="s">
        <v>830</v>
      </c>
      <c r="E376" s="9"/>
      <c r="F376" s="9">
        <v>85</v>
      </c>
      <c r="G376" s="9">
        <v>40</v>
      </c>
      <c r="H376" s="9"/>
      <c r="I376" s="17" t="s">
        <v>1483</v>
      </c>
      <c r="J376" s="10"/>
      <c r="K376" s="16" t="str">
        <f t="shared" si="5"/>
        <v>Comum</v>
      </c>
    </row>
    <row r="377" spans="1:11" ht="16.5">
      <c r="A377" s="11" t="s">
        <v>1484</v>
      </c>
      <c r="B377" s="11" t="s">
        <v>17</v>
      </c>
      <c r="C377" s="11">
        <f>COUNTIF($B$2:$B$608,Tabela3[[#This Row],[Type]])</f>
        <v>23</v>
      </c>
      <c r="D377" s="9" t="s">
        <v>835</v>
      </c>
      <c r="E377" s="9">
        <v>80</v>
      </c>
      <c r="F377" s="9">
        <v>100</v>
      </c>
      <c r="G377" s="9">
        <v>20</v>
      </c>
      <c r="H377" s="9" t="s">
        <v>1485</v>
      </c>
      <c r="I377" s="17" t="s">
        <v>1486</v>
      </c>
      <c r="J377" s="10">
        <v>30</v>
      </c>
      <c r="K377" s="16" t="str">
        <f t="shared" si="5"/>
        <v>Forte</v>
      </c>
    </row>
    <row r="378" spans="1:11" ht="16.5">
      <c r="A378" s="11" t="s">
        <v>1487</v>
      </c>
      <c r="B378" s="11" t="s">
        <v>17</v>
      </c>
      <c r="C378" s="11">
        <f>COUNTIF($B$2:$B$608,Tabela3[[#This Row],[Type]])</f>
        <v>23</v>
      </c>
      <c r="D378" s="9" t="s">
        <v>835</v>
      </c>
      <c r="E378" s="9">
        <v>15</v>
      </c>
      <c r="F378" s="9">
        <v>100</v>
      </c>
      <c r="G378" s="9">
        <v>35</v>
      </c>
      <c r="H378" s="9"/>
      <c r="I378" s="17" t="s">
        <v>1486</v>
      </c>
      <c r="J378" s="10">
        <v>30</v>
      </c>
      <c r="K378" s="16" t="str">
        <f t="shared" si="5"/>
        <v>Comum</v>
      </c>
    </row>
    <row r="379" spans="1:11" ht="29.25">
      <c r="A379" s="11" t="s">
        <v>1488</v>
      </c>
      <c r="B379" s="11" t="s">
        <v>17</v>
      </c>
      <c r="C379" s="11">
        <f>COUNTIF($B$2:$B$608,Tabela3[[#This Row],[Type]])</f>
        <v>23</v>
      </c>
      <c r="D379" s="9" t="s">
        <v>835</v>
      </c>
      <c r="E379" s="9">
        <v>50</v>
      </c>
      <c r="F379" s="9">
        <v>100</v>
      </c>
      <c r="G379" s="9">
        <v>25</v>
      </c>
      <c r="H379" s="9"/>
      <c r="I379" s="17" t="s">
        <v>1005</v>
      </c>
      <c r="J379" s="10">
        <v>10</v>
      </c>
      <c r="K379" s="16" t="str">
        <f t="shared" si="5"/>
        <v>Comum</v>
      </c>
    </row>
    <row r="380" spans="1:11" ht="16.5">
      <c r="A380" s="11" t="s">
        <v>1489</v>
      </c>
      <c r="B380" s="11" t="s">
        <v>17</v>
      </c>
      <c r="C380" s="11">
        <f>COUNTIF($B$2:$B$608,Tabela3[[#This Row],[Type]])</f>
        <v>23</v>
      </c>
      <c r="D380" s="9" t="s">
        <v>830</v>
      </c>
      <c r="E380" s="9"/>
      <c r="F380" s="9">
        <v>75</v>
      </c>
      <c r="G380" s="9">
        <v>35</v>
      </c>
      <c r="H380" s="9"/>
      <c r="I380" s="17" t="s">
        <v>1483</v>
      </c>
      <c r="J380" s="10"/>
      <c r="K380" s="16" t="str">
        <f t="shared" si="5"/>
        <v>Comum</v>
      </c>
    </row>
    <row r="381" spans="1:11" ht="16.5">
      <c r="A381" s="11" t="s">
        <v>1490</v>
      </c>
      <c r="B381" s="11" t="s">
        <v>42</v>
      </c>
      <c r="C381" s="11">
        <f>COUNTIF($B$2:$B$608,Tabela3[[#This Row],[Type]])</f>
        <v>167</v>
      </c>
      <c r="D381" s="9" t="s">
        <v>835</v>
      </c>
      <c r="E381" s="9">
        <v>40</v>
      </c>
      <c r="F381" s="9">
        <v>100</v>
      </c>
      <c r="G381" s="9">
        <v>35</v>
      </c>
      <c r="H381" s="9"/>
      <c r="I381" s="17"/>
      <c r="J381" s="10"/>
      <c r="K381" s="16" t="str">
        <f t="shared" si="5"/>
        <v>Comum</v>
      </c>
    </row>
    <row r="382" spans="1:11" ht="29.25">
      <c r="A382" s="11" t="s">
        <v>1491</v>
      </c>
      <c r="B382" s="11" t="s">
        <v>35</v>
      </c>
      <c r="C382" s="11">
        <f>COUNTIF($B$2:$B$608,Tabela3[[#This Row],[Type]])</f>
        <v>25</v>
      </c>
      <c r="D382" s="9" t="s">
        <v>830</v>
      </c>
      <c r="E382" s="9"/>
      <c r="F382" s="9">
        <v>100</v>
      </c>
      <c r="G382" s="9">
        <v>20</v>
      </c>
      <c r="H382" s="9"/>
      <c r="I382" s="17" t="s">
        <v>1492</v>
      </c>
      <c r="J382" s="10"/>
      <c r="K382" s="16" t="str">
        <f t="shared" si="5"/>
        <v>Comum</v>
      </c>
    </row>
    <row r="383" spans="1:11" ht="16.5">
      <c r="A383" s="11" t="s">
        <v>1493</v>
      </c>
      <c r="B383" s="11" t="s">
        <v>122</v>
      </c>
      <c r="C383" s="11">
        <f>COUNTIF($B$2:$B$608,Tabela3[[#This Row],[Type]])</f>
        <v>21</v>
      </c>
      <c r="D383" s="9" t="s">
        <v>825</v>
      </c>
      <c r="E383" s="9">
        <v>40</v>
      </c>
      <c r="F383" s="9">
        <v>100</v>
      </c>
      <c r="G383" s="9">
        <v>25</v>
      </c>
      <c r="H383" s="9"/>
      <c r="I383" s="17" t="s">
        <v>912</v>
      </c>
      <c r="J383" s="10">
        <v>10</v>
      </c>
      <c r="K383" s="16" t="str">
        <f t="shared" si="5"/>
        <v>Comum</v>
      </c>
    </row>
    <row r="384" spans="1:11" ht="16.5">
      <c r="A384" s="11" t="s">
        <v>1494</v>
      </c>
      <c r="B384" s="11" t="s">
        <v>107</v>
      </c>
      <c r="C384" s="11">
        <f>COUNTIF($B$2:$B$608,Tabela3[[#This Row],[Type]])</f>
        <v>15</v>
      </c>
      <c r="D384" s="9" t="s">
        <v>825</v>
      </c>
      <c r="E384" s="9">
        <v>70</v>
      </c>
      <c r="F384" s="9">
        <v>100</v>
      </c>
      <c r="G384" s="9">
        <v>20</v>
      </c>
      <c r="H384" s="9"/>
      <c r="I384" s="17"/>
      <c r="J384" s="10"/>
      <c r="K384" s="16" t="str">
        <f t="shared" si="5"/>
        <v>Forte</v>
      </c>
    </row>
    <row r="385" spans="1:11" ht="29.25">
      <c r="A385" s="11" t="s">
        <v>1495</v>
      </c>
      <c r="B385" s="11" t="s">
        <v>94</v>
      </c>
      <c r="C385" s="11">
        <f>COUNTIF($B$2:$B$608,Tabela3[[#This Row],[Type]])</f>
        <v>53</v>
      </c>
      <c r="D385" s="9" t="s">
        <v>830</v>
      </c>
      <c r="E385" s="9"/>
      <c r="F385" s="9"/>
      <c r="G385" s="9">
        <v>10</v>
      </c>
      <c r="H385" s="9"/>
      <c r="I385" s="17" t="s">
        <v>1496</v>
      </c>
      <c r="J385" s="10"/>
      <c r="K385" s="16" t="str">
        <f t="shared" si="5"/>
        <v>Comum</v>
      </c>
    </row>
    <row r="386" spans="1:11" ht="29.25">
      <c r="A386" s="11" t="s">
        <v>1497</v>
      </c>
      <c r="B386" s="11" t="s">
        <v>94</v>
      </c>
      <c r="C386" s="11">
        <f>COUNTIF($B$2:$B$608,Tabela3[[#This Row],[Type]])</f>
        <v>53</v>
      </c>
      <c r="D386" s="9" t="s">
        <v>830</v>
      </c>
      <c r="E386" s="9"/>
      <c r="F386" s="9"/>
      <c r="G386" s="9">
        <v>10</v>
      </c>
      <c r="H386" s="9"/>
      <c r="I386" s="17" t="s">
        <v>1498</v>
      </c>
      <c r="J386" s="10"/>
      <c r="K386" s="16" t="str">
        <f t="shared" si="5"/>
        <v>Comum</v>
      </c>
    </row>
    <row r="387" spans="1:11" ht="29.25">
      <c r="A387" s="11" t="s">
        <v>1499</v>
      </c>
      <c r="B387" s="11" t="s">
        <v>94</v>
      </c>
      <c r="C387" s="11">
        <f>COUNTIF($B$2:$B$608,Tabela3[[#This Row],[Type]])</f>
        <v>53</v>
      </c>
      <c r="D387" s="9" t="s">
        <v>830</v>
      </c>
      <c r="E387" s="9"/>
      <c r="F387" s="9"/>
      <c r="G387" s="9">
        <v>10</v>
      </c>
      <c r="H387" s="9"/>
      <c r="I387" s="17" t="s">
        <v>1500</v>
      </c>
      <c r="J387" s="10"/>
      <c r="K387" s="16" t="str">
        <f t="shared" ref="K387:K450" si="6">IF(E387&gt;=100,"Muito Forte",
IF(E387&gt;=70,"Forte",
"Comum"))</f>
        <v>Comum</v>
      </c>
    </row>
    <row r="388" spans="1:11" ht="16.5">
      <c r="A388" s="11" t="s">
        <v>1501</v>
      </c>
      <c r="B388" s="11" t="s">
        <v>16</v>
      </c>
      <c r="C388" s="11">
        <f>COUNTIF($B$2:$B$608,Tabela3[[#This Row],[Type]])</f>
        <v>37</v>
      </c>
      <c r="D388" s="9" t="s">
        <v>835</v>
      </c>
      <c r="E388" s="9">
        <v>120</v>
      </c>
      <c r="F388" s="9">
        <v>85</v>
      </c>
      <c r="G388" s="9">
        <v>10</v>
      </c>
      <c r="H388" s="9"/>
      <c r="I388" s="17"/>
      <c r="J388" s="10"/>
      <c r="K388" s="16" t="str">
        <f t="shared" si="6"/>
        <v>Muito Forte</v>
      </c>
    </row>
    <row r="389" spans="1:11" ht="16.5">
      <c r="A389" s="11" t="s">
        <v>1502</v>
      </c>
      <c r="B389" s="11" t="s">
        <v>86</v>
      </c>
      <c r="C389" s="11">
        <f>COUNTIF($B$2:$B$608,Tabela3[[#This Row],[Type]])</f>
        <v>42</v>
      </c>
      <c r="D389" s="9" t="s">
        <v>835</v>
      </c>
      <c r="E389" s="9">
        <v>40</v>
      </c>
      <c r="F389" s="9">
        <v>100</v>
      </c>
      <c r="G389" s="9">
        <v>10</v>
      </c>
      <c r="H389" s="9"/>
      <c r="I389" s="17" t="s">
        <v>1503</v>
      </c>
      <c r="J389" s="10"/>
      <c r="K389" s="16" t="str">
        <f t="shared" si="6"/>
        <v>Comum</v>
      </c>
    </row>
    <row r="390" spans="1:11" ht="16.5">
      <c r="A390" s="11" t="s">
        <v>1504</v>
      </c>
      <c r="B390" s="11" t="s">
        <v>42</v>
      </c>
      <c r="C390" s="11">
        <f>COUNTIF($B$2:$B$608,Tabela3[[#This Row],[Type]])</f>
        <v>167</v>
      </c>
      <c r="D390" s="9" t="s">
        <v>835</v>
      </c>
      <c r="E390" s="9"/>
      <c r="F390" s="9">
        <v>90</v>
      </c>
      <c r="G390" s="9">
        <v>15</v>
      </c>
      <c r="H390" s="9"/>
      <c r="I390" s="17" t="s">
        <v>1505</v>
      </c>
      <c r="J390" s="10"/>
      <c r="K390" s="16" t="str">
        <f t="shared" si="6"/>
        <v>Comum</v>
      </c>
    </row>
    <row r="391" spans="1:11" ht="29.25">
      <c r="A391" s="11" t="s">
        <v>1506</v>
      </c>
      <c r="B391" s="11" t="s">
        <v>42</v>
      </c>
      <c r="C391" s="11">
        <f>COUNTIF($B$2:$B$608,Tabela3[[#This Row],[Type]])</f>
        <v>167</v>
      </c>
      <c r="D391" s="9" t="s">
        <v>830</v>
      </c>
      <c r="E391" s="9"/>
      <c r="F391" s="9"/>
      <c r="G391" s="9">
        <v>10</v>
      </c>
      <c r="H391" s="9" t="s">
        <v>1507</v>
      </c>
      <c r="I391" s="17" t="s">
        <v>1508</v>
      </c>
      <c r="J391" s="10"/>
      <c r="K391" s="16" t="str">
        <f t="shared" si="6"/>
        <v>Comum</v>
      </c>
    </row>
    <row r="392" spans="1:11" ht="16.5">
      <c r="A392" s="11" t="s">
        <v>1509</v>
      </c>
      <c r="B392" s="11" t="s">
        <v>94</v>
      </c>
      <c r="C392" s="11">
        <f>COUNTIF($B$2:$B$608,Tabela3[[#This Row],[Type]])</f>
        <v>53</v>
      </c>
      <c r="D392" s="9" t="s">
        <v>825</v>
      </c>
      <c r="E392" s="9">
        <v>65</v>
      </c>
      <c r="F392" s="9">
        <v>100</v>
      </c>
      <c r="G392" s="9">
        <v>20</v>
      </c>
      <c r="H392" s="9"/>
      <c r="I392" s="17" t="s">
        <v>964</v>
      </c>
      <c r="J392" s="10">
        <v>10</v>
      </c>
      <c r="K392" s="16" t="str">
        <f t="shared" si="6"/>
        <v>Comum</v>
      </c>
    </row>
    <row r="393" spans="1:11" ht="16.5">
      <c r="A393" s="11" t="s">
        <v>1510</v>
      </c>
      <c r="B393" s="11" t="s">
        <v>42</v>
      </c>
      <c r="C393" s="11">
        <f>COUNTIF($B$2:$B$608,Tabela3[[#This Row],[Type]])</f>
        <v>167</v>
      </c>
      <c r="D393" s="9" t="s">
        <v>830</v>
      </c>
      <c r="E393" s="9"/>
      <c r="F393" s="9"/>
      <c r="G393" s="9">
        <v>10</v>
      </c>
      <c r="H393" s="9" t="s">
        <v>1511</v>
      </c>
      <c r="I393" s="17" t="s">
        <v>1512</v>
      </c>
      <c r="J393" s="10"/>
      <c r="K393" s="16" t="str">
        <f t="shared" si="6"/>
        <v>Comum</v>
      </c>
    </row>
    <row r="394" spans="1:11" ht="29.25">
      <c r="A394" s="11" t="s">
        <v>1513</v>
      </c>
      <c r="B394" s="11" t="s">
        <v>94</v>
      </c>
      <c r="C394" s="11">
        <f>COUNTIF($B$2:$B$608,Tabela3[[#This Row],[Type]])</f>
        <v>53</v>
      </c>
      <c r="D394" s="9" t="s">
        <v>825</v>
      </c>
      <c r="E394" s="9">
        <v>90</v>
      </c>
      <c r="F394" s="9">
        <v>100</v>
      </c>
      <c r="G394" s="9">
        <v>10</v>
      </c>
      <c r="H394" s="9" t="s">
        <v>1514</v>
      </c>
      <c r="I394" s="17" t="s">
        <v>828</v>
      </c>
      <c r="J394" s="10">
        <v>10</v>
      </c>
      <c r="K394" s="16" t="str">
        <f t="shared" si="6"/>
        <v>Forte</v>
      </c>
    </row>
    <row r="395" spans="1:11" ht="29.25">
      <c r="A395" s="11" t="s">
        <v>1515</v>
      </c>
      <c r="B395" s="11" t="s">
        <v>94</v>
      </c>
      <c r="C395" s="11">
        <f>COUNTIF($B$2:$B$608,Tabela3[[#This Row],[Type]])</f>
        <v>53</v>
      </c>
      <c r="D395" s="9" t="s">
        <v>825</v>
      </c>
      <c r="E395" s="9">
        <v>140</v>
      </c>
      <c r="F395" s="9">
        <v>90</v>
      </c>
      <c r="G395" s="9">
        <v>5</v>
      </c>
      <c r="H395" s="9"/>
      <c r="I395" s="17" t="s">
        <v>1049</v>
      </c>
      <c r="J395" s="10"/>
      <c r="K395" s="16" t="str">
        <f t="shared" si="6"/>
        <v>Muito Forte</v>
      </c>
    </row>
    <row r="396" spans="1:11" ht="16.5">
      <c r="A396" s="11" t="s">
        <v>1516</v>
      </c>
      <c r="B396" s="11" t="s">
        <v>94</v>
      </c>
      <c r="C396" s="11">
        <f>COUNTIF($B$2:$B$608,Tabela3[[#This Row],[Type]])</f>
        <v>53</v>
      </c>
      <c r="D396" s="9" t="s">
        <v>835</v>
      </c>
      <c r="E396" s="9">
        <v>70</v>
      </c>
      <c r="F396" s="9">
        <v>100</v>
      </c>
      <c r="G396" s="9">
        <v>20</v>
      </c>
      <c r="H396" s="9"/>
      <c r="I396" s="17" t="s">
        <v>845</v>
      </c>
      <c r="J396" s="10"/>
      <c r="K396" s="16" t="str">
        <f t="shared" si="6"/>
        <v>Forte</v>
      </c>
    </row>
    <row r="397" spans="1:11" ht="29.25">
      <c r="A397" s="11" t="s">
        <v>1517</v>
      </c>
      <c r="B397" s="11" t="s">
        <v>94</v>
      </c>
      <c r="C397" s="11">
        <f>COUNTIF($B$2:$B$608,Tabela3[[#This Row],[Type]])</f>
        <v>53</v>
      </c>
      <c r="D397" s="9" t="s">
        <v>830</v>
      </c>
      <c r="E397" s="9"/>
      <c r="F397" s="9">
        <v>90</v>
      </c>
      <c r="G397" s="9">
        <v>10</v>
      </c>
      <c r="H397" s="9"/>
      <c r="I397" s="17" t="s">
        <v>1518</v>
      </c>
      <c r="J397" s="10"/>
      <c r="K397" s="16" t="str">
        <f t="shared" si="6"/>
        <v>Comum</v>
      </c>
    </row>
    <row r="398" spans="1:11" ht="42.75">
      <c r="A398" s="11" t="s">
        <v>1519</v>
      </c>
      <c r="B398" s="11" t="s">
        <v>94</v>
      </c>
      <c r="C398" s="11">
        <f>COUNTIF($B$2:$B$608,Tabela3[[#This Row],[Type]])</f>
        <v>53</v>
      </c>
      <c r="D398" s="9" t="s">
        <v>825</v>
      </c>
      <c r="E398" s="9">
        <v>80</v>
      </c>
      <c r="F398" s="9">
        <v>100</v>
      </c>
      <c r="G398" s="9">
        <v>10</v>
      </c>
      <c r="H398" s="9" t="s">
        <v>1520</v>
      </c>
      <c r="I398" s="17" t="s">
        <v>1521</v>
      </c>
      <c r="J398" s="10"/>
      <c r="K398" s="16" t="str">
        <f t="shared" si="6"/>
        <v>Forte</v>
      </c>
    </row>
    <row r="399" spans="1:11" ht="42.75">
      <c r="A399" s="11" t="s">
        <v>1522</v>
      </c>
      <c r="B399" s="11" t="s">
        <v>94</v>
      </c>
      <c r="C399" s="11">
        <f>COUNTIF($B$2:$B$608,Tabela3[[#This Row],[Type]])</f>
        <v>53</v>
      </c>
      <c r="D399" s="9" t="s">
        <v>825</v>
      </c>
      <c r="E399" s="9">
        <v>100</v>
      </c>
      <c r="F399" s="9">
        <v>100</v>
      </c>
      <c r="G399" s="9">
        <v>10</v>
      </c>
      <c r="H399" s="9"/>
      <c r="I399" s="17" t="s">
        <v>1521</v>
      </c>
      <c r="J399" s="10"/>
      <c r="K399" s="16" t="str">
        <f t="shared" si="6"/>
        <v>Muito Forte</v>
      </c>
    </row>
    <row r="400" spans="1:11" ht="29.25">
      <c r="A400" s="11" t="s">
        <v>1523</v>
      </c>
      <c r="B400" s="11" t="s">
        <v>94</v>
      </c>
      <c r="C400" s="11">
        <f>COUNTIF($B$2:$B$608,Tabela3[[#This Row],[Type]])</f>
        <v>53</v>
      </c>
      <c r="D400" s="9" t="s">
        <v>825</v>
      </c>
      <c r="E400" s="9"/>
      <c r="F400" s="9">
        <v>80</v>
      </c>
      <c r="G400" s="9">
        <v>15</v>
      </c>
      <c r="H400" s="9"/>
      <c r="I400" s="17" t="s">
        <v>1524</v>
      </c>
      <c r="J400" s="10"/>
      <c r="K400" s="16" t="str">
        <f t="shared" si="6"/>
        <v>Comum</v>
      </c>
    </row>
    <row r="401" spans="1:11" ht="29.25">
      <c r="A401" s="11" t="s">
        <v>1525</v>
      </c>
      <c r="B401" s="11" t="s">
        <v>170</v>
      </c>
      <c r="C401" s="11">
        <f>COUNTIF($B$2:$B$608,Tabela3[[#This Row],[Type]])</f>
        <v>31</v>
      </c>
      <c r="D401" s="9" t="s">
        <v>835</v>
      </c>
      <c r="E401" s="9"/>
      <c r="F401" s="9">
        <v>100</v>
      </c>
      <c r="G401" s="9">
        <v>5</v>
      </c>
      <c r="H401" s="9"/>
      <c r="I401" s="17" t="s">
        <v>1526</v>
      </c>
      <c r="J401" s="10"/>
      <c r="K401" s="16" t="str">
        <f t="shared" si="6"/>
        <v>Comum</v>
      </c>
    </row>
    <row r="402" spans="1:11" ht="29.25">
      <c r="A402" s="11" t="s">
        <v>1527</v>
      </c>
      <c r="B402" s="11" t="s">
        <v>170</v>
      </c>
      <c r="C402" s="11">
        <f>COUNTIF($B$2:$B$608,Tabela3[[#This Row],[Type]])</f>
        <v>31</v>
      </c>
      <c r="D402" s="9" t="s">
        <v>835</v>
      </c>
      <c r="E402" s="9">
        <v>40</v>
      </c>
      <c r="F402" s="9">
        <v>100</v>
      </c>
      <c r="G402" s="9">
        <v>20</v>
      </c>
      <c r="H402" s="9"/>
      <c r="I402" s="17" t="s">
        <v>1528</v>
      </c>
      <c r="J402" s="10"/>
      <c r="K402" s="16" t="str">
        <f t="shared" si="6"/>
        <v>Comum</v>
      </c>
    </row>
    <row r="403" spans="1:11" ht="16.5">
      <c r="A403" s="11" t="s">
        <v>1529</v>
      </c>
      <c r="B403" s="11" t="s">
        <v>170</v>
      </c>
      <c r="C403" s="11">
        <f>COUNTIF($B$2:$B$608,Tabela3[[#This Row],[Type]])</f>
        <v>31</v>
      </c>
      <c r="D403" s="9" t="s">
        <v>830</v>
      </c>
      <c r="E403" s="9"/>
      <c r="F403" s="9">
        <v>100</v>
      </c>
      <c r="G403" s="9">
        <v>15</v>
      </c>
      <c r="H403" s="9" t="s">
        <v>1530</v>
      </c>
      <c r="I403" s="17" t="s">
        <v>1531</v>
      </c>
      <c r="J403" s="10"/>
      <c r="K403" s="16" t="str">
        <f t="shared" si="6"/>
        <v>Comum</v>
      </c>
    </row>
    <row r="404" spans="1:11" ht="16.5">
      <c r="A404" s="11" t="s">
        <v>1532</v>
      </c>
      <c r="B404" s="11" t="s">
        <v>42</v>
      </c>
      <c r="C404" s="11">
        <f>COUNTIF($B$2:$B$608,Tabela3[[#This Row],[Type]])</f>
        <v>167</v>
      </c>
      <c r="D404" s="9" t="s">
        <v>835</v>
      </c>
      <c r="E404" s="9">
        <v>40</v>
      </c>
      <c r="F404" s="9">
        <v>100</v>
      </c>
      <c r="G404" s="9">
        <v>30</v>
      </c>
      <c r="H404" s="9"/>
      <c r="I404" s="17" t="s">
        <v>861</v>
      </c>
      <c r="J404" s="10"/>
      <c r="K404" s="16" t="str">
        <f t="shared" si="6"/>
        <v>Comum</v>
      </c>
    </row>
    <row r="405" spans="1:11" ht="29.25">
      <c r="A405" s="11" t="s">
        <v>1533</v>
      </c>
      <c r="B405" s="11" t="s">
        <v>86</v>
      </c>
      <c r="C405" s="11">
        <f>COUNTIF($B$2:$B$608,Tabela3[[#This Row],[Type]])</f>
        <v>42</v>
      </c>
      <c r="D405" s="9" t="s">
        <v>830</v>
      </c>
      <c r="E405" s="9"/>
      <c r="F405" s="9"/>
      <c r="G405" s="9">
        <v>15</v>
      </c>
      <c r="H405" s="9"/>
      <c r="I405" s="17" t="s">
        <v>1534</v>
      </c>
      <c r="J405" s="10"/>
      <c r="K405" s="16" t="str">
        <f t="shared" si="6"/>
        <v>Comum</v>
      </c>
    </row>
    <row r="406" spans="1:11" ht="29.25">
      <c r="A406" s="11" t="s">
        <v>1535</v>
      </c>
      <c r="B406" s="11" t="s">
        <v>35</v>
      </c>
      <c r="C406" s="11">
        <f>COUNTIF($B$2:$B$608,Tabela3[[#This Row],[Type]])</f>
        <v>25</v>
      </c>
      <c r="D406" s="9" t="s">
        <v>830</v>
      </c>
      <c r="E406" s="9"/>
      <c r="F406" s="9"/>
      <c r="G406" s="9">
        <v>20</v>
      </c>
      <c r="H406" s="9"/>
      <c r="I406" s="17" t="s">
        <v>1536</v>
      </c>
      <c r="J406" s="10"/>
      <c r="K406" s="16" t="str">
        <f t="shared" si="6"/>
        <v>Comum</v>
      </c>
    </row>
    <row r="407" spans="1:11" ht="16.5">
      <c r="A407" s="11" t="s">
        <v>1537</v>
      </c>
      <c r="B407" s="11" t="s">
        <v>42</v>
      </c>
      <c r="C407" s="11">
        <f>COUNTIF($B$2:$B$608,Tabela3[[#This Row],[Type]])</f>
        <v>167</v>
      </c>
      <c r="D407" s="9" t="s">
        <v>835</v>
      </c>
      <c r="E407" s="9">
        <v>20</v>
      </c>
      <c r="F407" s="9">
        <v>100</v>
      </c>
      <c r="G407" s="9">
        <v>20</v>
      </c>
      <c r="H407" s="9"/>
      <c r="I407" s="17" t="s">
        <v>1538</v>
      </c>
      <c r="J407" s="10"/>
      <c r="K407" s="16" t="str">
        <f t="shared" si="6"/>
        <v>Comum</v>
      </c>
    </row>
    <row r="408" spans="1:11" ht="29.25">
      <c r="A408" s="11" t="s">
        <v>1539</v>
      </c>
      <c r="B408" s="11" t="s">
        <v>35</v>
      </c>
      <c r="C408" s="11">
        <f>COUNTIF($B$2:$B$608,Tabela3[[#This Row],[Type]])</f>
        <v>25</v>
      </c>
      <c r="D408" s="9" t="s">
        <v>830</v>
      </c>
      <c r="E408" s="9"/>
      <c r="F408" s="9"/>
      <c r="G408" s="9">
        <v>20</v>
      </c>
      <c r="H408" s="9"/>
      <c r="I408" s="17" t="s">
        <v>1540</v>
      </c>
      <c r="J408" s="10"/>
      <c r="K408" s="16" t="str">
        <f t="shared" si="6"/>
        <v>Comum</v>
      </c>
    </row>
    <row r="409" spans="1:11" ht="16.5">
      <c r="A409" s="11" t="s">
        <v>1541</v>
      </c>
      <c r="B409" s="11" t="s">
        <v>30</v>
      </c>
      <c r="C409" s="11">
        <f>COUNTIF($B$2:$B$608,Tabela3[[#This Row],[Type]])</f>
        <v>27</v>
      </c>
      <c r="D409" s="9" t="s">
        <v>830</v>
      </c>
      <c r="E409" s="9"/>
      <c r="F409" s="9"/>
      <c r="G409" s="9">
        <v>5</v>
      </c>
      <c r="H409" s="9" t="s">
        <v>1542</v>
      </c>
      <c r="I409" s="17" t="s">
        <v>1543</v>
      </c>
      <c r="J409" s="10"/>
      <c r="K409" s="16" t="str">
        <f t="shared" si="6"/>
        <v>Comum</v>
      </c>
    </row>
    <row r="410" spans="1:11" ht="16.5">
      <c r="A410" s="11" t="s">
        <v>1544</v>
      </c>
      <c r="B410" s="11" t="s">
        <v>42</v>
      </c>
      <c r="C410" s="11">
        <f>COUNTIF($B$2:$B$608,Tabela3[[#This Row],[Type]])</f>
        <v>167</v>
      </c>
      <c r="D410" s="9" t="s">
        <v>835</v>
      </c>
      <c r="E410" s="9">
        <v>20</v>
      </c>
      <c r="F410" s="9">
        <v>100</v>
      </c>
      <c r="G410" s="9">
        <v>40</v>
      </c>
      <c r="H410" s="9"/>
      <c r="I410" s="17" t="s">
        <v>1545</v>
      </c>
      <c r="J410" s="10"/>
      <c r="K410" s="16" t="str">
        <f t="shared" si="6"/>
        <v>Comum</v>
      </c>
    </row>
    <row r="411" spans="1:11" ht="16.5">
      <c r="A411" s="11" t="s">
        <v>1546</v>
      </c>
      <c r="B411" s="11" t="s">
        <v>16</v>
      </c>
      <c r="C411" s="11">
        <f>COUNTIF($B$2:$B$608,Tabela3[[#This Row],[Type]])</f>
        <v>37</v>
      </c>
      <c r="D411" s="9" t="s">
        <v>835</v>
      </c>
      <c r="E411" s="9">
        <v>55</v>
      </c>
      <c r="F411" s="9">
        <v>95</v>
      </c>
      <c r="G411" s="9">
        <v>25</v>
      </c>
      <c r="H411" s="9"/>
      <c r="I411" s="17" t="s">
        <v>845</v>
      </c>
      <c r="J411" s="10"/>
      <c r="K411" s="16" t="str">
        <f t="shared" si="6"/>
        <v>Comum</v>
      </c>
    </row>
    <row r="412" spans="1:11" ht="16.5">
      <c r="A412" s="11" t="s">
        <v>1547</v>
      </c>
      <c r="B412" s="11" t="s">
        <v>30</v>
      </c>
      <c r="C412" s="11">
        <f>COUNTIF($B$2:$B$608,Tabela3[[#This Row],[Type]])</f>
        <v>27</v>
      </c>
      <c r="D412" s="9" t="s">
        <v>835</v>
      </c>
      <c r="E412" s="9">
        <v>75</v>
      </c>
      <c r="F412" s="9">
        <v>95</v>
      </c>
      <c r="G412" s="9">
        <v>10</v>
      </c>
      <c r="H412" s="9"/>
      <c r="I412" s="17" t="s">
        <v>1007</v>
      </c>
      <c r="J412" s="10">
        <v>50</v>
      </c>
      <c r="K412" s="16" t="str">
        <f t="shared" si="6"/>
        <v>Forte</v>
      </c>
    </row>
    <row r="413" spans="1:11" ht="29.25">
      <c r="A413" s="11" t="s">
        <v>1548</v>
      </c>
      <c r="B413" s="11" t="s">
        <v>42</v>
      </c>
      <c r="C413" s="11">
        <f>COUNTIF($B$2:$B$608,Tabela3[[#This Row],[Type]])</f>
        <v>167</v>
      </c>
      <c r="D413" s="9" t="s">
        <v>825</v>
      </c>
      <c r="E413" s="9">
        <v>80</v>
      </c>
      <c r="F413" s="9">
        <v>100</v>
      </c>
      <c r="G413" s="9">
        <v>10</v>
      </c>
      <c r="H413" s="9"/>
      <c r="I413" s="17" t="s">
        <v>1549</v>
      </c>
      <c r="J413" s="10"/>
      <c r="K413" s="16" t="str">
        <f t="shared" si="6"/>
        <v>Forte</v>
      </c>
    </row>
    <row r="414" spans="1:11" ht="16.5">
      <c r="A414" s="11" t="s">
        <v>1550</v>
      </c>
      <c r="B414" s="11" t="s">
        <v>42</v>
      </c>
      <c r="C414" s="11">
        <f>COUNTIF($B$2:$B$608,Tabela3[[#This Row],[Type]])</f>
        <v>167</v>
      </c>
      <c r="D414" s="9" t="s">
        <v>830</v>
      </c>
      <c r="E414" s="9"/>
      <c r="F414" s="9"/>
      <c r="G414" s="9">
        <v>10</v>
      </c>
      <c r="H414" s="9"/>
      <c r="I414" s="17" t="s">
        <v>1551</v>
      </c>
      <c r="J414" s="10"/>
      <c r="K414" s="16" t="str">
        <f t="shared" si="6"/>
        <v>Comum</v>
      </c>
    </row>
    <row r="415" spans="1:11" ht="16.5">
      <c r="A415" s="11" t="s">
        <v>1552</v>
      </c>
      <c r="B415" s="11" t="s">
        <v>42</v>
      </c>
      <c r="C415" s="11">
        <f>COUNTIF($B$2:$B$608,Tabela3[[#This Row],[Type]])</f>
        <v>167</v>
      </c>
      <c r="D415" s="9" t="s">
        <v>830</v>
      </c>
      <c r="E415" s="9"/>
      <c r="F415" s="9"/>
      <c r="G415" s="9">
        <v>10</v>
      </c>
      <c r="H415" s="9"/>
      <c r="I415" s="17" t="s">
        <v>1553</v>
      </c>
      <c r="J415" s="10"/>
      <c r="K415" s="16" t="str">
        <f t="shared" si="6"/>
        <v>Comum</v>
      </c>
    </row>
    <row r="416" spans="1:11" ht="29.25">
      <c r="A416" s="11" t="s">
        <v>1554</v>
      </c>
      <c r="B416" s="11" t="s">
        <v>94</v>
      </c>
      <c r="C416" s="11">
        <f>COUNTIF($B$2:$B$608,Tabela3[[#This Row],[Type]])</f>
        <v>53</v>
      </c>
      <c r="D416" s="9" t="s">
        <v>830</v>
      </c>
      <c r="E416" s="9"/>
      <c r="F416" s="9"/>
      <c r="G416" s="9">
        <v>20</v>
      </c>
      <c r="H416" s="9" t="s">
        <v>1555</v>
      </c>
      <c r="I416" s="17" t="s">
        <v>1556</v>
      </c>
      <c r="J416" s="10"/>
      <c r="K416" s="16" t="str">
        <f t="shared" si="6"/>
        <v>Comum</v>
      </c>
    </row>
    <row r="417" spans="1:11" ht="16.5">
      <c r="A417" s="11" t="s">
        <v>1557</v>
      </c>
      <c r="B417" s="11" t="s">
        <v>42</v>
      </c>
      <c r="C417" s="11">
        <f>COUNTIF($B$2:$B$608,Tabela3[[#This Row],[Type]])</f>
        <v>167</v>
      </c>
      <c r="D417" s="9" t="s">
        <v>830</v>
      </c>
      <c r="E417" s="9"/>
      <c r="F417" s="9"/>
      <c r="G417" s="9">
        <v>15</v>
      </c>
      <c r="H417" s="9"/>
      <c r="I417" s="17" t="s">
        <v>1558</v>
      </c>
      <c r="J417" s="10"/>
      <c r="K417" s="16" t="str">
        <f t="shared" si="6"/>
        <v>Comum</v>
      </c>
    </row>
    <row r="418" spans="1:11" ht="16.5">
      <c r="A418" s="11" t="s">
        <v>1559</v>
      </c>
      <c r="B418" s="11" t="s">
        <v>42</v>
      </c>
      <c r="C418" s="11">
        <f>COUNTIF($B$2:$B$608,Tabela3[[#This Row],[Type]])</f>
        <v>167</v>
      </c>
      <c r="D418" s="9" t="s">
        <v>830</v>
      </c>
      <c r="E418" s="9"/>
      <c r="F418" s="9"/>
      <c r="G418" s="9">
        <v>20</v>
      </c>
      <c r="H418" s="9"/>
      <c r="I418" s="17" t="s">
        <v>1560</v>
      </c>
      <c r="J418" s="10"/>
      <c r="K418" s="16" t="str">
        <f t="shared" si="6"/>
        <v>Comum</v>
      </c>
    </row>
    <row r="419" spans="1:11" ht="16.5">
      <c r="A419" s="11" t="s">
        <v>1561</v>
      </c>
      <c r="B419" s="11" t="s">
        <v>42</v>
      </c>
      <c r="C419" s="11">
        <f>COUNTIF($B$2:$B$608,Tabela3[[#This Row],[Type]])</f>
        <v>167</v>
      </c>
      <c r="D419" s="9" t="s">
        <v>825</v>
      </c>
      <c r="E419" s="9">
        <v>75</v>
      </c>
      <c r="F419" s="9">
        <v>100</v>
      </c>
      <c r="G419" s="9">
        <v>10</v>
      </c>
      <c r="H419" s="9"/>
      <c r="I419" s="17" t="s">
        <v>1562</v>
      </c>
      <c r="J419" s="10">
        <v>10</v>
      </c>
      <c r="K419" s="16" t="str">
        <f t="shared" si="6"/>
        <v>Forte</v>
      </c>
    </row>
    <row r="420" spans="1:11" ht="29.25">
      <c r="A420" s="11" t="s">
        <v>1563</v>
      </c>
      <c r="B420" s="11" t="s">
        <v>94</v>
      </c>
      <c r="C420" s="11">
        <f>COUNTIF($B$2:$B$608,Tabela3[[#This Row],[Type]])</f>
        <v>53</v>
      </c>
      <c r="D420" s="9" t="s">
        <v>830</v>
      </c>
      <c r="E420" s="9"/>
      <c r="F420" s="9"/>
      <c r="G420" s="9">
        <v>10</v>
      </c>
      <c r="H420" s="9" t="s">
        <v>1564</v>
      </c>
      <c r="I420" s="17" t="s">
        <v>1565</v>
      </c>
      <c r="J420" s="10"/>
      <c r="K420" s="16" t="str">
        <f t="shared" si="6"/>
        <v>Comum</v>
      </c>
    </row>
    <row r="421" spans="1:11" ht="29.25">
      <c r="A421" s="11" t="s">
        <v>1566</v>
      </c>
      <c r="B421" s="11" t="s">
        <v>42</v>
      </c>
      <c r="C421" s="11">
        <f>COUNTIF($B$2:$B$608,Tabela3[[#This Row],[Type]])</f>
        <v>167</v>
      </c>
      <c r="D421" s="9" t="s">
        <v>835</v>
      </c>
      <c r="E421" s="9">
        <v>70</v>
      </c>
      <c r="F421" s="9">
        <v>100</v>
      </c>
      <c r="G421" s="9">
        <v>5</v>
      </c>
      <c r="H421" s="9" t="s">
        <v>1567</v>
      </c>
      <c r="I421" s="17" t="s">
        <v>1568</v>
      </c>
      <c r="J421" s="10"/>
      <c r="K421" s="16" t="str">
        <f t="shared" si="6"/>
        <v>Forte</v>
      </c>
    </row>
    <row r="422" spans="1:11" ht="29.25">
      <c r="A422" s="11" t="s">
        <v>1569</v>
      </c>
      <c r="B422" s="11" t="s">
        <v>42</v>
      </c>
      <c r="C422" s="11">
        <f>COUNTIF($B$2:$B$608,Tabela3[[#This Row],[Type]])</f>
        <v>167</v>
      </c>
      <c r="D422" s="9" t="s">
        <v>835</v>
      </c>
      <c r="E422" s="9"/>
      <c r="F422" s="9">
        <v>100</v>
      </c>
      <c r="G422" s="9">
        <v>20</v>
      </c>
      <c r="H422" s="9" t="s">
        <v>1570</v>
      </c>
      <c r="I422" s="17" t="s">
        <v>1571</v>
      </c>
      <c r="J422" s="10"/>
      <c r="K422" s="16" t="str">
        <f t="shared" si="6"/>
        <v>Comum</v>
      </c>
    </row>
    <row r="423" spans="1:11" ht="29.25">
      <c r="A423" s="11" t="s">
        <v>1572</v>
      </c>
      <c r="B423" s="11" t="s">
        <v>86</v>
      </c>
      <c r="C423" s="11">
        <f>COUNTIF($B$2:$B$608,Tabela3[[#This Row],[Type]])</f>
        <v>42</v>
      </c>
      <c r="D423" s="9" t="s">
        <v>835</v>
      </c>
      <c r="E423" s="9">
        <v>60</v>
      </c>
      <c r="F423" s="9">
        <v>100</v>
      </c>
      <c r="G423" s="9">
        <v>10</v>
      </c>
      <c r="H423" s="9"/>
      <c r="I423" s="17" t="s">
        <v>1573</v>
      </c>
      <c r="J423" s="10"/>
      <c r="K423" s="16" t="str">
        <f t="shared" si="6"/>
        <v>Comum</v>
      </c>
    </row>
    <row r="424" spans="1:11" ht="29.25">
      <c r="A424" s="11" t="s">
        <v>1574</v>
      </c>
      <c r="B424" s="11" t="s">
        <v>86</v>
      </c>
      <c r="C424" s="11">
        <f>COUNTIF($B$2:$B$608,Tabela3[[#This Row],[Type]])</f>
        <v>42</v>
      </c>
      <c r="D424" s="9" t="s">
        <v>835</v>
      </c>
      <c r="E424" s="9"/>
      <c r="F424" s="9">
        <v>100</v>
      </c>
      <c r="G424" s="9">
        <v>15</v>
      </c>
      <c r="H424" s="9"/>
      <c r="I424" s="17" t="s">
        <v>1141</v>
      </c>
      <c r="J424" s="10"/>
      <c r="K424" s="16" t="str">
        <f t="shared" si="6"/>
        <v>Comum</v>
      </c>
    </row>
    <row r="425" spans="1:11" ht="29.25">
      <c r="A425" s="11" t="s">
        <v>1575</v>
      </c>
      <c r="B425" s="11" t="s">
        <v>42</v>
      </c>
      <c r="C425" s="11">
        <f>COUNTIF($B$2:$B$608,Tabela3[[#This Row],[Type]])</f>
        <v>167</v>
      </c>
      <c r="D425" s="9" t="s">
        <v>830</v>
      </c>
      <c r="E425" s="9"/>
      <c r="F425" s="9">
        <v>100</v>
      </c>
      <c r="G425" s="9">
        <v>20</v>
      </c>
      <c r="H425" s="9" t="s">
        <v>1576</v>
      </c>
      <c r="I425" s="17" t="s">
        <v>968</v>
      </c>
      <c r="J425" s="10"/>
      <c r="K425" s="16" t="str">
        <f t="shared" si="6"/>
        <v>Comum</v>
      </c>
    </row>
    <row r="426" spans="1:11" ht="16.5">
      <c r="A426" s="11" t="s">
        <v>1577</v>
      </c>
      <c r="B426" s="11" t="s">
        <v>27</v>
      </c>
      <c r="C426" s="11">
        <f>COUNTIF($B$2:$B$608,Tabela3[[#This Row],[Type]])</f>
        <v>13</v>
      </c>
      <c r="D426" s="9" t="s">
        <v>825</v>
      </c>
      <c r="E426" s="9">
        <v>150</v>
      </c>
      <c r="F426" s="9">
        <v>90</v>
      </c>
      <c r="G426" s="9">
        <v>5</v>
      </c>
      <c r="H426" s="9"/>
      <c r="I426" s="17" t="s">
        <v>907</v>
      </c>
      <c r="J426" s="10"/>
      <c r="K426" s="16" t="str">
        <f t="shared" si="6"/>
        <v>Muito Forte</v>
      </c>
    </row>
    <row r="427" spans="1:11" ht="16.5">
      <c r="A427" s="11" t="s">
        <v>1578</v>
      </c>
      <c r="B427" s="11" t="s">
        <v>107</v>
      </c>
      <c r="C427" s="11">
        <f>COUNTIF($B$2:$B$608,Tabela3[[#This Row],[Type]])</f>
        <v>15</v>
      </c>
      <c r="D427" s="9" t="s">
        <v>835</v>
      </c>
      <c r="E427" s="9">
        <v>25</v>
      </c>
      <c r="F427" s="9">
        <v>90</v>
      </c>
      <c r="G427" s="9">
        <v>10</v>
      </c>
      <c r="H427" s="9"/>
      <c r="I427" s="17" t="s">
        <v>866</v>
      </c>
      <c r="J427" s="10"/>
      <c r="K427" s="16" t="str">
        <f t="shared" si="6"/>
        <v>Comum</v>
      </c>
    </row>
    <row r="428" spans="1:11" ht="16.5">
      <c r="A428" s="11" t="s">
        <v>1579</v>
      </c>
      <c r="B428" s="11" t="s">
        <v>42</v>
      </c>
      <c r="C428" s="11">
        <f>COUNTIF($B$2:$B$608,Tabela3[[#This Row],[Type]])</f>
        <v>167</v>
      </c>
      <c r="D428" s="9" t="s">
        <v>835</v>
      </c>
      <c r="E428" s="9">
        <v>90</v>
      </c>
      <c r="F428" s="9">
        <v>85</v>
      </c>
      <c r="G428" s="9">
        <v>20</v>
      </c>
      <c r="H428" s="9"/>
      <c r="I428" s="17" t="s">
        <v>964</v>
      </c>
      <c r="J428" s="10">
        <v>20</v>
      </c>
      <c r="K428" s="16" t="str">
        <f t="shared" si="6"/>
        <v>Forte</v>
      </c>
    </row>
    <row r="429" spans="1:11" ht="16.5">
      <c r="A429" s="11" t="s">
        <v>1580</v>
      </c>
      <c r="B429" s="11" t="s">
        <v>107</v>
      </c>
      <c r="C429" s="11">
        <f>COUNTIF($B$2:$B$608,Tabela3[[#This Row],[Type]])</f>
        <v>15</v>
      </c>
      <c r="D429" s="9" t="s">
        <v>830</v>
      </c>
      <c r="E429" s="9"/>
      <c r="F429" s="9"/>
      <c r="G429" s="9">
        <v>20</v>
      </c>
      <c r="H429" s="9" t="s">
        <v>1581</v>
      </c>
      <c r="I429" s="17" t="s">
        <v>849</v>
      </c>
      <c r="J429" s="10"/>
      <c r="K429" s="16" t="str">
        <f t="shared" si="6"/>
        <v>Comum</v>
      </c>
    </row>
    <row r="430" spans="1:11" ht="16.5">
      <c r="A430" s="11" t="s">
        <v>1582</v>
      </c>
      <c r="B430" s="11" t="s">
        <v>107</v>
      </c>
      <c r="C430" s="11">
        <f>COUNTIF($B$2:$B$608,Tabela3[[#This Row],[Type]])</f>
        <v>15</v>
      </c>
      <c r="D430" s="9" t="s">
        <v>835</v>
      </c>
      <c r="E430" s="9">
        <v>75</v>
      </c>
      <c r="F430" s="9">
        <v>90</v>
      </c>
      <c r="G430" s="9">
        <v>10</v>
      </c>
      <c r="H430" s="9" t="s">
        <v>1583</v>
      </c>
      <c r="I430" s="17" t="s">
        <v>852</v>
      </c>
      <c r="J430" s="10">
        <v>30</v>
      </c>
      <c r="K430" s="16" t="str">
        <f t="shared" si="6"/>
        <v>Forte</v>
      </c>
    </row>
    <row r="431" spans="1:11" ht="16.5">
      <c r="A431" s="11" t="s">
        <v>1584</v>
      </c>
      <c r="B431" s="11" t="s">
        <v>86</v>
      </c>
      <c r="C431" s="11">
        <f>COUNTIF($B$2:$B$608,Tabela3[[#This Row],[Type]])</f>
        <v>42</v>
      </c>
      <c r="D431" s="9" t="s">
        <v>835</v>
      </c>
      <c r="E431" s="9">
        <v>40</v>
      </c>
      <c r="F431" s="9">
        <v>100</v>
      </c>
      <c r="G431" s="9">
        <v>15</v>
      </c>
      <c r="H431" s="9" t="s">
        <v>1585</v>
      </c>
      <c r="I431" s="17" t="s">
        <v>1007</v>
      </c>
      <c r="J431" s="10">
        <v>50</v>
      </c>
      <c r="K431" s="16" t="str">
        <f t="shared" si="6"/>
        <v>Comum</v>
      </c>
    </row>
    <row r="432" spans="1:11" ht="16.5">
      <c r="A432" s="11" t="s">
        <v>1586</v>
      </c>
      <c r="B432" s="11" t="s">
        <v>107</v>
      </c>
      <c r="C432" s="11">
        <f>COUNTIF($B$2:$B$608,Tabela3[[#This Row],[Type]])</f>
        <v>15</v>
      </c>
      <c r="D432" s="9" t="s">
        <v>835</v>
      </c>
      <c r="E432" s="9">
        <v>50</v>
      </c>
      <c r="F432" s="9">
        <v>90</v>
      </c>
      <c r="G432" s="9">
        <v>15</v>
      </c>
      <c r="H432" s="9"/>
      <c r="I432" s="17"/>
      <c r="J432" s="10"/>
      <c r="K432" s="16" t="str">
        <f t="shared" si="6"/>
        <v>Comum</v>
      </c>
    </row>
    <row r="433" spans="1:11" ht="16.5">
      <c r="A433" s="11" t="s">
        <v>1587</v>
      </c>
      <c r="B433" s="11" t="s">
        <v>107</v>
      </c>
      <c r="C433" s="11">
        <f>COUNTIF($B$2:$B$608,Tabela3[[#This Row],[Type]])</f>
        <v>15</v>
      </c>
      <c r="D433" s="9" t="s">
        <v>835</v>
      </c>
      <c r="E433" s="9">
        <v>50</v>
      </c>
      <c r="F433" s="9">
        <v>80</v>
      </c>
      <c r="G433" s="9">
        <v>10</v>
      </c>
      <c r="H433" s="9" t="s">
        <v>1588</v>
      </c>
      <c r="I433" s="17" t="s">
        <v>946</v>
      </c>
      <c r="J433" s="10">
        <v>100</v>
      </c>
      <c r="K433" s="16" t="str">
        <f t="shared" si="6"/>
        <v>Comum</v>
      </c>
    </row>
    <row r="434" spans="1:11" ht="16.5">
      <c r="A434" s="11" t="s">
        <v>1589</v>
      </c>
      <c r="B434" s="11" t="s">
        <v>107</v>
      </c>
      <c r="C434" s="11">
        <f>COUNTIF($B$2:$B$608,Tabela3[[#This Row],[Type]])</f>
        <v>15</v>
      </c>
      <c r="D434" s="9" t="s">
        <v>835</v>
      </c>
      <c r="E434" s="9">
        <v>150</v>
      </c>
      <c r="F434" s="9">
        <v>90</v>
      </c>
      <c r="G434" s="9">
        <v>5</v>
      </c>
      <c r="H434" s="9"/>
      <c r="I434" s="17" t="s">
        <v>907</v>
      </c>
      <c r="J434" s="10"/>
      <c r="K434" s="16" t="str">
        <f t="shared" si="6"/>
        <v>Muito Forte</v>
      </c>
    </row>
    <row r="435" spans="1:11" ht="16.5">
      <c r="A435" s="11" t="s">
        <v>1590</v>
      </c>
      <c r="B435" s="11" t="s">
        <v>94</v>
      </c>
      <c r="C435" s="11">
        <f>COUNTIF($B$2:$B$608,Tabela3[[#This Row],[Type]])</f>
        <v>53</v>
      </c>
      <c r="D435" s="9" t="s">
        <v>830</v>
      </c>
      <c r="E435" s="9"/>
      <c r="F435" s="9"/>
      <c r="G435" s="9">
        <v>15</v>
      </c>
      <c r="H435" s="9"/>
      <c r="I435" s="17" t="s">
        <v>1591</v>
      </c>
      <c r="J435" s="10"/>
      <c r="K435" s="16" t="str">
        <f t="shared" si="6"/>
        <v>Comum</v>
      </c>
    </row>
    <row r="436" spans="1:11" ht="16.5">
      <c r="A436" s="11" t="s">
        <v>1592</v>
      </c>
      <c r="B436" s="11" t="s">
        <v>86</v>
      </c>
      <c r="C436" s="11">
        <f>COUNTIF($B$2:$B$608,Tabela3[[#This Row],[Type]])</f>
        <v>42</v>
      </c>
      <c r="D436" s="9" t="s">
        <v>835</v>
      </c>
      <c r="E436" s="9">
        <v>60</v>
      </c>
      <c r="F436" s="9">
        <v>85</v>
      </c>
      <c r="G436" s="9">
        <v>15</v>
      </c>
      <c r="H436" s="9"/>
      <c r="I436" s="17" t="s">
        <v>852</v>
      </c>
      <c r="J436" s="10">
        <v>30</v>
      </c>
      <c r="K436" s="16" t="str">
        <f t="shared" si="6"/>
        <v>Comum</v>
      </c>
    </row>
    <row r="437" spans="1:11" ht="29.25">
      <c r="A437" s="11" t="s">
        <v>1593</v>
      </c>
      <c r="B437" s="11" t="s">
        <v>107</v>
      </c>
      <c r="C437" s="11">
        <f>COUNTIF($B$2:$B$608,Tabela3[[#This Row],[Type]])</f>
        <v>15</v>
      </c>
      <c r="D437" s="9" t="s">
        <v>835</v>
      </c>
      <c r="E437" s="9">
        <v>30</v>
      </c>
      <c r="F437" s="9">
        <v>90</v>
      </c>
      <c r="G437" s="9">
        <v>20</v>
      </c>
      <c r="H437" s="9"/>
      <c r="I437" s="17" t="s">
        <v>1299</v>
      </c>
      <c r="J437" s="10"/>
      <c r="K437" s="16" t="str">
        <f t="shared" si="6"/>
        <v>Comum</v>
      </c>
    </row>
    <row r="438" spans="1:11" ht="57.75">
      <c r="A438" s="11" t="s">
        <v>1594</v>
      </c>
      <c r="B438" s="11" t="s">
        <v>25</v>
      </c>
      <c r="C438" s="11">
        <f>COUNTIF($B$2:$B$608,Tabela3[[#This Row],[Type]])</f>
        <v>23</v>
      </c>
      <c r="D438" s="9" t="s">
        <v>830</v>
      </c>
      <c r="E438" s="9"/>
      <c r="F438" s="9"/>
      <c r="G438" s="9">
        <v>10</v>
      </c>
      <c r="H438" s="9"/>
      <c r="I438" s="17" t="s">
        <v>1595</v>
      </c>
      <c r="J438" s="10"/>
      <c r="K438" s="16" t="str">
        <f t="shared" si="6"/>
        <v>Comum</v>
      </c>
    </row>
    <row r="439" spans="1:11" ht="29.25">
      <c r="A439" s="11" t="s">
        <v>1596</v>
      </c>
      <c r="B439" s="11" t="s">
        <v>55</v>
      </c>
      <c r="C439" s="11">
        <f>COUNTIF($B$2:$B$608,Tabela3[[#This Row],[Type]])</f>
        <v>19</v>
      </c>
      <c r="D439" s="9" t="s">
        <v>830</v>
      </c>
      <c r="E439" s="9"/>
      <c r="F439" s="9"/>
      <c r="G439" s="9">
        <v>10</v>
      </c>
      <c r="H439" s="9"/>
      <c r="I439" s="17" t="s">
        <v>1597</v>
      </c>
      <c r="J439" s="10"/>
      <c r="K439" s="16" t="str">
        <f t="shared" si="6"/>
        <v>Comum</v>
      </c>
    </row>
    <row r="440" spans="1:11" ht="42.75">
      <c r="A440" s="11" t="s">
        <v>1598</v>
      </c>
      <c r="B440" s="11" t="s">
        <v>42</v>
      </c>
      <c r="C440" s="11">
        <f>COUNTIF($B$2:$B$608,Tabela3[[#This Row],[Type]])</f>
        <v>167</v>
      </c>
      <c r="D440" s="9" t="s">
        <v>825</v>
      </c>
      <c r="E440" s="9">
        <v>60</v>
      </c>
      <c r="F440" s="9">
        <v>100</v>
      </c>
      <c r="G440" s="9">
        <v>15</v>
      </c>
      <c r="H440" s="9" t="s">
        <v>1599</v>
      </c>
      <c r="I440" s="17" t="s">
        <v>1077</v>
      </c>
      <c r="J440" s="10"/>
      <c r="K440" s="16" t="str">
        <f t="shared" si="6"/>
        <v>Comum</v>
      </c>
    </row>
    <row r="441" spans="1:11" ht="16.5">
      <c r="A441" s="11" t="s">
        <v>1600</v>
      </c>
      <c r="B441" s="11" t="s">
        <v>22</v>
      </c>
      <c r="C441" s="11">
        <f>COUNTIF($B$2:$B$608,Tabela3[[#This Row],[Type]])</f>
        <v>30</v>
      </c>
      <c r="D441" s="9" t="s">
        <v>835</v>
      </c>
      <c r="E441" s="9">
        <v>100</v>
      </c>
      <c r="F441" s="9">
        <v>95</v>
      </c>
      <c r="G441" s="9">
        <v>5</v>
      </c>
      <c r="H441" s="9"/>
      <c r="I441" s="17" t="s">
        <v>916</v>
      </c>
      <c r="J441" s="10">
        <v>50</v>
      </c>
      <c r="K441" s="16" t="str">
        <f t="shared" si="6"/>
        <v>Muito Forte</v>
      </c>
    </row>
    <row r="442" spans="1:11" ht="16.5">
      <c r="A442" s="11" t="s">
        <v>1601</v>
      </c>
      <c r="B442" s="11" t="s">
        <v>86</v>
      </c>
      <c r="C442" s="11">
        <f>COUNTIF($B$2:$B$608,Tabela3[[#This Row],[Type]])</f>
        <v>42</v>
      </c>
      <c r="D442" s="9" t="s">
        <v>835</v>
      </c>
      <c r="E442" s="9">
        <v>90</v>
      </c>
      <c r="F442" s="9">
        <v>100</v>
      </c>
      <c r="G442" s="9">
        <v>20</v>
      </c>
      <c r="H442" s="9"/>
      <c r="I442" s="17" t="s">
        <v>966</v>
      </c>
      <c r="J442" s="10"/>
      <c r="K442" s="16" t="str">
        <f t="shared" si="6"/>
        <v>Forte</v>
      </c>
    </row>
    <row r="443" spans="1:11" ht="29.25">
      <c r="A443" s="11" t="s">
        <v>1602</v>
      </c>
      <c r="B443" s="11" t="s">
        <v>42</v>
      </c>
      <c r="C443" s="11">
        <f>COUNTIF($B$2:$B$608,Tabela3[[#This Row],[Type]])</f>
        <v>167</v>
      </c>
      <c r="D443" s="9" t="s">
        <v>830</v>
      </c>
      <c r="E443" s="9"/>
      <c r="F443" s="9"/>
      <c r="G443" s="9">
        <v>25</v>
      </c>
      <c r="H443" s="9" t="s">
        <v>1603</v>
      </c>
      <c r="I443" s="17" t="s">
        <v>1604</v>
      </c>
      <c r="J443" s="10"/>
      <c r="K443" s="16" t="str">
        <f t="shared" si="6"/>
        <v>Comum</v>
      </c>
    </row>
    <row r="444" spans="1:11" ht="29.25">
      <c r="A444" s="11" t="s">
        <v>1605</v>
      </c>
      <c r="B444" s="11" t="s">
        <v>55</v>
      </c>
      <c r="C444" s="11">
        <f>COUNTIF($B$2:$B$608,Tabela3[[#This Row],[Type]])</f>
        <v>19</v>
      </c>
      <c r="D444" s="9" t="s">
        <v>835</v>
      </c>
      <c r="E444" s="9">
        <v>35</v>
      </c>
      <c r="F444" s="9">
        <v>85</v>
      </c>
      <c r="G444" s="9">
        <v>15</v>
      </c>
      <c r="H444" s="9"/>
      <c r="I444" s="17" t="s">
        <v>904</v>
      </c>
      <c r="J444" s="10"/>
      <c r="K444" s="16" t="str">
        <f t="shared" si="6"/>
        <v>Comum</v>
      </c>
    </row>
    <row r="445" spans="1:11" ht="16.5">
      <c r="A445" s="11" t="s">
        <v>1606</v>
      </c>
      <c r="B445" s="11" t="s">
        <v>55</v>
      </c>
      <c r="C445" s="11">
        <f>COUNTIF($B$2:$B$608,Tabela3[[#This Row],[Type]])</f>
        <v>19</v>
      </c>
      <c r="D445" s="9" t="s">
        <v>830</v>
      </c>
      <c r="E445" s="9"/>
      <c r="F445" s="9">
        <v>100</v>
      </c>
      <c r="G445" s="9">
        <v>15</v>
      </c>
      <c r="H445" s="9"/>
      <c r="I445" s="17" t="s">
        <v>1154</v>
      </c>
      <c r="J445" s="10"/>
      <c r="K445" s="16" t="str">
        <f t="shared" si="6"/>
        <v>Comum</v>
      </c>
    </row>
    <row r="446" spans="1:11" ht="16.5">
      <c r="A446" s="11" t="s">
        <v>1607</v>
      </c>
      <c r="B446" s="11" t="s">
        <v>107</v>
      </c>
      <c r="C446" s="11">
        <f>COUNTIF($B$2:$B$608,Tabela3[[#This Row],[Type]])</f>
        <v>15</v>
      </c>
      <c r="D446" s="9" t="s">
        <v>830</v>
      </c>
      <c r="E446" s="9"/>
      <c r="F446" s="9"/>
      <c r="G446" s="9">
        <v>10</v>
      </c>
      <c r="H446" s="9" t="s">
        <v>1608</v>
      </c>
      <c r="I446" s="17" t="s">
        <v>1609</v>
      </c>
      <c r="J446" s="10"/>
      <c r="K446" s="16" t="str">
        <f t="shared" si="6"/>
        <v>Comum</v>
      </c>
    </row>
    <row r="447" spans="1:11" ht="16.5">
      <c r="A447" s="11" t="s">
        <v>1610</v>
      </c>
      <c r="B447" s="11" t="s">
        <v>30</v>
      </c>
      <c r="C447" s="11">
        <f>COUNTIF($B$2:$B$608,Tabela3[[#This Row],[Type]])</f>
        <v>27</v>
      </c>
      <c r="D447" s="9" t="s">
        <v>825</v>
      </c>
      <c r="E447" s="9">
        <v>80</v>
      </c>
      <c r="F447" s="9">
        <v>100</v>
      </c>
      <c r="G447" s="9">
        <v>15</v>
      </c>
      <c r="H447" s="9" t="s">
        <v>1611</v>
      </c>
      <c r="I447" s="17" t="s">
        <v>916</v>
      </c>
      <c r="J447" s="10">
        <v>30</v>
      </c>
      <c r="K447" s="16" t="str">
        <f t="shared" si="6"/>
        <v>Forte</v>
      </c>
    </row>
    <row r="448" spans="1:11" ht="16.5">
      <c r="A448" s="11" t="s">
        <v>1612</v>
      </c>
      <c r="B448" s="11" t="s">
        <v>42</v>
      </c>
      <c r="C448" s="11">
        <f>COUNTIF($B$2:$B$608,Tabela3[[#This Row],[Type]])</f>
        <v>167</v>
      </c>
      <c r="D448" s="9" t="s">
        <v>830</v>
      </c>
      <c r="E448" s="9"/>
      <c r="F448" s="9">
        <v>100</v>
      </c>
      <c r="G448" s="9">
        <v>10</v>
      </c>
      <c r="H448" s="9"/>
      <c r="I448" s="17" t="s">
        <v>995</v>
      </c>
      <c r="J448" s="10"/>
      <c r="K448" s="16" t="str">
        <f t="shared" si="6"/>
        <v>Comum</v>
      </c>
    </row>
    <row r="449" spans="1:11" ht="16.5">
      <c r="A449" s="11" t="s">
        <v>1613</v>
      </c>
      <c r="B449" s="11" t="s">
        <v>42</v>
      </c>
      <c r="C449" s="11">
        <f>COUNTIF($B$2:$B$608,Tabela3[[#This Row],[Type]])</f>
        <v>167</v>
      </c>
      <c r="D449" s="9" t="s">
        <v>835</v>
      </c>
      <c r="E449" s="9">
        <v>40</v>
      </c>
      <c r="F449" s="9">
        <v>100</v>
      </c>
      <c r="G449" s="9">
        <v>35</v>
      </c>
      <c r="H449" s="9"/>
      <c r="I449" s="17"/>
      <c r="J449" s="10"/>
      <c r="K449" s="16" t="str">
        <f t="shared" si="6"/>
        <v>Comum</v>
      </c>
    </row>
    <row r="450" spans="1:11" ht="16.5">
      <c r="A450" s="11" t="s">
        <v>1614</v>
      </c>
      <c r="B450" s="11" t="s">
        <v>42</v>
      </c>
      <c r="C450" s="11">
        <f>COUNTIF($B$2:$B$608,Tabela3[[#This Row],[Type]])</f>
        <v>167</v>
      </c>
      <c r="D450" s="9" t="s">
        <v>830</v>
      </c>
      <c r="E450" s="9"/>
      <c r="F450" s="9">
        <v>85</v>
      </c>
      <c r="G450" s="9">
        <v>40</v>
      </c>
      <c r="H450" s="9"/>
      <c r="I450" s="17" t="s">
        <v>1615</v>
      </c>
      <c r="J450" s="10"/>
      <c r="K450" s="16" t="str">
        <f t="shared" si="6"/>
        <v>Comum</v>
      </c>
    </row>
    <row r="451" spans="1:11" ht="16.5">
      <c r="A451" s="11" t="s">
        <v>1616</v>
      </c>
      <c r="B451" s="11" t="s">
        <v>22</v>
      </c>
      <c r="C451" s="11">
        <f>COUNTIF($B$2:$B$608,Tabela3[[#This Row],[Type]])</f>
        <v>30</v>
      </c>
      <c r="D451" s="9" t="s">
        <v>825</v>
      </c>
      <c r="E451" s="9">
        <v>100</v>
      </c>
      <c r="F451" s="9">
        <v>100</v>
      </c>
      <c r="G451" s="9">
        <v>5</v>
      </c>
      <c r="H451" s="9"/>
      <c r="I451" s="17" t="s">
        <v>916</v>
      </c>
      <c r="J451" s="10">
        <v>30</v>
      </c>
      <c r="K451" s="16" t="str">
        <f t="shared" ref="K451:K514" si="7">IF(E451&gt;=100,"Muito Forte",
IF(E451&gt;=70,"Forte",
"Comum"))</f>
        <v>Muito Forte</v>
      </c>
    </row>
    <row r="452" spans="1:11" ht="29.25">
      <c r="A452" s="11" t="s">
        <v>1617</v>
      </c>
      <c r="B452" s="11" t="s">
        <v>42</v>
      </c>
      <c r="C452" s="11">
        <f>COUNTIF($B$2:$B$608,Tabela3[[#This Row],[Type]])</f>
        <v>167</v>
      </c>
      <c r="D452" s="9" t="s">
        <v>835</v>
      </c>
      <c r="E452" s="9">
        <v>70</v>
      </c>
      <c r="F452" s="9">
        <v>100</v>
      </c>
      <c r="G452" s="9">
        <v>20</v>
      </c>
      <c r="H452" s="9"/>
      <c r="I452" s="17" t="s">
        <v>1618</v>
      </c>
      <c r="J452" s="10">
        <v>30</v>
      </c>
      <c r="K452" s="16" t="str">
        <f t="shared" si="7"/>
        <v>Forte</v>
      </c>
    </row>
    <row r="453" spans="1:11" ht="42.75">
      <c r="A453" s="11" t="s">
        <v>1619</v>
      </c>
      <c r="B453" s="11" t="s">
        <v>86</v>
      </c>
      <c r="C453" s="11">
        <f>COUNTIF($B$2:$B$608,Tabela3[[#This Row],[Type]])</f>
        <v>42</v>
      </c>
      <c r="D453" s="9" t="s">
        <v>825</v>
      </c>
      <c r="E453" s="9">
        <v>85</v>
      </c>
      <c r="F453" s="9">
        <v>100</v>
      </c>
      <c r="G453" s="9">
        <v>10</v>
      </c>
      <c r="H453" s="9"/>
      <c r="I453" s="17" t="s">
        <v>1521</v>
      </c>
      <c r="J453" s="10"/>
      <c r="K453" s="16" t="str">
        <f t="shared" si="7"/>
        <v>Forte</v>
      </c>
    </row>
    <row r="454" spans="1:11" ht="16.5">
      <c r="A454" s="11" t="s">
        <v>1620</v>
      </c>
      <c r="B454" s="11" t="s">
        <v>16</v>
      </c>
      <c r="C454" s="11">
        <f>COUNTIF($B$2:$B$608,Tabela3[[#This Row],[Type]])</f>
        <v>37</v>
      </c>
      <c r="D454" s="9" t="s">
        <v>835</v>
      </c>
      <c r="E454" s="9">
        <v>80</v>
      </c>
      <c r="F454" s="9">
        <v>100</v>
      </c>
      <c r="G454" s="9">
        <v>15</v>
      </c>
      <c r="H454" s="9"/>
      <c r="I454" s="17"/>
      <c r="J454" s="10"/>
      <c r="K454" s="16" t="str">
        <f t="shared" si="7"/>
        <v>Forte</v>
      </c>
    </row>
    <row r="455" spans="1:11" ht="29.25">
      <c r="A455" s="11" t="s">
        <v>1621</v>
      </c>
      <c r="B455" s="11" t="s">
        <v>16</v>
      </c>
      <c r="C455" s="11">
        <f>COUNTIF($B$2:$B$608,Tabela3[[#This Row],[Type]])</f>
        <v>37</v>
      </c>
      <c r="D455" s="9" t="s">
        <v>825</v>
      </c>
      <c r="E455" s="9">
        <v>120</v>
      </c>
      <c r="F455" s="9">
        <v>85</v>
      </c>
      <c r="G455" s="9">
        <v>5</v>
      </c>
      <c r="H455" s="9"/>
      <c r="I455" s="17" t="s">
        <v>828</v>
      </c>
      <c r="J455" s="10">
        <v>40</v>
      </c>
      <c r="K455" s="16" t="str">
        <f t="shared" si="7"/>
        <v>Muito Forte</v>
      </c>
    </row>
    <row r="456" spans="1:11" ht="29.25">
      <c r="A456" s="11" t="s">
        <v>1622</v>
      </c>
      <c r="B456" s="11" t="s">
        <v>86</v>
      </c>
      <c r="C456" s="11">
        <f>COUNTIF($B$2:$B$608,Tabela3[[#This Row],[Type]])</f>
        <v>42</v>
      </c>
      <c r="D456" s="9" t="s">
        <v>835</v>
      </c>
      <c r="E456" s="9"/>
      <c r="F456" s="9">
        <v>100</v>
      </c>
      <c r="G456" s="9">
        <v>20</v>
      </c>
      <c r="H456" s="9"/>
      <c r="I456" s="17" t="s">
        <v>1440</v>
      </c>
      <c r="J456" s="10"/>
      <c r="K456" s="16" t="str">
        <f t="shared" si="7"/>
        <v>Comum</v>
      </c>
    </row>
    <row r="457" spans="1:11" ht="16.5">
      <c r="A457" s="11" t="s">
        <v>1623</v>
      </c>
      <c r="B457" s="11" t="s">
        <v>42</v>
      </c>
      <c r="C457" s="11">
        <f>COUNTIF($B$2:$B$608,Tabela3[[#This Row],[Type]])</f>
        <v>167</v>
      </c>
      <c r="D457" s="9" t="s">
        <v>835</v>
      </c>
      <c r="E457" s="9">
        <v>200</v>
      </c>
      <c r="F457" s="9">
        <v>100</v>
      </c>
      <c r="G457" s="9">
        <v>5</v>
      </c>
      <c r="H457" s="9"/>
      <c r="I457" s="17" t="s">
        <v>1106</v>
      </c>
      <c r="J457" s="10"/>
      <c r="K457" s="16" t="str">
        <f t="shared" si="7"/>
        <v>Muito Forte</v>
      </c>
    </row>
    <row r="458" spans="1:11" ht="29.25">
      <c r="A458" s="11" t="s">
        <v>1624</v>
      </c>
      <c r="B458" s="11" t="s">
        <v>128</v>
      </c>
      <c r="C458" s="11">
        <f>COUNTIF($B$2:$B$608,Tabela3[[#This Row],[Type]])</f>
        <v>18</v>
      </c>
      <c r="D458" s="9" t="s">
        <v>825</v>
      </c>
      <c r="E458" s="9">
        <v>80</v>
      </c>
      <c r="F458" s="9">
        <v>100</v>
      </c>
      <c r="G458" s="9">
        <v>15</v>
      </c>
      <c r="H458" s="9" t="s">
        <v>1625</v>
      </c>
      <c r="I458" s="17" t="s">
        <v>828</v>
      </c>
      <c r="J458" s="10">
        <v>20</v>
      </c>
      <c r="K458" s="16" t="str">
        <f t="shared" si="7"/>
        <v>Forte</v>
      </c>
    </row>
    <row r="459" spans="1:11" ht="16.5">
      <c r="A459" s="11" t="s">
        <v>1626</v>
      </c>
      <c r="B459" s="11" t="s">
        <v>128</v>
      </c>
      <c r="C459" s="11">
        <f>COUNTIF($B$2:$B$608,Tabela3[[#This Row],[Type]])</f>
        <v>18</v>
      </c>
      <c r="D459" s="9" t="s">
        <v>835</v>
      </c>
      <c r="E459" s="9">
        <v>70</v>
      </c>
      <c r="F459" s="9">
        <v>100</v>
      </c>
      <c r="G459" s="9">
        <v>15</v>
      </c>
      <c r="H459" s="9" t="s">
        <v>1627</v>
      </c>
      <c r="I459" s="17" t="s">
        <v>845</v>
      </c>
      <c r="J459" s="10"/>
      <c r="K459" s="16" t="str">
        <f t="shared" si="7"/>
        <v>Forte</v>
      </c>
    </row>
    <row r="460" spans="1:11" ht="42.75">
      <c r="A460" s="11" t="s">
        <v>1628</v>
      </c>
      <c r="B460" s="11" t="s">
        <v>128</v>
      </c>
      <c r="C460" s="11">
        <f>COUNTIF($B$2:$B$608,Tabela3[[#This Row],[Type]])</f>
        <v>18</v>
      </c>
      <c r="D460" s="9" t="s">
        <v>835</v>
      </c>
      <c r="E460" s="9">
        <v>120</v>
      </c>
      <c r="F460" s="9">
        <v>100</v>
      </c>
      <c r="G460" s="9">
        <v>5</v>
      </c>
      <c r="H460" s="9"/>
      <c r="I460" s="17" t="s">
        <v>1472</v>
      </c>
      <c r="J460" s="10"/>
      <c r="K460" s="16" t="str">
        <f t="shared" si="7"/>
        <v>Muito Forte</v>
      </c>
    </row>
    <row r="461" spans="1:11" ht="16.5">
      <c r="A461" s="11" t="s">
        <v>1629</v>
      </c>
      <c r="B461" s="11" t="s">
        <v>128</v>
      </c>
      <c r="C461" s="11">
        <f>COUNTIF($B$2:$B$608,Tabela3[[#This Row],[Type]])</f>
        <v>18</v>
      </c>
      <c r="D461" s="9" t="s">
        <v>835</v>
      </c>
      <c r="E461" s="9">
        <v>60</v>
      </c>
      <c r="F461" s="9" t="s">
        <v>841</v>
      </c>
      <c r="G461" s="9">
        <v>20</v>
      </c>
      <c r="H461" s="9"/>
      <c r="I461" s="17" t="s">
        <v>843</v>
      </c>
      <c r="J461" s="10"/>
      <c r="K461" s="16" t="str">
        <f t="shared" si="7"/>
        <v>Comum</v>
      </c>
    </row>
    <row r="462" spans="1:11" ht="16.5">
      <c r="A462" s="11" t="s">
        <v>1630</v>
      </c>
      <c r="B462" s="11" t="s">
        <v>128</v>
      </c>
      <c r="C462" s="11">
        <f>COUNTIF($B$2:$B$608,Tabela3[[#This Row],[Type]])</f>
        <v>18</v>
      </c>
      <c r="D462" s="9" t="s">
        <v>835</v>
      </c>
      <c r="E462" s="9">
        <v>40</v>
      </c>
      <c r="F462" s="9">
        <v>100</v>
      </c>
      <c r="G462" s="9">
        <v>30</v>
      </c>
      <c r="H462" s="9"/>
      <c r="I462" s="17" t="s">
        <v>861</v>
      </c>
      <c r="J462" s="10"/>
      <c r="K462" s="16" t="str">
        <f t="shared" si="7"/>
        <v>Comum</v>
      </c>
    </row>
    <row r="463" spans="1:11" ht="16.5">
      <c r="A463" s="11" t="s">
        <v>1631</v>
      </c>
      <c r="B463" s="11" t="s">
        <v>42</v>
      </c>
      <c r="C463" s="11">
        <f>COUNTIF($B$2:$B$608,Tabela3[[#This Row],[Type]])</f>
        <v>167</v>
      </c>
      <c r="D463" s="9" t="s">
        <v>830</v>
      </c>
      <c r="E463" s="9"/>
      <c r="F463" s="9"/>
      <c r="G463" s="9">
        <v>30</v>
      </c>
      <c r="H463" s="9"/>
      <c r="I463" s="17" t="s">
        <v>1288</v>
      </c>
      <c r="J463" s="10"/>
      <c r="K463" s="16" t="str">
        <f t="shared" si="7"/>
        <v>Comum</v>
      </c>
    </row>
    <row r="464" spans="1:11" ht="16.5">
      <c r="A464" s="11" t="s">
        <v>1632</v>
      </c>
      <c r="B464" s="11" t="s">
        <v>122</v>
      </c>
      <c r="C464" s="11">
        <f>COUNTIF($B$2:$B$608,Tabela3[[#This Row],[Type]])</f>
        <v>21</v>
      </c>
      <c r="D464" s="9" t="s">
        <v>825</v>
      </c>
      <c r="E464" s="9"/>
      <c r="F464" s="9"/>
      <c r="G464" s="9">
        <v>5</v>
      </c>
      <c r="H464" s="9"/>
      <c r="I464" s="17" t="s">
        <v>1139</v>
      </c>
      <c r="J464" s="10"/>
      <c r="K464" s="16" t="str">
        <f t="shared" si="7"/>
        <v>Comum</v>
      </c>
    </row>
    <row r="465" spans="1:11" ht="42.75">
      <c r="A465" s="11" t="s">
        <v>1633</v>
      </c>
      <c r="B465" s="11" t="s">
        <v>42</v>
      </c>
      <c r="C465" s="11">
        <f>COUNTIF($B$2:$B$608,Tabela3[[#This Row],[Type]])</f>
        <v>167</v>
      </c>
      <c r="D465" s="9" t="s">
        <v>830</v>
      </c>
      <c r="E465" s="9"/>
      <c r="F465" s="9"/>
      <c r="G465" s="9">
        <v>15</v>
      </c>
      <c r="H465" s="9"/>
      <c r="I465" s="17" t="s">
        <v>1634</v>
      </c>
      <c r="J465" s="10"/>
      <c r="K465" s="16" t="str">
        <f t="shared" si="7"/>
        <v>Comum</v>
      </c>
    </row>
    <row r="466" spans="1:11" ht="29.25">
      <c r="A466" s="11" t="s">
        <v>1635</v>
      </c>
      <c r="B466" s="11" t="s">
        <v>115</v>
      </c>
      <c r="C466" s="11">
        <f>COUNTIF($B$2:$B$608,Tabela3[[#This Row],[Type]])</f>
        <v>19</v>
      </c>
      <c r="D466" s="9" t="s">
        <v>830</v>
      </c>
      <c r="E466" s="9"/>
      <c r="F466" s="9"/>
      <c r="G466" s="9">
        <v>10</v>
      </c>
      <c r="H466" s="9"/>
      <c r="I466" s="17" t="s">
        <v>1636</v>
      </c>
      <c r="J466" s="10"/>
      <c r="K466" s="16" t="str">
        <f t="shared" si="7"/>
        <v>Comum</v>
      </c>
    </row>
    <row r="467" spans="1:11" ht="16.5">
      <c r="A467" s="11" t="s">
        <v>1637</v>
      </c>
      <c r="B467" s="11" t="s">
        <v>52</v>
      </c>
      <c r="C467" s="11">
        <f>COUNTIF($B$2:$B$608,Tabela3[[#This Row],[Type]])</f>
        <v>28</v>
      </c>
      <c r="D467" s="9" t="s">
        <v>825</v>
      </c>
      <c r="E467" s="9">
        <v>60</v>
      </c>
      <c r="F467" s="9" t="s">
        <v>841</v>
      </c>
      <c r="G467" s="9">
        <v>20</v>
      </c>
      <c r="H467" s="9"/>
      <c r="I467" s="17" t="s">
        <v>843</v>
      </c>
      <c r="J467" s="10"/>
      <c r="K467" s="16" t="str">
        <f t="shared" si="7"/>
        <v>Comum</v>
      </c>
    </row>
    <row r="468" spans="1:11" ht="16.5">
      <c r="A468" s="11" t="s">
        <v>1638</v>
      </c>
      <c r="B468" s="11" t="s">
        <v>35</v>
      </c>
      <c r="C468" s="11">
        <f>COUNTIF($B$2:$B$608,Tabela3[[#This Row],[Type]])</f>
        <v>25</v>
      </c>
      <c r="D468" s="9" t="s">
        <v>825</v>
      </c>
      <c r="E468" s="9">
        <v>75</v>
      </c>
      <c r="F468" s="9">
        <v>100</v>
      </c>
      <c r="G468" s="9">
        <v>15</v>
      </c>
      <c r="H468" s="9"/>
      <c r="I468" s="17" t="s">
        <v>964</v>
      </c>
      <c r="J468" s="10">
        <v>10</v>
      </c>
      <c r="K468" s="16" t="str">
        <f t="shared" si="7"/>
        <v>Forte</v>
      </c>
    </row>
    <row r="469" spans="1:11" ht="16.5">
      <c r="A469" s="11" t="s">
        <v>1639</v>
      </c>
      <c r="B469" s="11" t="s">
        <v>35</v>
      </c>
      <c r="C469" s="11">
        <f>COUNTIF($B$2:$B$608,Tabela3[[#This Row],[Type]])</f>
        <v>25</v>
      </c>
      <c r="D469" s="9" t="s">
        <v>825</v>
      </c>
      <c r="E469" s="9">
        <v>60</v>
      </c>
      <c r="F469" s="9">
        <v>100</v>
      </c>
      <c r="G469" s="9">
        <v>5</v>
      </c>
      <c r="H469" s="9"/>
      <c r="I469" s="17" t="s">
        <v>1640</v>
      </c>
      <c r="J469" s="10">
        <v>10</v>
      </c>
      <c r="K469" s="16" t="str">
        <f t="shared" si="7"/>
        <v>Comum</v>
      </c>
    </row>
    <row r="470" spans="1:11" ht="16.5">
      <c r="A470" s="11" t="s">
        <v>1641</v>
      </c>
      <c r="B470" s="11" t="s">
        <v>42</v>
      </c>
      <c r="C470" s="11">
        <f>COUNTIF($B$2:$B$608,Tabela3[[#This Row],[Type]])</f>
        <v>167</v>
      </c>
      <c r="D470" s="9" t="s">
        <v>830</v>
      </c>
      <c r="E470" s="9"/>
      <c r="F470" s="9">
        <v>100</v>
      </c>
      <c r="G470" s="9">
        <v>15</v>
      </c>
      <c r="H470" s="9"/>
      <c r="I470" s="17" t="s">
        <v>1642</v>
      </c>
      <c r="J470" s="10"/>
      <c r="K470" s="16" t="str">
        <f t="shared" si="7"/>
        <v>Comum</v>
      </c>
    </row>
    <row r="471" spans="1:11" ht="29.25">
      <c r="A471" s="11" t="s">
        <v>1643</v>
      </c>
      <c r="B471" s="11" t="s">
        <v>42</v>
      </c>
      <c r="C471" s="11">
        <f>COUNTIF($B$2:$B$608,Tabela3[[#This Row],[Type]])</f>
        <v>167</v>
      </c>
      <c r="D471" s="9" t="s">
        <v>830</v>
      </c>
      <c r="E471" s="9"/>
      <c r="F471" s="9">
        <v>55</v>
      </c>
      <c r="G471" s="9">
        <v>15</v>
      </c>
      <c r="H471" s="9"/>
      <c r="I471" s="17" t="s">
        <v>1355</v>
      </c>
      <c r="J471" s="10">
        <v>100</v>
      </c>
      <c r="K471" s="16" t="str">
        <f t="shared" si="7"/>
        <v>Comum</v>
      </c>
    </row>
    <row r="472" spans="1:11" ht="29.25">
      <c r="A472" s="11" t="s">
        <v>1644</v>
      </c>
      <c r="B472" s="11" t="s">
        <v>42</v>
      </c>
      <c r="C472" s="11">
        <f>COUNTIF($B$2:$B$608,Tabela3[[#This Row],[Type]])</f>
        <v>167</v>
      </c>
      <c r="D472" s="9" t="s">
        <v>830</v>
      </c>
      <c r="E472" s="9"/>
      <c r="F472" s="9"/>
      <c r="G472" s="9">
        <v>1</v>
      </c>
      <c r="H472" s="9"/>
      <c r="I472" s="17" t="s">
        <v>1645</v>
      </c>
      <c r="J472" s="10"/>
      <c r="K472" s="16" t="str">
        <f t="shared" si="7"/>
        <v>Comum</v>
      </c>
    </row>
    <row r="473" spans="1:11" ht="29.25">
      <c r="A473" s="11" t="s">
        <v>1646</v>
      </c>
      <c r="B473" s="11" t="s">
        <v>94</v>
      </c>
      <c r="C473" s="11">
        <f>COUNTIF($B$2:$B$608,Tabela3[[#This Row],[Type]])</f>
        <v>53</v>
      </c>
      <c r="D473" s="9" t="s">
        <v>830</v>
      </c>
      <c r="E473" s="9"/>
      <c r="F473" s="9"/>
      <c r="G473" s="9">
        <v>10</v>
      </c>
      <c r="H473" s="9"/>
      <c r="I473" s="17" t="s">
        <v>1647</v>
      </c>
      <c r="J473" s="10"/>
      <c r="K473" s="16" t="str">
        <f t="shared" si="7"/>
        <v>Comum</v>
      </c>
    </row>
    <row r="474" spans="1:11" ht="29.25">
      <c r="A474" s="11" t="s">
        <v>1648</v>
      </c>
      <c r="B474" s="11" t="s">
        <v>42</v>
      </c>
      <c r="C474" s="11">
        <f>COUNTIF($B$2:$B$608,Tabela3[[#This Row],[Type]])</f>
        <v>167</v>
      </c>
      <c r="D474" s="9" t="s">
        <v>835</v>
      </c>
      <c r="E474" s="9">
        <v>100</v>
      </c>
      <c r="F474" s="9">
        <v>100</v>
      </c>
      <c r="G474" s="9">
        <v>15</v>
      </c>
      <c r="H474" s="9"/>
      <c r="I474" s="17" t="s">
        <v>1649</v>
      </c>
      <c r="J474" s="10">
        <v>100</v>
      </c>
      <c r="K474" s="16" t="str">
        <f t="shared" si="7"/>
        <v>Muito Forte</v>
      </c>
    </row>
    <row r="475" spans="1:11" ht="29.25">
      <c r="A475" s="11" t="s">
        <v>1650</v>
      </c>
      <c r="B475" s="11" t="s">
        <v>25</v>
      </c>
      <c r="C475" s="11">
        <f>COUNTIF($B$2:$B$608,Tabela3[[#This Row],[Type]])</f>
        <v>23</v>
      </c>
      <c r="D475" s="9" t="s">
        <v>835</v>
      </c>
      <c r="E475" s="9">
        <v>140</v>
      </c>
      <c r="F475" s="9">
        <v>90</v>
      </c>
      <c r="G475" s="9">
        <v>5</v>
      </c>
      <c r="H475" s="9"/>
      <c r="I475" s="17" t="s">
        <v>1651</v>
      </c>
      <c r="J475" s="10">
        <v>30</v>
      </c>
      <c r="K475" s="16" t="str">
        <f t="shared" si="7"/>
        <v>Muito Forte</v>
      </c>
    </row>
    <row r="476" spans="1:11" ht="29.25">
      <c r="A476" s="11" t="s">
        <v>1652</v>
      </c>
      <c r="B476" s="11" t="s">
        <v>25</v>
      </c>
      <c r="C476" s="11">
        <f>COUNTIF($B$2:$B$608,Tabela3[[#This Row],[Type]])</f>
        <v>23</v>
      </c>
      <c r="D476" s="9" t="s">
        <v>835</v>
      </c>
      <c r="E476" s="9">
        <v>60</v>
      </c>
      <c r="F476" s="9">
        <v>100</v>
      </c>
      <c r="G476" s="9">
        <v>10</v>
      </c>
      <c r="H476" s="9" t="s">
        <v>1653</v>
      </c>
      <c r="I476" s="17" t="s">
        <v>1654</v>
      </c>
      <c r="J476" s="10"/>
      <c r="K476" s="16" t="str">
        <f t="shared" si="7"/>
        <v>Comum</v>
      </c>
    </row>
    <row r="477" spans="1:11" ht="16.5">
      <c r="A477" s="11" t="s">
        <v>1655</v>
      </c>
      <c r="B477" s="11" t="s">
        <v>86</v>
      </c>
      <c r="C477" s="11">
        <f>COUNTIF($B$2:$B$608,Tabela3[[#This Row],[Type]])</f>
        <v>42</v>
      </c>
      <c r="D477" s="9" t="s">
        <v>835</v>
      </c>
      <c r="E477" s="9">
        <v>85</v>
      </c>
      <c r="F477" s="9">
        <v>90</v>
      </c>
      <c r="G477" s="9">
        <v>15</v>
      </c>
      <c r="H477" s="9"/>
      <c r="I477" s="17" t="s">
        <v>1656</v>
      </c>
      <c r="J477" s="10"/>
      <c r="K477" s="16" t="str">
        <f t="shared" si="7"/>
        <v>Forte</v>
      </c>
    </row>
    <row r="478" spans="1:11" ht="16.5">
      <c r="A478" s="11" t="s">
        <v>1657</v>
      </c>
      <c r="B478" s="11" t="s">
        <v>42</v>
      </c>
      <c r="C478" s="11">
        <f>COUNTIF($B$2:$B$608,Tabela3[[#This Row],[Type]])</f>
        <v>167</v>
      </c>
      <c r="D478" s="9" t="s">
        <v>830</v>
      </c>
      <c r="E478" s="9"/>
      <c r="F478" s="9"/>
      <c r="G478" s="9">
        <v>10</v>
      </c>
      <c r="H478" s="9"/>
      <c r="I478" s="17" t="s">
        <v>1551</v>
      </c>
      <c r="J478" s="10"/>
      <c r="K478" s="16" t="str">
        <f t="shared" si="7"/>
        <v>Comum</v>
      </c>
    </row>
    <row r="479" spans="1:11" ht="16.5">
      <c r="A479" s="11" t="s">
        <v>1658</v>
      </c>
      <c r="B479" s="11" t="s">
        <v>42</v>
      </c>
      <c r="C479" s="11">
        <f>COUNTIF($B$2:$B$608,Tabela3[[#This Row],[Type]])</f>
        <v>167</v>
      </c>
      <c r="D479" s="9" t="s">
        <v>835</v>
      </c>
      <c r="E479" s="9">
        <v>80</v>
      </c>
      <c r="F479" s="9">
        <v>75</v>
      </c>
      <c r="G479" s="9">
        <v>20</v>
      </c>
      <c r="H479" s="9"/>
      <c r="I479" s="17"/>
      <c r="J479" s="10"/>
      <c r="K479" s="16" t="str">
        <f t="shared" si="7"/>
        <v>Forte</v>
      </c>
    </row>
    <row r="480" spans="1:11" ht="16.5">
      <c r="A480" s="11" t="s">
        <v>1659</v>
      </c>
      <c r="B480" s="11" t="s">
        <v>42</v>
      </c>
      <c r="C480" s="11">
        <f>COUNTIF($B$2:$B$608,Tabela3[[#This Row],[Type]])</f>
        <v>167</v>
      </c>
      <c r="D480" s="9" t="s">
        <v>835</v>
      </c>
      <c r="E480" s="9">
        <v>70</v>
      </c>
      <c r="F480" s="9">
        <v>100</v>
      </c>
      <c r="G480" s="9">
        <v>20</v>
      </c>
      <c r="H480" s="9"/>
      <c r="I480" s="17" t="s">
        <v>845</v>
      </c>
      <c r="J480" s="10"/>
      <c r="K480" s="16" t="str">
        <f t="shared" si="7"/>
        <v>Forte</v>
      </c>
    </row>
    <row r="481" spans="1:11" ht="29.25">
      <c r="A481" s="11" t="s">
        <v>1660</v>
      </c>
      <c r="B481" s="11" t="s">
        <v>16</v>
      </c>
      <c r="C481" s="11">
        <f>COUNTIF($B$2:$B$608,Tabela3[[#This Row],[Type]])</f>
        <v>37</v>
      </c>
      <c r="D481" s="9" t="s">
        <v>830</v>
      </c>
      <c r="E481" s="9"/>
      <c r="F481" s="9">
        <v>75</v>
      </c>
      <c r="G481" s="9">
        <v>15</v>
      </c>
      <c r="H481" s="9"/>
      <c r="I481" s="17" t="s">
        <v>1355</v>
      </c>
      <c r="J481" s="10"/>
      <c r="K481" s="16" t="str">
        <f t="shared" si="7"/>
        <v>Comum</v>
      </c>
    </row>
    <row r="482" spans="1:11" ht="29.25">
      <c r="A482" s="11" t="s">
        <v>1661</v>
      </c>
      <c r="B482" s="11" t="s">
        <v>42</v>
      </c>
      <c r="C482" s="11">
        <f>COUNTIF($B$2:$B$608,Tabela3[[#This Row],[Type]])</f>
        <v>167</v>
      </c>
      <c r="D482" s="9" t="s">
        <v>830</v>
      </c>
      <c r="E482" s="9"/>
      <c r="F482" s="9"/>
      <c r="G482" s="9">
        <v>10</v>
      </c>
      <c r="H482" s="9"/>
      <c r="I482" s="17" t="s">
        <v>1662</v>
      </c>
      <c r="J482" s="10"/>
      <c r="K482" s="16" t="str">
        <f t="shared" si="7"/>
        <v>Comum</v>
      </c>
    </row>
    <row r="483" spans="1:11" ht="16.5">
      <c r="A483" s="11" t="s">
        <v>1663</v>
      </c>
      <c r="B483" s="11" t="s">
        <v>17</v>
      </c>
      <c r="C483" s="11">
        <f>COUNTIF($B$2:$B$608,Tabela3[[#This Row],[Type]])</f>
        <v>23</v>
      </c>
      <c r="D483" s="9" t="s">
        <v>825</v>
      </c>
      <c r="E483" s="9">
        <v>65</v>
      </c>
      <c r="F483" s="9">
        <v>100</v>
      </c>
      <c r="G483" s="9">
        <v>20</v>
      </c>
      <c r="H483" s="9"/>
      <c r="I483" s="17" t="s">
        <v>1238</v>
      </c>
      <c r="J483" s="10">
        <v>30</v>
      </c>
      <c r="K483" s="16" t="str">
        <f t="shared" si="7"/>
        <v>Comum</v>
      </c>
    </row>
    <row r="484" spans="1:11" ht="16.5">
      <c r="A484" s="11" t="s">
        <v>1664</v>
      </c>
      <c r="B484" s="11" t="s">
        <v>17</v>
      </c>
      <c r="C484" s="11">
        <f>COUNTIF($B$2:$B$608,Tabela3[[#This Row],[Type]])</f>
        <v>23</v>
      </c>
      <c r="D484" s="9" t="s">
        <v>825</v>
      </c>
      <c r="E484" s="9">
        <v>90</v>
      </c>
      <c r="F484" s="9">
        <v>100</v>
      </c>
      <c r="G484" s="9">
        <v>10</v>
      </c>
      <c r="H484" s="9" t="s">
        <v>1665</v>
      </c>
      <c r="I484" s="17" t="s">
        <v>1238</v>
      </c>
      <c r="J484" s="10">
        <v>30</v>
      </c>
      <c r="K484" s="16" t="str">
        <f t="shared" si="7"/>
        <v>Forte</v>
      </c>
    </row>
    <row r="485" spans="1:11" ht="16.5">
      <c r="A485" s="11" t="s">
        <v>1666</v>
      </c>
      <c r="B485" s="11" t="s">
        <v>17</v>
      </c>
      <c r="C485" s="11">
        <f>COUNTIF($B$2:$B$608,Tabela3[[#This Row],[Type]])</f>
        <v>23</v>
      </c>
      <c r="D485" s="9" t="s">
        <v>825</v>
      </c>
      <c r="E485" s="9">
        <v>95</v>
      </c>
      <c r="F485" s="9">
        <v>100</v>
      </c>
      <c r="G485" s="9">
        <v>10</v>
      </c>
      <c r="H485" s="9" t="s">
        <v>1667</v>
      </c>
      <c r="I485" s="17" t="s">
        <v>1238</v>
      </c>
      <c r="J485" s="10">
        <v>10</v>
      </c>
      <c r="K485" s="16" t="str">
        <f t="shared" si="7"/>
        <v>Forte</v>
      </c>
    </row>
    <row r="486" spans="1:11" ht="29.25">
      <c r="A486" s="11" t="s">
        <v>1668</v>
      </c>
      <c r="B486" s="11" t="s">
        <v>107</v>
      </c>
      <c r="C486" s="11">
        <f>COUNTIF($B$2:$B$608,Tabela3[[#This Row],[Type]])</f>
        <v>15</v>
      </c>
      <c r="D486" s="9" t="s">
        <v>835</v>
      </c>
      <c r="E486" s="9">
        <v>50</v>
      </c>
      <c r="F486" s="9">
        <v>100</v>
      </c>
      <c r="G486" s="9">
        <v>15</v>
      </c>
      <c r="H486" s="9" t="s">
        <v>1669</v>
      </c>
      <c r="I486" s="17" t="s">
        <v>1670</v>
      </c>
      <c r="J486" s="10">
        <v>100</v>
      </c>
      <c r="K486" s="16" t="str">
        <f t="shared" si="7"/>
        <v>Comum</v>
      </c>
    </row>
    <row r="487" spans="1:11" ht="29.25">
      <c r="A487" s="11" t="s">
        <v>1671</v>
      </c>
      <c r="B487" s="11" t="s">
        <v>42</v>
      </c>
      <c r="C487" s="11">
        <f>COUNTIF($B$2:$B$608,Tabela3[[#This Row],[Type]])</f>
        <v>167</v>
      </c>
      <c r="D487" s="9" t="s">
        <v>835</v>
      </c>
      <c r="E487" s="9">
        <v>60</v>
      </c>
      <c r="F487" s="9">
        <v>100</v>
      </c>
      <c r="G487" s="9">
        <v>10</v>
      </c>
      <c r="H487" s="9"/>
      <c r="I487" s="17" t="s">
        <v>1672</v>
      </c>
      <c r="J487" s="10"/>
      <c r="K487" s="16" t="str">
        <f t="shared" si="7"/>
        <v>Comum</v>
      </c>
    </row>
    <row r="488" spans="1:11" ht="16.5">
      <c r="A488" s="11" t="s">
        <v>1673</v>
      </c>
      <c r="B488" s="11" t="s">
        <v>17</v>
      </c>
      <c r="C488" s="11">
        <f>COUNTIF($B$2:$B$608,Tabela3[[#This Row],[Type]])</f>
        <v>23</v>
      </c>
      <c r="D488" s="9" t="s">
        <v>825</v>
      </c>
      <c r="E488" s="9">
        <v>20</v>
      </c>
      <c r="F488" s="9">
        <v>70</v>
      </c>
      <c r="G488" s="9">
        <v>20</v>
      </c>
      <c r="H488" s="9"/>
      <c r="I488" s="17" t="s">
        <v>1238</v>
      </c>
      <c r="J488" s="10">
        <v>40</v>
      </c>
      <c r="K488" s="16" t="str">
        <f t="shared" si="7"/>
        <v>Comum</v>
      </c>
    </row>
    <row r="489" spans="1:11" ht="16.5">
      <c r="A489" s="11" t="s">
        <v>1674</v>
      </c>
      <c r="B489" s="11" t="s">
        <v>42</v>
      </c>
      <c r="C489" s="11">
        <f>COUNTIF($B$2:$B$608,Tabela3[[#This Row],[Type]])</f>
        <v>167</v>
      </c>
      <c r="D489" s="9" t="s">
        <v>830</v>
      </c>
      <c r="E489" s="9"/>
      <c r="F489" s="9">
        <v>100</v>
      </c>
      <c r="G489" s="9">
        <v>20</v>
      </c>
      <c r="H489" s="9"/>
      <c r="I489" s="17" t="s">
        <v>1154</v>
      </c>
      <c r="J489" s="10"/>
      <c r="K489" s="16" t="str">
        <f t="shared" si="7"/>
        <v>Comum</v>
      </c>
    </row>
    <row r="490" spans="1:11" ht="16.5">
      <c r="A490" s="11" t="s">
        <v>1675</v>
      </c>
      <c r="B490" s="11" t="s">
        <v>170</v>
      </c>
      <c r="C490" s="11">
        <f>COUNTIF($B$2:$B$608,Tabela3[[#This Row],[Type]])</f>
        <v>31</v>
      </c>
      <c r="D490" s="9" t="s">
        <v>825</v>
      </c>
      <c r="E490" s="9">
        <v>55</v>
      </c>
      <c r="F490" s="9">
        <v>95</v>
      </c>
      <c r="G490" s="9">
        <v>15</v>
      </c>
      <c r="H490" s="9" t="s">
        <v>1676</v>
      </c>
      <c r="I490" s="17" t="s">
        <v>978</v>
      </c>
      <c r="J490" s="10">
        <v>100</v>
      </c>
      <c r="K490" s="16" t="str">
        <f t="shared" si="7"/>
        <v>Comum</v>
      </c>
    </row>
    <row r="491" spans="1:11" ht="29.25">
      <c r="A491" s="11" t="s">
        <v>1677</v>
      </c>
      <c r="B491" s="11" t="s">
        <v>170</v>
      </c>
      <c r="C491" s="11">
        <f>COUNTIF($B$2:$B$608,Tabela3[[#This Row],[Type]])</f>
        <v>31</v>
      </c>
      <c r="D491" s="9" t="s">
        <v>830</v>
      </c>
      <c r="E491" s="9"/>
      <c r="F491" s="9"/>
      <c r="G491" s="9">
        <v>10</v>
      </c>
      <c r="H491" s="9"/>
      <c r="I491" s="17" t="s">
        <v>1678</v>
      </c>
      <c r="J491" s="10"/>
      <c r="K491" s="16" t="str">
        <f t="shared" si="7"/>
        <v>Comum</v>
      </c>
    </row>
    <row r="492" spans="1:11" ht="29.25">
      <c r="A492" s="11" t="s">
        <v>1679</v>
      </c>
      <c r="B492" s="11" t="s">
        <v>42</v>
      </c>
      <c r="C492" s="11">
        <f>COUNTIF($B$2:$B$608,Tabela3[[#This Row],[Type]])</f>
        <v>167</v>
      </c>
      <c r="D492" s="9" t="s">
        <v>825</v>
      </c>
      <c r="E492" s="9">
        <v>40</v>
      </c>
      <c r="F492" s="9">
        <v>100</v>
      </c>
      <c r="G492" s="9">
        <v>15</v>
      </c>
      <c r="H492" s="9"/>
      <c r="I492" s="17" t="s">
        <v>1680</v>
      </c>
      <c r="J492" s="10">
        <v>30</v>
      </c>
      <c r="K492" s="16" t="str">
        <f t="shared" si="7"/>
        <v>Comum</v>
      </c>
    </row>
    <row r="493" spans="1:11" ht="16.5">
      <c r="A493" s="11" t="s">
        <v>1681</v>
      </c>
      <c r="B493" s="11" t="s">
        <v>30</v>
      </c>
      <c r="C493" s="11">
        <f>COUNTIF($B$2:$B$608,Tabela3[[#This Row],[Type]])</f>
        <v>27</v>
      </c>
      <c r="D493" s="9" t="s">
        <v>830</v>
      </c>
      <c r="E493" s="9"/>
      <c r="F493" s="9">
        <v>100</v>
      </c>
      <c r="G493" s="9">
        <v>20</v>
      </c>
      <c r="H493" s="9"/>
      <c r="I493" s="17" t="s">
        <v>1682</v>
      </c>
      <c r="J493" s="10"/>
      <c r="K493" s="16" t="str">
        <f t="shared" si="7"/>
        <v>Comum</v>
      </c>
    </row>
    <row r="494" spans="1:11" ht="16.5">
      <c r="A494" s="11" t="s">
        <v>1683</v>
      </c>
      <c r="B494" s="11" t="s">
        <v>42</v>
      </c>
      <c r="C494" s="11">
        <f>COUNTIF($B$2:$B$608,Tabela3[[#This Row],[Type]])</f>
        <v>167</v>
      </c>
      <c r="D494" s="9" t="s">
        <v>830</v>
      </c>
      <c r="E494" s="9"/>
      <c r="F494" s="9"/>
      <c r="G494" s="9">
        <v>10</v>
      </c>
      <c r="H494" s="9"/>
      <c r="I494" s="17" t="s">
        <v>1551</v>
      </c>
      <c r="J494" s="10"/>
      <c r="K494" s="16" t="str">
        <f t="shared" si="7"/>
        <v>Comum</v>
      </c>
    </row>
    <row r="495" spans="1:11" ht="29.25">
      <c r="A495" s="11" t="s">
        <v>1684</v>
      </c>
      <c r="B495" s="11" t="s">
        <v>16</v>
      </c>
      <c r="C495" s="11">
        <f>COUNTIF($B$2:$B$608,Tabela3[[#This Row],[Type]])</f>
        <v>37</v>
      </c>
      <c r="D495" s="9" t="s">
        <v>825</v>
      </c>
      <c r="E495" s="9">
        <v>120</v>
      </c>
      <c r="F495" s="9">
        <v>100</v>
      </c>
      <c r="G495" s="9">
        <v>10</v>
      </c>
      <c r="H495" s="9" t="s">
        <v>1685</v>
      </c>
      <c r="I495" s="17" t="s">
        <v>1686</v>
      </c>
      <c r="J495" s="10"/>
      <c r="K495" s="16" t="str">
        <f t="shared" si="7"/>
        <v>Muito Forte</v>
      </c>
    </row>
    <row r="496" spans="1:11" ht="16.5">
      <c r="A496" s="11" t="s">
        <v>1687</v>
      </c>
      <c r="B496" s="11" t="s">
        <v>42</v>
      </c>
      <c r="C496" s="11">
        <f>COUNTIF($B$2:$B$608,Tabela3[[#This Row],[Type]])</f>
        <v>167</v>
      </c>
      <c r="D496" s="9" t="s">
        <v>825</v>
      </c>
      <c r="E496" s="9"/>
      <c r="F496" s="9">
        <v>90</v>
      </c>
      <c r="G496" s="9">
        <v>20</v>
      </c>
      <c r="H496" s="9"/>
      <c r="I496" s="17" t="s">
        <v>1688</v>
      </c>
      <c r="J496" s="10"/>
      <c r="K496" s="16" t="str">
        <f t="shared" si="7"/>
        <v>Comum</v>
      </c>
    </row>
    <row r="497" spans="1:11" ht="16.5">
      <c r="A497" s="11" t="s">
        <v>1689</v>
      </c>
      <c r="B497" s="11" t="s">
        <v>27</v>
      </c>
      <c r="C497" s="11">
        <f>COUNTIF($B$2:$B$608,Tabela3[[#This Row],[Type]])</f>
        <v>13</v>
      </c>
      <c r="D497" s="9" t="s">
        <v>825</v>
      </c>
      <c r="E497" s="9">
        <v>100</v>
      </c>
      <c r="F497" s="9">
        <v>95</v>
      </c>
      <c r="G497" s="9">
        <v>5</v>
      </c>
      <c r="H497" s="9"/>
      <c r="I497" s="17" t="s">
        <v>845</v>
      </c>
      <c r="J497" s="10"/>
      <c r="K497" s="16" t="str">
        <f t="shared" si="7"/>
        <v>Muito Forte</v>
      </c>
    </row>
    <row r="498" spans="1:11" ht="16.5">
      <c r="A498" s="11" t="s">
        <v>1690</v>
      </c>
      <c r="B498" s="11" t="s">
        <v>52</v>
      </c>
      <c r="C498" s="11">
        <f>COUNTIF($B$2:$B$608,Tabela3[[#This Row],[Type]])</f>
        <v>28</v>
      </c>
      <c r="D498" s="9" t="s">
        <v>835</v>
      </c>
      <c r="E498" s="9">
        <v>65</v>
      </c>
      <c r="F498" s="9">
        <v>100</v>
      </c>
      <c r="G498" s="9">
        <v>20</v>
      </c>
      <c r="H498" s="9"/>
      <c r="I498" s="17" t="s">
        <v>918</v>
      </c>
      <c r="J498" s="10">
        <v>30</v>
      </c>
      <c r="K498" s="16" t="str">
        <f t="shared" si="7"/>
        <v>Comum</v>
      </c>
    </row>
    <row r="499" spans="1:11" ht="16.5">
      <c r="A499" s="11" t="s">
        <v>1691</v>
      </c>
      <c r="B499" s="11" t="s">
        <v>35</v>
      </c>
      <c r="C499" s="11">
        <f>COUNTIF($B$2:$B$608,Tabela3[[#This Row],[Type]])</f>
        <v>25</v>
      </c>
      <c r="D499" s="9" t="s">
        <v>830</v>
      </c>
      <c r="E499" s="9"/>
      <c r="F499" s="9"/>
      <c r="G499" s="9">
        <v>10</v>
      </c>
      <c r="H499" s="9"/>
      <c r="I499" s="17" t="s">
        <v>1383</v>
      </c>
      <c r="J499" s="10"/>
      <c r="K499" s="16" t="str">
        <f t="shared" si="7"/>
        <v>Comum</v>
      </c>
    </row>
    <row r="500" spans="1:11" ht="16.5">
      <c r="A500" s="11" t="s">
        <v>1692</v>
      </c>
      <c r="B500" s="11" t="s">
        <v>42</v>
      </c>
      <c r="C500" s="11">
        <f>COUNTIF($B$2:$B$608,Tabela3[[#This Row],[Type]])</f>
        <v>167</v>
      </c>
      <c r="D500" s="9" t="s">
        <v>835</v>
      </c>
      <c r="E500" s="9">
        <v>20</v>
      </c>
      <c r="F500" s="9">
        <v>100</v>
      </c>
      <c r="G500" s="9">
        <v>15</v>
      </c>
      <c r="H500" s="9"/>
      <c r="I500" s="17" t="s">
        <v>866</v>
      </c>
      <c r="J500" s="10"/>
      <c r="K500" s="16" t="str">
        <f t="shared" si="7"/>
        <v>Comum</v>
      </c>
    </row>
    <row r="501" spans="1:11" ht="29.25">
      <c r="A501" s="11" t="s">
        <v>1693</v>
      </c>
      <c r="B501" s="11" t="s">
        <v>55</v>
      </c>
      <c r="C501" s="11">
        <f>COUNTIF($B$2:$B$608,Tabela3[[#This Row],[Type]])</f>
        <v>19</v>
      </c>
      <c r="D501" s="9" t="s">
        <v>830</v>
      </c>
      <c r="E501" s="9"/>
      <c r="F501" s="9"/>
      <c r="G501" s="9">
        <v>20</v>
      </c>
      <c r="H501" s="9"/>
      <c r="I501" s="17" t="s">
        <v>1694</v>
      </c>
      <c r="J501" s="10"/>
      <c r="K501" s="16" t="str">
        <f t="shared" si="7"/>
        <v>Comum</v>
      </c>
    </row>
    <row r="502" spans="1:11" ht="29.25">
      <c r="A502" s="11" t="s">
        <v>1695</v>
      </c>
      <c r="B502" s="11" t="s">
        <v>16</v>
      </c>
      <c r="C502" s="11">
        <f>COUNTIF($B$2:$B$608,Tabela3[[#This Row],[Type]])</f>
        <v>37</v>
      </c>
      <c r="D502" s="9" t="s">
        <v>830</v>
      </c>
      <c r="E502" s="9"/>
      <c r="F502" s="9"/>
      <c r="G502" s="9">
        <v>10</v>
      </c>
      <c r="H502" s="9"/>
      <c r="I502" s="17" t="s">
        <v>1696</v>
      </c>
      <c r="J502" s="10"/>
      <c r="K502" s="16" t="str">
        <f t="shared" si="7"/>
        <v>Comum</v>
      </c>
    </row>
    <row r="503" spans="1:11" ht="29.25">
      <c r="A503" s="11" t="s">
        <v>1697</v>
      </c>
      <c r="B503" s="11" t="s">
        <v>42</v>
      </c>
      <c r="C503" s="11">
        <f>COUNTIF($B$2:$B$608,Tabela3[[#This Row],[Type]])</f>
        <v>167</v>
      </c>
      <c r="D503" s="9" t="s">
        <v>825</v>
      </c>
      <c r="E503" s="9"/>
      <c r="F503" s="9">
        <v>100</v>
      </c>
      <c r="G503" s="9">
        <v>10</v>
      </c>
      <c r="H503" s="9"/>
      <c r="I503" s="17" t="s">
        <v>1698</v>
      </c>
      <c r="J503" s="10"/>
      <c r="K503" s="16" t="str">
        <f t="shared" si="7"/>
        <v>Comum</v>
      </c>
    </row>
    <row r="504" spans="1:11" ht="29.25">
      <c r="A504" s="11" t="s">
        <v>1699</v>
      </c>
      <c r="B504" s="11" t="s">
        <v>128</v>
      </c>
      <c r="C504" s="11">
        <f>COUNTIF($B$2:$B$608,Tabela3[[#This Row],[Type]])</f>
        <v>18</v>
      </c>
      <c r="D504" s="9" t="s">
        <v>830</v>
      </c>
      <c r="E504" s="9"/>
      <c r="F504" s="9">
        <v>100</v>
      </c>
      <c r="G504" s="9">
        <v>10</v>
      </c>
      <c r="H504" s="9"/>
      <c r="I504" s="17" t="s">
        <v>1700</v>
      </c>
      <c r="J504" s="10"/>
      <c r="K504" s="16" t="str">
        <f t="shared" si="7"/>
        <v>Comum</v>
      </c>
    </row>
    <row r="505" spans="1:11" ht="16.5">
      <c r="A505" s="11" t="s">
        <v>1701</v>
      </c>
      <c r="B505" s="11" t="s">
        <v>42</v>
      </c>
      <c r="C505" s="11">
        <f>COUNTIF($B$2:$B$608,Tabela3[[#This Row],[Type]])</f>
        <v>167</v>
      </c>
      <c r="D505" s="9" t="s">
        <v>830</v>
      </c>
      <c r="E505" s="9"/>
      <c r="F505" s="9"/>
      <c r="G505" s="9">
        <v>40</v>
      </c>
      <c r="H505" s="9"/>
      <c r="I505" s="17" t="s">
        <v>1702</v>
      </c>
      <c r="J505" s="10"/>
      <c r="K505" s="16" t="str">
        <f t="shared" si="7"/>
        <v>Comum</v>
      </c>
    </row>
    <row r="506" spans="1:11" ht="16.5">
      <c r="A506" s="11" t="s">
        <v>1703</v>
      </c>
      <c r="B506" s="11" t="s">
        <v>16</v>
      </c>
      <c r="C506" s="11">
        <f>COUNTIF($B$2:$B$608,Tabela3[[#This Row],[Type]])</f>
        <v>37</v>
      </c>
      <c r="D506" s="9" t="s">
        <v>830</v>
      </c>
      <c r="E506" s="9"/>
      <c r="F506" s="9">
        <v>100</v>
      </c>
      <c r="G506" s="9">
        <v>15</v>
      </c>
      <c r="H506" s="9"/>
      <c r="I506" s="17" t="s">
        <v>1704</v>
      </c>
      <c r="J506" s="10">
        <v>100</v>
      </c>
      <c r="K506" s="16" t="str">
        <f t="shared" si="7"/>
        <v>Comum</v>
      </c>
    </row>
    <row r="507" spans="1:11" ht="29.25">
      <c r="A507" s="11" t="s">
        <v>1705</v>
      </c>
      <c r="B507" s="11" t="s">
        <v>107</v>
      </c>
      <c r="C507" s="11">
        <f>COUNTIF($B$2:$B$608,Tabela3[[#This Row],[Type]])</f>
        <v>15</v>
      </c>
      <c r="D507" s="9" t="s">
        <v>830</v>
      </c>
      <c r="E507" s="9"/>
      <c r="F507" s="9"/>
      <c r="G507" s="9">
        <v>20</v>
      </c>
      <c r="H507" s="9"/>
      <c r="I507" s="17" t="s">
        <v>1706</v>
      </c>
      <c r="J507" s="10"/>
      <c r="K507" s="16" t="str">
        <f t="shared" si="7"/>
        <v>Comum</v>
      </c>
    </row>
    <row r="508" spans="1:11" ht="16.5">
      <c r="A508" s="11" t="s">
        <v>1707</v>
      </c>
      <c r="B508" s="11" t="s">
        <v>35</v>
      </c>
      <c r="C508" s="11">
        <f>COUNTIF($B$2:$B$608,Tabela3[[#This Row],[Type]])</f>
        <v>25</v>
      </c>
      <c r="D508" s="9" t="s">
        <v>835</v>
      </c>
      <c r="E508" s="9">
        <v>65</v>
      </c>
      <c r="F508" s="9">
        <v>100</v>
      </c>
      <c r="G508" s="9">
        <v>20</v>
      </c>
      <c r="H508" s="9"/>
      <c r="I508" s="17" t="s">
        <v>852</v>
      </c>
      <c r="J508" s="10">
        <v>30</v>
      </c>
      <c r="K508" s="16" t="str">
        <f t="shared" si="7"/>
        <v>Comum</v>
      </c>
    </row>
    <row r="509" spans="1:11" ht="16.5">
      <c r="A509" s="11" t="s">
        <v>1708</v>
      </c>
      <c r="B509" s="11" t="s">
        <v>115</v>
      </c>
      <c r="C509" s="11">
        <f>COUNTIF($B$2:$B$608,Tabela3[[#This Row],[Type]])</f>
        <v>19</v>
      </c>
      <c r="D509" s="9" t="s">
        <v>835</v>
      </c>
      <c r="E509" s="9">
        <v>70</v>
      </c>
      <c r="F509" s="9">
        <v>90</v>
      </c>
      <c r="G509" s="9">
        <v>25</v>
      </c>
      <c r="H509" s="9"/>
      <c r="I509" s="17" t="s">
        <v>1709</v>
      </c>
      <c r="J509" s="10">
        <v>10</v>
      </c>
      <c r="K509" s="16" t="str">
        <f t="shared" si="7"/>
        <v>Forte</v>
      </c>
    </row>
    <row r="510" spans="1:11" ht="29.25">
      <c r="A510" s="11" t="s">
        <v>1710</v>
      </c>
      <c r="B510" s="11" t="s">
        <v>35</v>
      </c>
      <c r="C510" s="11">
        <f>COUNTIF($B$2:$B$608,Tabela3[[#This Row],[Type]])</f>
        <v>25</v>
      </c>
      <c r="D510" s="9" t="s">
        <v>835</v>
      </c>
      <c r="E510" s="9"/>
      <c r="F510" s="9"/>
      <c r="G510" s="9">
        <v>20</v>
      </c>
      <c r="H510" s="9"/>
      <c r="I510" s="17" t="s">
        <v>1711</v>
      </c>
      <c r="J510" s="10"/>
      <c r="K510" s="16" t="str">
        <f t="shared" si="7"/>
        <v>Comum</v>
      </c>
    </row>
    <row r="511" spans="1:11" ht="29.25">
      <c r="A511" s="11" t="s">
        <v>1712</v>
      </c>
      <c r="B511" s="11" t="s">
        <v>42</v>
      </c>
      <c r="C511" s="11">
        <f>COUNTIF($B$2:$B$608,Tabela3[[#This Row],[Type]])</f>
        <v>167</v>
      </c>
      <c r="D511" s="9" t="s">
        <v>830</v>
      </c>
      <c r="E511" s="9"/>
      <c r="F511" s="9"/>
      <c r="G511" s="9">
        <v>20</v>
      </c>
      <c r="H511" s="9"/>
      <c r="I511" s="17" t="s">
        <v>1713</v>
      </c>
      <c r="J511" s="10"/>
      <c r="K511" s="16" t="str">
        <f t="shared" si="7"/>
        <v>Comum</v>
      </c>
    </row>
    <row r="512" spans="1:11" ht="16.5">
      <c r="A512" s="11" t="s">
        <v>1714</v>
      </c>
      <c r="B512" s="11" t="s">
        <v>42</v>
      </c>
      <c r="C512" s="11">
        <f>COUNTIF($B$2:$B$608,Tabela3[[#This Row],[Type]])</f>
        <v>167</v>
      </c>
      <c r="D512" s="9" t="s">
        <v>835</v>
      </c>
      <c r="E512" s="9">
        <v>65</v>
      </c>
      <c r="F512" s="9">
        <v>100</v>
      </c>
      <c r="G512" s="9">
        <v>20</v>
      </c>
      <c r="H512" s="9"/>
      <c r="I512" s="17" t="s">
        <v>852</v>
      </c>
      <c r="J512" s="10">
        <v>30</v>
      </c>
      <c r="K512" s="16" t="str">
        <f t="shared" si="7"/>
        <v>Comum</v>
      </c>
    </row>
    <row r="513" spans="1:11" ht="16.5">
      <c r="A513" s="11" t="s">
        <v>1715</v>
      </c>
      <c r="B513" s="11" t="s">
        <v>107</v>
      </c>
      <c r="C513" s="11">
        <f>COUNTIF($B$2:$B$608,Tabela3[[#This Row],[Type]])</f>
        <v>15</v>
      </c>
      <c r="D513" s="9" t="s">
        <v>835</v>
      </c>
      <c r="E513" s="9">
        <v>100</v>
      </c>
      <c r="F513" s="9">
        <v>80</v>
      </c>
      <c r="G513" s="9">
        <v>5</v>
      </c>
      <c r="H513" s="9" t="s">
        <v>1716</v>
      </c>
      <c r="I513" s="17" t="s">
        <v>845</v>
      </c>
      <c r="J513" s="10"/>
      <c r="K513" s="16" t="str">
        <f t="shared" si="7"/>
        <v>Muito Forte</v>
      </c>
    </row>
    <row r="514" spans="1:11" ht="29.25">
      <c r="A514" s="11" t="s">
        <v>1717</v>
      </c>
      <c r="B514" s="11" t="s">
        <v>94</v>
      </c>
      <c r="C514" s="11">
        <f>COUNTIF($B$2:$B$608,Tabela3[[#This Row],[Type]])</f>
        <v>53</v>
      </c>
      <c r="D514" s="9" t="s">
        <v>825</v>
      </c>
      <c r="E514" s="9">
        <v>20</v>
      </c>
      <c r="F514" s="9">
        <v>100</v>
      </c>
      <c r="G514" s="9">
        <v>10</v>
      </c>
      <c r="H514" s="9"/>
      <c r="I514" s="17" t="s">
        <v>1718</v>
      </c>
      <c r="J514" s="10"/>
      <c r="K514" s="16" t="str">
        <f t="shared" si="7"/>
        <v>Comum</v>
      </c>
    </row>
    <row r="515" spans="1:11" ht="16.5">
      <c r="A515" s="11" t="s">
        <v>1719</v>
      </c>
      <c r="B515" s="11" t="s">
        <v>86</v>
      </c>
      <c r="C515" s="11">
        <f>COUNTIF($B$2:$B$608,Tabela3[[#This Row],[Type]])</f>
        <v>42</v>
      </c>
      <c r="D515" s="9" t="s">
        <v>835</v>
      </c>
      <c r="E515" s="9">
        <v>40</v>
      </c>
      <c r="F515" s="9">
        <v>100</v>
      </c>
      <c r="G515" s="9">
        <v>10</v>
      </c>
      <c r="H515" s="9"/>
      <c r="I515" s="17" t="s">
        <v>1191</v>
      </c>
      <c r="J515" s="10"/>
      <c r="K515" s="16" t="str">
        <f t="shared" ref="K515:K578" si="8">IF(E515&gt;=100,"Muito Forte",
IF(E515&gt;=70,"Forte",
"Comum"))</f>
        <v>Comum</v>
      </c>
    </row>
    <row r="516" spans="1:11" ht="16.5">
      <c r="A516" s="11" t="s">
        <v>1720</v>
      </c>
      <c r="B516" s="11" t="s">
        <v>42</v>
      </c>
      <c r="C516" s="11">
        <f>COUNTIF($B$2:$B$608,Tabela3[[#This Row],[Type]])</f>
        <v>167</v>
      </c>
      <c r="D516" s="9" t="s">
        <v>835</v>
      </c>
      <c r="E516" s="9">
        <v>80</v>
      </c>
      <c r="F516" s="9">
        <v>100</v>
      </c>
      <c r="G516" s="9">
        <v>15</v>
      </c>
      <c r="H516" s="9" t="s">
        <v>1721</v>
      </c>
      <c r="I516" s="17"/>
      <c r="J516" s="10"/>
      <c r="K516" s="16" t="str">
        <f t="shared" si="8"/>
        <v>Forte</v>
      </c>
    </row>
    <row r="517" spans="1:11" ht="16.5">
      <c r="A517" s="11" t="s">
        <v>1722</v>
      </c>
      <c r="B517" s="11" t="s">
        <v>35</v>
      </c>
      <c r="C517" s="11">
        <f>COUNTIF($B$2:$B$608,Tabela3[[#This Row],[Type]])</f>
        <v>25</v>
      </c>
      <c r="D517" s="9" t="s">
        <v>830</v>
      </c>
      <c r="E517" s="9"/>
      <c r="F517" s="9">
        <v>95</v>
      </c>
      <c r="G517" s="9">
        <v>40</v>
      </c>
      <c r="H517" s="9"/>
      <c r="I517" s="17" t="s">
        <v>946</v>
      </c>
      <c r="J517" s="10"/>
      <c r="K517" s="16" t="str">
        <f t="shared" si="8"/>
        <v>Comum</v>
      </c>
    </row>
    <row r="518" spans="1:11" ht="29.25">
      <c r="A518" s="11" t="s">
        <v>1723</v>
      </c>
      <c r="B518" s="11" t="s">
        <v>42</v>
      </c>
      <c r="C518" s="11">
        <f>COUNTIF($B$2:$B$608,Tabela3[[#This Row],[Type]])</f>
        <v>167</v>
      </c>
      <c r="D518" s="9" t="s">
        <v>835</v>
      </c>
      <c r="E518" s="9">
        <v>50</v>
      </c>
      <c r="F518" s="9">
        <v>100</v>
      </c>
      <c r="G518" s="9"/>
      <c r="H518" s="9"/>
      <c r="I518" s="17" t="s">
        <v>1724</v>
      </c>
      <c r="J518" s="10"/>
      <c r="K518" s="16" t="str">
        <f t="shared" si="8"/>
        <v>Comum</v>
      </c>
    </row>
    <row r="519" spans="1:11" ht="16.5">
      <c r="A519" s="11" t="s">
        <v>1725</v>
      </c>
      <c r="B519" s="11" t="s">
        <v>35</v>
      </c>
      <c r="C519" s="11">
        <f>COUNTIF($B$2:$B$608,Tabela3[[#This Row],[Type]])</f>
        <v>25</v>
      </c>
      <c r="D519" s="9" t="s">
        <v>825</v>
      </c>
      <c r="E519" s="9">
        <v>30</v>
      </c>
      <c r="F519" s="9">
        <v>100</v>
      </c>
      <c r="G519" s="9">
        <v>20</v>
      </c>
      <c r="H519" s="9" t="s">
        <v>1726</v>
      </c>
      <c r="I519" s="17" t="s">
        <v>978</v>
      </c>
      <c r="J519" s="10">
        <v>100</v>
      </c>
      <c r="K519" s="16" t="str">
        <f t="shared" si="8"/>
        <v>Comum</v>
      </c>
    </row>
    <row r="520" spans="1:11" ht="16.5">
      <c r="A520" s="11" t="s">
        <v>1727</v>
      </c>
      <c r="B520" s="11" t="s">
        <v>16</v>
      </c>
      <c r="C520" s="11">
        <f>COUNTIF($B$2:$B$608,Tabela3[[#This Row],[Type]])</f>
        <v>37</v>
      </c>
      <c r="D520" s="9" t="s">
        <v>830</v>
      </c>
      <c r="E520" s="9"/>
      <c r="F520" s="9">
        <v>75</v>
      </c>
      <c r="G520" s="9">
        <v>30</v>
      </c>
      <c r="H520" s="9"/>
      <c r="I520" s="17" t="s">
        <v>1214</v>
      </c>
      <c r="J520" s="10"/>
      <c r="K520" s="16" t="str">
        <f t="shared" si="8"/>
        <v>Comum</v>
      </c>
    </row>
    <row r="521" spans="1:11" ht="16.5">
      <c r="A521" s="11" t="s">
        <v>1728</v>
      </c>
      <c r="B521" s="11" t="s">
        <v>86</v>
      </c>
      <c r="C521" s="11">
        <f>COUNTIF($B$2:$B$608,Tabela3[[#This Row],[Type]])</f>
        <v>42</v>
      </c>
      <c r="D521" s="9" t="s">
        <v>835</v>
      </c>
      <c r="E521" s="9">
        <v>80</v>
      </c>
      <c r="F521" s="9">
        <v>80</v>
      </c>
      <c r="G521" s="9">
        <v>25</v>
      </c>
      <c r="H521" s="9"/>
      <c r="I521" s="17" t="s">
        <v>929</v>
      </c>
      <c r="J521" s="10"/>
      <c r="K521" s="16" t="str">
        <f t="shared" si="8"/>
        <v>Forte</v>
      </c>
    </row>
    <row r="522" spans="1:11" ht="29.25">
      <c r="A522" s="11" t="s">
        <v>1729</v>
      </c>
      <c r="B522" s="11" t="s">
        <v>42</v>
      </c>
      <c r="C522" s="11">
        <f>COUNTIF($B$2:$B$608,Tabela3[[#This Row],[Type]])</f>
        <v>167</v>
      </c>
      <c r="D522" s="9" t="s">
        <v>830</v>
      </c>
      <c r="E522" s="9"/>
      <c r="F522" s="9"/>
      <c r="G522" s="9">
        <v>10</v>
      </c>
      <c r="H522" s="9" t="s">
        <v>1730</v>
      </c>
      <c r="I522" s="17" t="s">
        <v>1731</v>
      </c>
      <c r="J522" s="10"/>
      <c r="K522" s="16" t="str">
        <f t="shared" si="8"/>
        <v>Comum</v>
      </c>
    </row>
    <row r="523" spans="1:11" ht="29.25">
      <c r="A523" s="11" t="s">
        <v>1732</v>
      </c>
      <c r="B523" s="11" t="s">
        <v>170</v>
      </c>
      <c r="C523" s="11">
        <f>COUNTIF($B$2:$B$608,Tabela3[[#This Row],[Type]])</f>
        <v>31</v>
      </c>
      <c r="D523" s="9" t="s">
        <v>835</v>
      </c>
      <c r="E523" s="9">
        <v>80</v>
      </c>
      <c r="F523" s="9">
        <v>100</v>
      </c>
      <c r="G523" s="9">
        <v>5</v>
      </c>
      <c r="H523" s="9"/>
      <c r="I523" s="17" t="s">
        <v>1733</v>
      </c>
      <c r="J523" s="10"/>
      <c r="K523" s="16" t="str">
        <f t="shared" si="8"/>
        <v>Forte</v>
      </c>
    </row>
    <row r="524" spans="1:11" ht="16.5">
      <c r="A524" s="11" t="s">
        <v>1734</v>
      </c>
      <c r="B524" s="11" t="s">
        <v>22</v>
      </c>
      <c r="C524" s="11">
        <f>COUNTIF($B$2:$B$608,Tabela3[[#This Row],[Type]])</f>
        <v>30</v>
      </c>
      <c r="D524" s="9" t="s">
        <v>830</v>
      </c>
      <c r="E524" s="9"/>
      <c r="F524" s="9"/>
      <c r="G524" s="9">
        <v>5</v>
      </c>
      <c r="H524" s="9" t="s">
        <v>1735</v>
      </c>
      <c r="I524" s="17" t="s">
        <v>1736</v>
      </c>
      <c r="J524" s="10"/>
      <c r="K524" s="16" t="str">
        <f t="shared" si="8"/>
        <v>Comum</v>
      </c>
    </row>
    <row r="525" spans="1:11" ht="29.25">
      <c r="A525" s="11" t="s">
        <v>1737</v>
      </c>
      <c r="B525" s="11" t="s">
        <v>42</v>
      </c>
      <c r="C525" s="11">
        <f>COUNTIF($B$2:$B$608,Tabela3[[#This Row],[Type]])</f>
        <v>167</v>
      </c>
      <c r="D525" s="9" t="s">
        <v>835</v>
      </c>
      <c r="E525" s="9"/>
      <c r="F525" s="9">
        <v>90</v>
      </c>
      <c r="G525" s="9">
        <v>10</v>
      </c>
      <c r="H525" s="9"/>
      <c r="I525" s="17" t="s">
        <v>1738</v>
      </c>
      <c r="J525" s="10"/>
      <c r="K525" s="16" t="str">
        <f t="shared" si="8"/>
        <v>Comum</v>
      </c>
    </row>
    <row r="526" spans="1:11" ht="16.5">
      <c r="A526" s="11" t="s">
        <v>1739</v>
      </c>
      <c r="B526" s="11" t="s">
        <v>86</v>
      </c>
      <c r="C526" s="11">
        <f>COUNTIF($B$2:$B$608,Tabela3[[#This Row],[Type]])</f>
        <v>42</v>
      </c>
      <c r="D526" s="9" t="s">
        <v>835</v>
      </c>
      <c r="E526" s="9">
        <v>120</v>
      </c>
      <c r="F526" s="9">
        <v>100</v>
      </c>
      <c r="G526" s="9">
        <v>5</v>
      </c>
      <c r="H526" s="9"/>
      <c r="I526" s="17" t="s">
        <v>1740</v>
      </c>
      <c r="J526" s="10"/>
      <c r="K526" s="16" t="str">
        <f t="shared" si="8"/>
        <v>Muito Forte</v>
      </c>
    </row>
    <row r="527" spans="1:11" ht="16.5">
      <c r="A527" s="11" t="s">
        <v>1741</v>
      </c>
      <c r="B527" s="11" t="s">
        <v>42</v>
      </c>
      <c r="C527" s="11">
        <f>COUNTIF($B$2:$B$608,Tabela3[[#This Row],[Type]])</f>
        <v>167</v>
      </c>
      <c r="D527" s="9" t="s">
        <v>830</v>
      </c>
      <c r="E527" s="9"/>
      <c r="F527" s="9">
        <v>55</v>
      </c>
      <c r="G527" s="9">
        <v>20</v>
      </c>
      <c r="H527" s="9"/>
      <c r="I527" s="17" t="s">
        <v>980</v>
      </c>
      <c r="J527" s="10"/>
      <c r="K527" s="16" t="str">
        <f t="shared" si="8"/>
        <v>Comum</v>
      </c>
    </row>
    <row r="528" spans="1:11" ht="16.5">
      <c r="A528" s="11" t="s">
        <v>1742</v>
      </c>
      <c r="B528" s="11" t="s">
        <v>30</v>
      </c>
      <c r="C528" s="11">
        <f>COUNTIF($B$2:$B$608,Tabela3[[#This Row],[Type]])</f>
        <v>27</v>
      </c>
      <c r="D528" s="9" t="s">
        <v>825</v>
      </c>
      <c r="E528" s="9">
        <v>95</v>
      </c>
      <c r="F528" s="9">
        <v>100</v>
      </c>
      <c r="G528" s="9">
        <v>15</v>
      </c>
      <c r="H528" s="9" t="s">
        <v>1743</v>
      </c>
      <c r="I528" s="17"/>
      <c r="J528" s="10"/>
      <c r="K528" s="16" t="str">
        <f t="shared" si="8"/>
        <v>Forte</v>
      </c>
    </row>
    <row r="529" spans="1:11" ht="29.25">
      <c r="A529" s="11" t="s">
        <v>1744</v>
      </c>
      <c r="B529" s="11" t="s">
        <v>42</v>
      </c>
      <c r="C529" s="11">
        <f>COUNTIF($B$2:$B$608,Tabela3[[#This Row],[Type]])</f>
        <v>167</v>
      </c>
      <c r="D529" s="9" t="s">
        <v>830</v>
      </c>
      <c r="E529" s="9"/>
      <c r="F529" s="9">
        <v>90</v>
      </c>
      <c r="G529" s="9">
        <v>15</v>
      </c>
      <c r="H529" s="9" t="s">
        <v>1745</v>
      </c>
      <c r="I529" s="17" t="s">
        <v>1746</v>
      </c>
      <c r="J529" s="10"/>
      <c r="K529" s="16" t="str">
        <f t="shared" si="8"/>
        <v>Comum</v>
      </c>
    </row>
    <row r="530" spans="1:11" ht="42.75">
      <c r="A530" s="11" t="s">
        <v>1747</v>
      </c>
      <c r="B530" s="11" t="s">
        <v>42</v>
      </c>
      <c r="C530" s="11">
        <f>COUNTIF($B$2:$B$608,Tabela3[[#This Row],[Type]])</f>
        <v>167</v>
      </c>
      <c r="D530" s="9" t="s">
        <v>830</v>
      </c>
      <c r="E530" s="9"/>
      <c r="F530" s="9"/>
      <c r="G530" s="9">
        <v>10</v>
      </c>
      <c r="H530" s="9"/>
      <c r="I530" s="17" t="s">
        <v>1748</v>
      </c>
      <c r="J530" s="10"/>
      <c r="K530" s="16" t="str">
        <f t="shared" si="8"/>
        <v>Comum</v>
      </c>
    </row>
    <row r="531" spans="1:11" ht="16.5">
      <c r="A531" s="11" t="s">
        <v>1749</v>
      </c>
      <c r="B531" s="11" t="s">
        <v>64</v>
      </c>
      <c r="C531" s="11">
        <f>COUNTIF($B$2:$B$608,Tabela3[[#This Row],[Type]])</f>
        <v>16</v>
      </c>
      <c r="D531" s="9" t="s">
        <v>830</v>
      </c>
      <c r="E531" s="9"/>
      <c r="F531" s="9">
        <v>75</v>
      </c>
      <c r="G531" s="9">
        <v>10</v>
      </c>
      <c r="H531" s="9"/>
      <c r="I531" s="17" t="s">
        <v>980</v>
      </c>
      <c r="J531" s="10"/>
      <c r="K531" s="16" t="str">
        <f t="shared" si="8"/>
        <v>Comum</v>
      </c>
    </row>
    <row r="532" spans="1:11" ht="16.5">
      <c r="A532" s="11" t="s">
        <v>1750</v>
      </c>
      <c r="B532" s="11" t="s">
        <v>42</v>
      </c>
      <c r="C532" s="11">
        <f>COUNTIF($B$2:$B$608,Tabela3[[#This Row],[Type]])</f>
        <v>167</v>
      </c>
      <c r="D532" s="9" t="s">
        <v>830</v>
      </c>
      <c r="E532" s="9"/>
      <c r="F532" s="9"/>
      <c r="G532" s="9">
        <v>20</v>
      </c>
      <c r="H532" s="9"/>
      <c r="I532" s="17" t="s">
        <v>1751</v>
      </c>
      <c r="J532" s="10"/>
      <c r="K532" s="16" t="str">
        <f t="shared" si="8"/>
        <v>Comum</v>
      </c>
    </row>
    <row r="533" spans="1:11" ht="16.5">
      <c r="A533" s="11" t="s">
        <v>1752</v>
      </c>
      <c r="B533" s="11" t="s">
        <v>42</v>
      </c>
      <c r="C533" s="11">
        <f>COUNTIF($B$2:$B$608,Tabela3[[#This Row],[Type]])</f>
        <v>167</v>
      </c>
      <c r="D533" s="9" t="s">
        <v>825</v>
      </c>
      <c r="E533" s="9">
        <v>60</v>
      </c>
      <c r="F533" s="9" t="s">
        <v>841</v>
      </c>
      <c r="G533" s="9">
        <v>20</v>
      </c>
      <c r="H533" s="9"/>
      <c r="I533" s="17" t="s">
        <v>843</v>
      </c>
      <c r="J533" s="10"/>
      <c r="K533" s="16" t="str">
        <f t="shared" si="8"/>
        <v>Comum</v>
      </c>
    </row>
    <row r="534" spans="1:11" ht="29.25">
      <c r="A534" s="11" t="s">
        <v>1753</v>
      </c>
      <c r="B534" s="11" t="s">
        <v>170</v>
      </c>
      <c r="C534" s="11">
        <f>COUNTIF($B$2:$B$608,Tabela3[[#This Row],[Type]])</f>
        <v>31</v>
      </c>
      <c r="D534" s="9" t="s">
        <v>830</v>
      </c>
      <c r="E534" s="9"/>
      <c r="F534" s="9">
        <v>100</v>
      </c>
      <c r="G534" s="9">
        <v>15</v>
      </c>
      <c r="H534" s="9"/>
      <c r="I534" s="17" t="s">
        <v>1754</v>
      </c>
      <c r="J534" s="10"/>
      <c r="K534" s="16" t="str">
        <f t="shared" si="8"/>
        <v>Comum</v>
      </c>
    </row>
    <row r="535" spans="1:11" ht="16.5">
      <c r="A535" s="11" t="s">
        <v>1755</v>
      </c>
      <c r="B535" s="11" t="s">
        <v>42</v>
      </c>
      <c r="C535" s="11">
        <f>COUNTIF($B$2:$B$608,Tabela3[[#This Row],[Type]])</f>
        <v>167</v>
      </c>
      <c r="D535" s="9" t="s">
        <v>830</v>
      </c>
      <c r="E535" s="9"/>
      <c r="F535" s="9"/>
      <c r="G535" s="9">
        <v>30</v>
      </c>
      <c r="H535" s="9" t="s">
        <v>1756</v>
      </c>
      <c r="I535" s="17" t="s">
        <v>1757</v>
      </c>
      <c r="J535" s="10"/>
      <c r="K535" s="16" t="str">
        <f t="shared" si="8"/>
        <v>Comum</v>
      </c>
    </row>
    <row r="536" spans="1:11" ht="29.25">
      <c r="A536" s="11" t="s">
        <v>1758</v>
      </c>
      <c r="B536" s="11" t="s">
        <v>94</v>
      </c>
      <c r="C536" s="11">
        <f>COUNTIF($B$2:$B$608,Tabela3[[#This Row],[Type]])</f>
        <v>53</v>
      </c>
      <c r="D536" s="9" t="s">
        <v>825</v>
      </c>
      <c r="E536" s="9">
        <v>70</v>
      </c>
      <c r="F536" s="9">
        <v>100</v>
      </c>
      <c r="G536" s="9">
        <v>15</v>
      </c>
      <c r="H536" s="9"/>
      <c r="I536" s="17" t="s">
        <v>1759</v>
      </c>
      <c r="J536" s="10"/>
      <c r="K536" s="16" t="str">
        <f t="shared" si="8"/>
        <v>Forte</v>
      </c>
    </row>
    <row r="537" spans="1:11" ht="29.25">
      <c r="A537" s="11" t="s">
        <v>1760</v>
      </c>
      <c r="B537" s="11" t="s">
        <v>16</v>
      </c>
      <c r="C537" s="11">
        <f>COUNTIF($B$2:$B$608,Tabela3[[#This Row],[Type]])</f>
        <v>37</v>
      </c>
      <c r="D537" s="9" t="s">
        <v>830</v>
      </c>
      <c r="E537" s="9"/>
      <c r="F537" s="9"/>
      <c r="G537" s="9">
        <v>5</v>
      </c>
      <c r="H537" s="9"/>
      <c r="I537" s="17" t="s">
        <v>1422</v>
      </c>
      <c r="J537" s="10"/>
      <c r="K537" s="16" t="str">
        <f t="shared" si="8"/>
        <v>Comum</v>
      </c>
    </row>
    <row r="538" spans="1:11" ht="16.5">
      <c r="A538" s="11" t="s">
        <v>1761</v>
      </c>
      <c r="B538" s="11" t="s">
        <v>42</v>
      </c>
      <c r="C538" s="11">
        <f>COUNTIF($B$2:$B$608,Tabela3[[#This Row],[Type]])</f>
        <v>167</v>
      </c>
      <c r="D538" s="9" t="s">
        <v>835</v>
      </c>
      <c r="E538" s="9">
        <v>50</v>
      </c>
      <c r="F538" s="9">
        <v>100</v>
      </c>
      <c r="G538" s="9">
        <v>35</v>
      </c>
      <c r="H538" s="9"/>
      <c r="I538" s="17"/>
      <c r="J538" s="10"/>
      <c r="K538" s="16" t="str">
        <f t="shared" si="8"/>
        <v>Comum</v>
      </c>
    </row>
    <row r="539" spans="1:11" ht="29.25">
      <c r="A539" s="11" t="s">
        <v>1762</v>
      </c>
      <c r="B539" s="11" t="s">
        <v>35</v>
      </c>
      <c r="C539" s="11">
        <f>COUNTIF($B$2:$B$608,Tabela3[[#This Row],[Type]])</f>
        <v>25</v>
      </c>
      <c r="D539" s="9" t="s">
        <v>830</v>
      </c>
      <c r="E539" s="9"/>
      <c r="F539" s="9"/>
      <c r="G539" s="9">
        <v>20</v>
      </c>
      <c r="H539" s="9"/>
      <c r="I539" s="17" t="s">
        <v>1763</v>
      </c>
      <c r="J539" s="10"/>
      <c r="K539" s="16" t="str">
        <f t="shared" si="8"/>
        <v>Comum</v>
      </c>
    </row>
    <row r="540" spans="1:11" ht="16.5">
      <c r="A540" s="11" t="s">
        <v>1764</v>
      </c>
      <c r="B540" s="11" t="s">
        <v>42</v>
      </c>
      <c r="C540" s="11">
        <f>COUNTIF($B$2:$B$608,Tabela3[[#This Row],[Type]])</f>
        <v>167</v>
      </c>
      <c r="D540" s="9" t="s">
        <v>835</v>
      </c>
      <c r="E540" s="9">
        <v>25</v>
      </c>
      <c r="F540" s="9">
        <v>85</v>
      </c>
      <c r="G540" s="9">
        <v>10</v>
      </c>
      <c r="H540" s="9"/>
      <c r="I540" s="17" t="s">
        <v>866</v>
      </c>
      <c r="J540" s="10"/>
      <c r="K540" s="16" t="str">
        <f t="shared" si="8"/>
        <v>Comum</v>
      </c>
    </row>
    <row r="541" spans="1:11" ht="16.5">
      <c r="A541" s="11" t="s">
        <v>1765</v>
      </c>
      <c r="B541" s="11" t="s">
        <v>42</v>
      </c>
      <c r="C541" s="11">
        <f>COUNTIF($B$2:$B$608,Tabela3[[#This Row],[Type]])</f>
        <v>167</v>
      </c>
      <c r="D541" s="9" t="s">
        <v>830</v>
      </c>
      <c r="E541" s="9"/>
      <c r="F541" s="9">
        <v>100</v>
      </c>
      <c r="G541" s="9">
        <v>30</v>
      </c>
      <c r="H541" s="9"/>
      <c r="I541" s="17" t="s">
        <v>1347</v>
      </c>
      <c r="J541" s="10"/>
      <c r="K541" s="16" t="str">
        <f t="shared" si="8"/>
        <v>Comum</v>
      </c>
    </row>
    <row r="542" spans="1:11" ht="16.5">
      <c r="A542" s="11" t="s">
        <v>1766</v>
      </c>
      <c r="B542" s="11" t="s">
        <v>25</v>
      </c>
      <c r="C542" s="11">
        <f>COUNTIF($B$2:$B$608,Tabela3[[#This Row],[Type]])</f>
        <v>23</v>
      </c>
      <c r="D542" s="9" t="s">
        <v>830</v>
      </c>
      <c r="E542" s="9"/>
      <c r="F542" s="9"/>
      <c r="G542" s="9">
        <v>30</v>
      </c>
      <c r="H542" s="9"/>
      <c r="I542" s="17" t="s">
        <v>1767</v>
      </c>
      <c r="J542" s="10"/>
      <c r="K542" s="16" t="str">
        <f t="shared" si="8"/>
        <v>Comum</v>
      </c>
    </row>
    <row r="543" spans="1:11" ht="16.5">
      <c r="A543" s="11" t="s">
        <v>1768</v>
      </c>
      <c r="B543" s="11" t="s">
        <v>42</v>
      </c>
      <c r="C543" s="11">
        <f>COUNTIF($B$2:$B$608,Tabela3[[#This Row],[Type]])</f>
        <v>167</v>
      </c>
      <c r="D543" s="9" t="s">
        <v>835</v>
      </c>
      <c r="E543" s="9">
        <v>90</v>
      </c>
      <c r="F543" s="9">
        <v>85</v>
      </c>
      <c r="G543" s="9">
        <v>20</v>
      </c>
      <c r="H543" s="9"/>
      <c r="I543" s="17" t="s">
        <v>929</v>
      </c>
      <c r="J543" s="10"/>
      <c r="K543" s="16" t="str">
        <f t="shared" si="8"/>
        <v>Forte</v>
      </c>
    </row>
    <row r="544" spans="1:11" ht="29.25">
      <c r="A544" s="11" t="s">
        <v>1769</v>
      </c>
      <c r="B544" s="11" t="s">
        <v>170</v>
      </c>
      <c r="C544" s="11">
        <f>COUNTIF($B$2:$B$608,Tabela3[[#This Row],[Type]])</f>
        <v>31</v>
      </c>
      <c r="D544" s="9" t="s">
        <v>830</v>
      </c>
      <c r="E544" s="9"/>
      <c r="F544" s="9">
        <v>100</v>
      </c>
      <c r="G544" s="9">
        <v>20</v>
      </c>
      <c r="H544" s="9" t="s">
        <v>1770</v>
      </c>
      <c r="I544" s="17" t="s">
        <v>1771</v>
      </c>
      <c r="J544" s="10"/>
      <c r="K544" s="16" t="str">
        <f t="shared" si="8"/>
        <v>Comum</v>
      </c>
    </row>
    <row r="545" spans="1:11" ht="29.25">
      <c r="A545" s="11" t="s">
        <v>1772</v>
      </c>
      <c r="B545" s="11" t="s">
        <v>42</v>
      </c>
      <c r="C545" s="11">
        <f>COUNTIF($B$2:$B$608,Tabela3[[#This Row],[Type]])</f>
        <v>167</v>
      </c>
      <c r="D545" s="9" t="s">
        <v>825</v>
      </c>
      <c r="E545" s="9">
        <v>85</v>
      </c>
      <c r="F545" s="9">
        <v>100</v>
      </c>
      <c r="G545" s="9">
        <v>5</v>
      </c>
      <c r="H545" s="9"/>
      <c r="I545" s="17" t="s">
        <v>1773</v>
      </c>
      <c r="J545" s="10"/>
      <c r="K545" s="16" t="str">
        <f t="shared" si="8"/>
        <v>Forte</v>
      </c>
    </row>
    <row r="546" spans="1:11" ht="16.5">
      <c r="A546" s="11" t="s">
        <v>1774</v>
      </c>
      <c r="B546" s="11" t="s">
        <v>42</v>
      </c>
      <c r="C546" s="11">
        <f>COUNTIF($B$2:$B$608,Tabela3[[#This Row],[Type]])</f>
        <v>167</v>
      </c>
      <c r="D546" s="9" t="s">
        <v>830</v>
      </c>
      <c r="E546" s="9"/>
      <c r="F546" s="9">
        <v>100</v>
      </c>
      <c r="G546" s="9">
        <v>20</v>
      </c>
      <c r="H546" s="9"/>
      <c r="I546" s="17" t="s">
        <v>1775</v>
      </c>
      <c r="J546" s="10"/>
      <c r="K546" s="16" t="str">
        <f t="shared" si="8"/>
        <v>Comum</v>
      </c>
    </row>
    <row r="547" spans="1:11" ht="29.25">
      <c r="A547" s="11" t="s">
        <v>1776</v>
      </c>
      <c r="B547" s="11" t="s">
        <v>94</v>
      </c>
      <c r="C547" s="11">
        <f>COUNTIF($B$2:$B$608,Tabela3[[#This Row],[Type]])</f>
        <v>53</v>
      </c>
      <c r="D547" s="9" t="s">
        <v>830</v>
      </c>
      <c r="E547" s="9"/>
      <c r="F547" s="9"/>
      <c r="G547" s="9">
        <v>15</v>
      </c>
      <c r="H547" s="9" t="s">
        <v>1777</v>
      </c>
      <c r="I547" s="17" t="s">
        <v>1778</v>
      </c>
      <c r="J547" s="10"/>
      <c r="K547" s="16" t="str">
        <f t="shared" si="8"/>
        <v>Comum</v>
      </c>
    </row>
    <row r="548" spans="1:11" ht="29.25">
      <c r="A548" s="11" t="s">
        <v>1779</v>
      </c>
      <c r="B548" s="11" t="s">
        <v>94</v>
      </c>
      <c r="C548" s="11">
        <f>COUNTIF($B$2:$B$608,Tabela3[[#This Row],[Type]])</f>
        <v>53</v>
      </c>
      <c r="D548" s="9" t="s">
        <v>830</v>
      </c>
      <c r="E548" s="9"/>
      <c r="F548" s="9"/>
      <c r="G548" s="9">
        <v>20</v>
      </c>
      <c r="H548" s="9"/>
      <c r="I548" s="17" t="s">
        <v>1780</v>
      </c>
      <c r="J548" s="10"/>
      <c r="K548" s="16" t="str">
        <f t="shared" si="8"/>
        <v>Comum</v>
      </c>
    </row>
    <row r="549" spans="1:11" ht="16.5">
      <c r="A549" s="11" t="s">
        <v>1781</v>
      </c>
      <c r="B549" s="11" t="s">
        <v>170</v>
      </c>
      <c r="C549" s="11">
        <f>COUNTIF($B$2:$B$608,Tabela3[[#This Row],[Type]])</f>
        <v>31</v>
      </c>
      <c r="D549" s="9" t="s">
        <v>835</v>
      </c>
      <c r="E549" s="9">
        <v>40</v>
      </c>
      <c r="F549" s="9">
        <v>100</v>
      </c>
      <c r="G549" s="9">
        <v>10</v>
      </c>
      <c r="H549" s="9" t="s">
        <v>1782</v>
      </c>
      <c r="I549" s="17" t="s">
        <v>1783</v>
      </c>
      <c r="J549" s="10"/>
      <c r="K549" s="16" t="str">
        <f t="shared" si="8"/>
        <v>Comum</v>
      </c>
    </row>
    <row r="550" spans="1:11" ht="29.25">
      <c r="A550" s="11" t="s">
        <v>1784</v>
      </c>
      <c r="B550" s="11" t="s">
        <v>42</v>
      </c>
      <c r="C550" s="11">
        <f>COUNTIF($B$2:$B$608,Tabela3[[#This Row],[Type]])</f>
        <v>167</v>
      </c>
      <c r="D550" s="9" t="s">
        <v>835</v>
      </c>
      <c r="E550" s="9">
        <v>120</v>
      </c>
      <c r="F550" s="9">
        <v>100</v>
      </c>
      <c r="G550" s="9">
        <v>10</v>
      </c>
      <c r="H550" s="9"/>
      <c r="I550" s="17" t="s">
        <v>1453</v>
      </c>
      <c r="J550" s="10"/>
      <c r="K550" s="16" t="str">
        <f t="shared" si="8"/>
        <v>Muito Forte</v>
      </c>
    </row>
    <row r="551" spans="1:11" ht="16.5">
      <c r="A551" s="11" t="s">
        <v>1785</v>
      </c>
      <c r="B551" s="11" t="s">
        <v>52</v>
      </c>
      <c r="C551" s="11">
        <f>COUNTIF($B$2:$B$608,Tabela3[[#This Row],[Type]])</f>
        <v>28</v>
      </c>
      <c r="D551" s="9" t="s">
        <v>825</v>
      </c>
      <c r="E551" s="9">
        <v>120</v>
      </c>
      <c r="F551" s="9">
        <v>70</v>
      </c>
      <c r="G551" s="9">
        <v>10</v>
      </c>
      <c r="H551" s="9" t="s">
        <v>1786</v>
      </c>
      <c r="I551" s="17" t="s">
        <v>918</v>
      </c>
      <c r="J551" s="10">
        <v>30</v>
      </c>
      <c r="K551" s="16" t="str">
        <f t="shared" si="8"/>
        <v>Muito Forte</v>
      </c>
    </row>
    <row r="552" spans="1:11" ht="29.25">
      <c r="A552" s="11" t="s">
        <v>1787</v>
      </c>
      <c r="B552" s="11" t="s">
        <v>52</v>
      </c>
      <c r="C552" s="11">
        <f>COUNTIF($B$2:$B$608,Tabela3[[#This Row],[Type]])</f>
        <v>28</v>
      </c>
      <c r="D552" s="9" t="s">
        <v>835</v>
      </c>
      <c r="E552" s="9">
        <v>65</v>
      </c>
      <c r="F552" s="9">
        <v>95</v>
      </c>
      <c r="G552" s="9">
        <v>15</v>
      </c>
      <c r="H552" s="9"/>
      <c r="I552" s="17" t="s">
        <v>1788</v>
      </c>
      <c r="J552" s="10">
        <v>10</v>
      </c>
      <c r="K552" s="16" t="str">
        <f t="shared" si="8"/>
        <v>Comum</v>
      </c>
    </row>
    <row r="553" spans="1:11" ht="16.5">
      <c r="A553" s="11" t="s">
        <v>1789</v>
      </c>
      <c r="B553" s="11" t="s">
        <v>52</v>
      </c>
      <c r="C553" s="11">
        <f>COUNTIF($B$2:$B$608,Tabela3[[#This Row],[Type]])</f>
        <v>28</v>
      </c>
      <c r="D553" s="9" t="s">
        <v>830</v>
      </c>
      <c r="E553" s="9"/>
      <c r="F553" s="9">
        <v>100</v>
      </c>
      <c r="G553" s="9">
        <v>20</v>
      </c>
      <c r="H553" s="9" t="s">
        <v>1790</v>
      </c>
      <c r="I553" s="17" t="s">
        <v>1214</v>
      </c>
      <c r="J553" s="10">
        <v>100</v>
      </c>
      <c r="K553" s="16" t="str">
        <f t="shared" si="8"/>
        <v>Comum</v>
      </c>
    </row>
    <row r="554" spans="1:11" ht="16.5">
      <c r="A554" s="11" t="s">
        <v>1791</v>
      </c>
      <c r="B554" s="11" t="s">
        <v>52</v>
      </c>
      <c r="C554" s="11">
        <f>COUNTIF($B$2:$B$608,Tabela3[[#This Row],[Type]])</f>
        <v>28</v>
      </c>
      <c r="D554" s="9" t="s">
        <v>835</v>
      </c>
      <c r="E554" s="9">
        <v>75</v>
      </c>
      <c r="F554" s="9">
        <v>100</v>
      </c>
      <c r="G554" s="9">
        <v>15</v>
      </c>
      <c r="H554" s="9"/>
      <c r="I554" s="17" t="s">
        <v>918</v>
      </c>
      <c r="J554" s="10">
        <v>10</v>
      </c>
      <c r="K554" s="16" t="str">
        <f t="shared" si="8"/>
        <v>Forte</v>
      </c>
    </row>
    <row r="555" spans="1:11" ht="16.5">
      <c r="A555" s="11" t="s">
        <v>1792</v>
      </c>
      <c r="B555" s="11" t="s">
        <v>52</v>
      </c>
      <c r="C555" s="11">
        <f>COUNTIF($B$2:$B$608,Tabela3[[#This Row],[Type]])</f>
        <v>28</v>
      </c>
      <c r="D555" s="9" t="s">
        <v>825</v>
      </c>
      <c r="E555" s="9">
        <v>40</v>
      </c>
      <c r="F555" s="9">
        <v>100</v>
      </c>
      <c r="G555" s="9">
        <v>30</v>
      </c>
      <c r="H555" s="9"/>
      <c r="I555" s="17" t="s">
        <v>918</v>
      </c>
      <c r="J555" s="10">
        <v>10</v>
      </c>
      <c r="K555" s="16" t="str">
        <f t="shared" si="8"/>
        <v>Comum</v>
      </c>
    </row>
    <row r="556" spans="1:11" ht="16.5">
      <c r="A556" s="11" t="s">
        <v>1793</v>
      </c>
      <c r="B556" s="11" t="s">
        <v>52</v>
      </c>
      <c r="C556" s="11">
        <f>COUNTIF($B$2:$B$608,Tabela3[[#This Row],[Type]])</f>
        <v>28</v>
      </c>
      <c r="D556" s="9" t="s">
        <v>825</v>
      </c>
      <c r="E556" s="9">
        <v>95</v>
      </c>
      <c r="F556" s="9">
        <v>100</v>
      </c>
      <c r="G556" s="9">
        <v>15</v>
      </c>
      <c r="H556" s="9" t="s">
        <v>1794</v>
      </c>
      <c r="I556" s="17" t="s">
        <v>918</v>
      </c>
      <c r="J556" s="10">
        <v>10</v>
      </c>
      <c r="K556" s="16" t="str">
        <f t="shared" si="8"/>
        <v>Forte</v>
      </c>
    </row>
    <row r="557" spans="1:11" ht="29.25">
      <c r="A557" s="11" t="s">
        <v>1795</v>
      </c>
      <c r="B557" s="11" t="s">
        <v>42</v>
      </c>
      <c r="C557" s="11">
        <f>COUNTIF($B$2:$B$608,Tabela3[[#This Row],[Type]])</f>
        <v>167</v>
      </c>
      <c r="D557" s="9" t="s">
        <v>830</v>
      </c>
      <c r="E557" s="9"/>
      <c r="F557" s="9">
        <v>100</v>
      </c>
      <c r="G557" s="9">
        <v>20</v>
      </c>
      <c r="H557" s="9"/>
      <c r="I557" s="17" t="s">
        <v>1796</v>
      </c>
      <c r="J557" s="10"/>
      <c r="K557" s="16" t="str">
        <f t="shared" si="8"/>
        <v>Comum</v>
      </c>
    </row>
    <row r="558" spans="1:11" ht="16.5">
      <c r="A558" s="11" t="s">
        <v>1797</v>
      </c>
      <c r="B558" s="11" t="s">
        <v>170</v>
      </c>
      <c r="C558" s="11">
        <f>COUNTIF($B$2:$B$608,Tabela3[[#This Row],[Type]])</f>
        <v>31</v>
      </c>
      <c r="D558" s="9" t="s">
        <v>830</v>
      </c>
      <c r="E558" s="9"/>
      <c r="F558" s="9">
        <v>100</v>
      </c>
      <c r="G558" s="9">
        <v>20</v>
      </c>
      <c r="H558" s="9"/>
      <c r="I558" s="17" t="s">
        <v>1798</v>
      </c>
      <c r="J558" s="10"/>
      <c r="K558" s="16" t="str">
        <f t="shared" si="8"/>
        <v>Comum</v>
      </c>
    </row>
    <row r="559" spans="1:11" ht="29.25">
      <c r="A559" s="11" t="s">
        <v>1799</v>
      </c>
      <c r="B559" s="11" t="s">
        <v>170</v>
      </c>
      <c r="C559" s="11">
        <f>COUNTIF($B$2:$B$608,Tabela3[[#This Row],[Type]])</f>
        <v>31</v>
      </c>
      <c r="D559" s="9" t="s">
        <v>830</v>
      </c>
      <c r="E559" s="9"/>
      <c r="F559" s="9">
        <v>100</v>
      </c>
      <c r="G559" s="9">
        <v>15</v>
      </c>
      <c r="H559" s="9" t="s">
        <v>1800</v>
      </c>
      <c r="I559" s="17" t="s">
        <v>1801</v>
      </c>
      <c r="J559" s="10"/>
      <c r="K559" s="16" t="str">
        <f t="shared" si="8"/>
        <v>Comum</v>
      </c>
    </row>
    <row r="560" spans="1:11" ht="16.5">
      <c r="A560" s="11" t="s">
        <v>1802</v>
      </c>
      <c r="B560" s="11" t="s">
        <v>17</v>
      </c>
      <c r="C560" s="11">
        <f>COUNTIF($B$2:$B$608,Tabela3[[#This Row],[Type]])</f>
        <v>23</v>
      </c>
      <c r="D560" s="9" t="s">
        <v>830</v>
      </c>
      <c r="E560" s="9"/>
      <c r="F560" s="9">
        <v>90</v>
      </c>
      <c r="G560" s="9">
        <v>10</v>
      </c>
      <c r="H560" s="9" t="s">
        <v>1803</v>
      </c>
      <c r="I560" s="17" t="s">
        <v>1804</v>
      </c>
      <c r="J560" s="10"/>
      <c r="K560" s="16" t="str">
        <f t="shared" si="8"/>
        <v>Comum</v>
      </c>
    </row>
    <row r="561" spans="1:11" ht="29.25">
      <c r="A561" s="11" t="s">
        <v>1805</v>
      </c>
      <c r="B561" s="11" t="s">
        <v>17</v>
      </c>
      <c r="C561" s="11">
        <f>COUNTIF($B$2:$B$608,Tabela3[[#This Row],[Type]])</f>
        <v>23</v>
      </c>
      <c r="D561" s="9" t="s">
        <v>830</v>
      </c>
      <c r="E561" s="9"/>
      <c r="F561" s="9"/>
      <c r="G561" s="9">
        <v>20</v>
      </c>
      <c r="H561" s="9"/>
      <c r="I561" s="17" t="s">
        <v>1806</v>
      </c>
      <c r="J561" s="10"/>
      <c r="K561" s="16" t="str">
        <f t="shared" si="8"/>
        <v>Comum</v>
      </c>
    </row>
    <row r="562" spans="1:11" ht="29.25">
      <c r="A562" s="11" t="s">
        <v>1807</v>
      </c>
      <c r="B562" s="11" t="s">
        <v>42</v>
      </c>
      <c r="C562" s="11">
        <f>COUNTIF($B$2:$B$608,Tabela3[[#This Row],[Type]])</f>
        <v>167</v>
      </c>
      <c r="D562" s="9" t="s">
        <v>830</v>
      </c>
      <c r="E562" s="9"/>
      <c r="F562" s="9"/>
      <c r="G562" s="9">
        <v>10</v>
      </c>
      <c r="H562" s="9"/>
      <c r="I562" s="17" t="s">
        <v>1808</v>
      </c>
      <c r="J562" s="10"/>
      <c r="K562" s="16" t="str">
        <f t="shared" si="8"/>
        <v>Comum</v>
      </c>
    </row>
    <row r="563" spans="1:11" ht="29.25">
      <c r="A563" s="11" t="s">
        <v>1809</v>
      </c>
      <c r="B563" s="11" t="s">
        <v>42</v>
      </c>
      <c r="C563" s="11">
        <f>COUNTIF($B$2:$B$608,Tabela3[[#This Row],[Type]])</f>
        <v>167</v>
      </c>
      <c r="D563" s="9" t="s">
        <v>825</v>
      </c>
      <c r="E563" s="9">
        <v>80</v>
      </c>
      <c r="F563" s="9">
        <v>100</v>
      </c>
      <c r="G563" s="9">
        <v>10</v>
      </c>
      <c r="H563" s="9"/>
      <c r="I563" s="17" t="s">
        <v>1810</v>
      </c>
      <c r="J563" s="10">
        <v>20</v>
      </c>
      <c r="K563" s="16" t="str">
        <f t="shared" si="8"/>
        <v>Forte</v>
      </c>
    </row>
    <row r="564" spans="1:11" ht="29.25">
      <c r="A564" s="11" t="s">
        <v>1811</v>
      </c>
      <c r="B564" s="11" t="s">
        <v>94</v>
      </c>
      <c r="C564" s="11">
        <f>COUNTIF($B$2:$B$608,Tabela3[[#This Row],[Type]])</f>
        <v>53</v>
      </c>
      <c r="D564" s="9" t="s">
        <v>830</v>
      </c>
      <c r="E564" s="9"/>
      <c r="F564" s="9">
        <v>100</v>
      </c>
      <c r="G564" s="9">
        <v>10</v>
      </c>
      <c r="H564" s="9"/>
      <c r="I564" s="17" t="s">
        <v>1754</v>
      </c>
      <c r="J564" s="10"/>
      <c r="K564" s="16" t="str">
        <f t="shared" si="8"/>
        <v>Comum</v>
      </c>
    </row>
    <row r="565" spans="1:11" ht="29.25">
      <c r="A565" s="11" t="s">
        <v>1812</v>
      </c>
      <c r="B565" s="11" t="s">
        <v>94</v>
      </c>
      <c r="C565" s="11">
        <f>COUNTIF($B$2:$B$608,Tabela3[[#This Row],[Type]])</f>
        <v>53</v>
      </c>
      <c r="D565" s="9" t="s">
        <v>830</v>
      </c>
      <c r="E565" s="9"/>
      <c r="F565" s="9"/>
      <c r="G565" s="9">
        <v>5</v>
      </c>
      <c r="H565" s="9" t="s">
        <v>1813</v>
      </c>
      <c r="I565" s="17" t="s">
        <v>1814</v>
      </c>
      <c r="J565" s="10"/>
      <c r="K565" s="16" t="str">
        <f t="shared" si="8"/>
        <v>Comum</v>
      </c>
    </row>
    <row r="566" spans="1:11" ht="16.5">
      <c r="A566" s="11" t="s">
        <v>1815</v>
      </c>
      <c r="B566" s="11" t="s">
        <v>128</v>
      </c>
      <c r="C566" s="11">
        <f>COUNTIF($B$2:$B$608,Tabela3[[#This Row],[Type]])</f>
        <v>18</v>
      </c>
      <c r="D566" s="9" t="s">
        <v>830</v>
      </c>
      <c r="E566" s="9"/>
      <c r="F566" s="9">
        <v>100</v>
      </c>
      <c r="G566" s="9">
        <v>20</v>
      </c>
      <c r="H566" s="9"/>
      <c r="I566" s="17" t="s">
        <v>1816</v>
      </c>
      <c r="J566" s="10"/>
      <c r="K566" s="16" t="str">
        <f t="shared" si="8"/>
        <v>Comum</v>
      </c>
    </row>
    <row r="567" spans="1:11" ht="29.25">
      <c r="A567" s="11" t="s">
        <v>1817</v>
      </c>
      <c r="B567" s="11" t="s">
        <v>86</v>
      </c>
      <c r="C567" s="11">
        <f>COUNTIF($B$2:$B$608,Tabela3[[#This Row],[Type]])</f>
        <v>42</v>
      </c>
      <c r="D567" s="9" t="s">
        <v>835</v>
      </c>
      <c r="E567" s="9">
        <v>10</v>
      </c>
      <c r="F567" s="9">
        <v>90</v>
      </c>
      <c r="G567" s="9">
        <v>10</v>
      </c>
      <c r="H567" s="9"/>
      <c r="I567" s="17" t="s">
        <v>1818</v>
      </c>
      <c r="J567" s="10"/>
      <c r="K567" s="16" t="str">
        <f t="shared" si="8"/>
        <v>Comum</v>
      </c>
    </row>
    <row r="568" spans="1:11" ht="29.25">
      <c r="A568" s="11" t="s">
        <v>1819</v>
      </c>
      <c r="B568" s="11" t="s">
        <v>42</v>
      </c>
      <c r="C568" s="11">
        <f>COUNTIF($B$2:$B$608,Tabela3[[#This Row],[Type]])</f>
        <v>167</v>
      </c>
      <c r="D568" s="9" t="s">
        <v>825</v>
      </c>
      <c r="E568" s="9"/>
      <c r="F568" s="9" t="s">
        <v>841</v>
      </c>
      <c r="G568" s="9">
        <v>5</v>
      </c>
      <c r="H568" s="9"/>
      <c r="I568" s="17" t="s">
        <v>1820</v>
      </c>
      <c r="J568" s="10"/>
      <c r="K568" s="16" t="str">
        <f t="shared" si="8"/>
        <v>Comum</v>
      </c>
    </row>
    <row r="569" spans="1:11" ht="29.25">
      <c r="A569" s="11" t="s">
        <v>1821</v>
      </c>
      <c r="B569" s="11" t="s">
        <v>35</v>
      </c>
      <c r="C569" s="11">
        <f>COUNTIF($B$2:$B$608,Tabela3[[#This Row],[Type]])</f>
        <v>25</v>
      </c>
      <c r="D569" s="9" t="s">
        <v>835</v>
      </c>
      <c r="E569" s="9">
        <v>25</v>
      </c>
      <c r="F569" s="9">
        <v>100</v>
      </c>
      <c r="G569" s="9">
        <v>20</v>
      </c>
      <c r="H569" s="9"/>
      <c r="I569" s="17" t="s">
        <v>1822</v>
      </c>
      <c r="J569" s="10">
        <v>20</v>
      </c>
      <c r="K569" s="16" t="str">
        <f t="shared" si="8"/>
        <v>Comum</v>
      </c>
    </row>
    <row r="570" spans="1:11" ht="42.75">
      <c r="A570" s="11" t="s">
        <v>1823</v>
      </c>
      <c r="B570" s="11" t="s">
        <v>27</v>
      </c>
      <c r="C570" s="11">
        <f>COUNTIF($B$2:$B$608,Tabela3[[#This Row],[Type]])</f>
        <v>13</v>
      </c>
      <c r="D570" s="9" t="s">
        <v>825</v>
      </c>
      <c r="E570" s="9">
        <v>40</v>
      </c>
      <c r="F570" s="9">
        <v>100</v>
      </c>
      <c r="G570" s="9">
        <v>20</v>
      </c>
      <c r="H570" s="9"/>
      <c r="I570" s="17" t="s">
        <v>1824</v>
      </c>
      <c r="J570" s="10">
        <v>20</v>
      </c>
      <c r="K570" s="16" t="str">
        <f t="shared" si="8"/>
        <v>Comum</v>
      </c>
    </row>
    <row r="571" spans="1:11" ht="29.25">
      <c r="A571" s="11" t="s">
        <v>1825</v>
      </c>
      <c r="B571" s="11" t="s">
        <v>35</v>
      </c>
      <c r="C571" s="11">
        <f>COUNTIF($B$2:$B$608,Tabela3[[#This Row],[Type]])</f>
        <v>25</v>
      </c>
      <c r="D571" s="9" t="s">
        <v>835</v>
      </c>
      <c r="E571" s="9">
        <v>70</v>
      </c>
      <c r="F571" s="9">
        <v>100</v>
      </c>
      <c r="G571" s="9">
        <v>20</v>
      </c>
      <c r="H571" s="9" t="s">
        <v>1826</v>
      </c>
      <c r="I571" s="17" t="s">
        <v>1827</v>
      </c>
      <c r="J571" s="10"/>
      <c r="K571" s="16" t="str">
        <f t="shared" si="8"/>
        <v>Forte</v>
      </c>
    </row>
    <row r="572" spans="1:11" ht="29.25">
      <c r="A572" s="11" t="s">
        <v>1828</v>
      </c>
      <c r="B572" s="11" t="s">
        <v>42</v>
      </c>
      <c r="C572" s="11">
        <f>COUNTIF($B$2:$B$608,Tabela3[[#This Row],[Type]])</f>
        <v>167</v>
      </c>
      <c r="D572" s="9" t="s">
        <v>825</v>
      </c>
      <c r="E572" s="9">
        <v>90</v>
      </c>
      <c r="F572" s="9">
        <v>100</v>
      </c>
      <c r="G572" s="9">
        <v>10</v>
      </c>
      <c r="H572" s="9"/>
      <c r="I572" s="17" t="s">
        <v>1829</v>
      </c>
      <c r="J572" s="10"/>
      <c r="K572" s="16" t="str">
        <f t="shared" si="8"/>
        <v>Forte</v>
      </c>
    </row>
    <row r="573" spans="1:11" ht="29.25">
      <c r="A573" s="11" t="s">
        <v>1830</v>
      </c>
      <c r="B573" s="11" t="s">
        <v>22</v>
      </c>
      <c r="C573" s="11">
        <f>COUNTIF($B$2:$B$608,Tabela3[[#This Row],[Type]])</f>
        <v>30</v>
      </c>
      <c r="D573" s="9" t="s">
        <v>835</v>
      </c>
      <c r="E573" s="9">
        <v>180</v>
      </c>
      <c r="F573" s="9">
        <v>95</v>
      </c>
      <c r="G573" s="9">
        <v>5</v>
      </c>
      <c r="H573" s="9"/>
      <c r="I573" s="17" t="s">
        <v>1831</v>
      </c>
      <c r="J573" s="10">
        <v>100</v>
      </c>
      <c r="K573" s="16" t="str">
        <f t="shared" si="8"/>
        <v>Muito Forte</v>
      </c>
    </row>
    <row r="574" spans="1:11" ht="16.5">
      <c r="A574" s="11" t="s">
        <v>1832</v>
      </c>
      <c r="B574" s="11" t="s">
        <v>86</v>
      </c>
      <c r="C574" s="11">
        <f>COUNTIF($B$2:$B$608,Tabela3[[#This Row],[Type]])</f>
        <v>42</v>
      </c>
      <c r="D574" s="9" t="s">
        <v>825</v>
      </c>
      <c r="E574" s="9">
        <v>40</v>
      </c>
      <c r="F574" s="9">
        <v>100</v>
      </c>
      <c r="G574" s="9">
        <v>30</v>
      </c>
      <c r="H574" s="9"/>
      <c r="I574" s="17" t="s">
        <v>861</v>
      </c>
      <c r="J574" s="10"/>
      <c r="K574" s="16" t="str">
        <f t="shared" si="8"/>
        <v>Comum</v>
      </c>
    </row>
    <row r="575" spans="1:11" ht="29.25">
      <c r="A575" s="11" t="s">
        <v>1833</v>
      </c>
      <c r="B575" s="11" t="s">
        <v>17</v>
      </c>
      <c r="C575" s="11">
        <f>COUNTIF($B$2:$B$608,Tabela3[[#This Row],[Type]])</f>
        <v>23</v>
      </c>
      <c r="D575" s="9" t="s">
        <v>830</v>
      </c>
      <c r="E575" s="9"/>
      <c r="F575" s="9">
        <v>100</v>
      </c>
      <c r="G575" s="9">
        <v>20</v>
      </c>
      <c r="H575" s="9"/>
      <c r="I575" s="17" t="s">
        <v>1834</v>
      </c>
      <c r="J575" s="10"/>
      <c r="K575" s="16" t="str">
        <f t="shared" si="8"/>
        <v>Comum</v>
      </c>
    </row>
    <row r="576" spans="1:11" ht="29.25">
      <c r="A576" s="11" t="s">
        <v>1835</v>
      </c>
      <c r="B576" s="11" t="s">
        <v>17</v>
      </c>
      <c r="C576" s="11">
        <f>COUNTIF($B$2:$B$608,Tabela3[[#This Row],[Type]])</f>
        <v>23</v>
      </c>
      <c r="D576" s="9" t="s">
        <v>825</v>
      </c>
      <c r="E576" s="9">
        <v>65</v>
      </c>
      <c r="F576" s="9">
        <v>100</v>
      </c>
      <c r="G576" s="9">
        <v>10</v>
      </c>
      <c r="H576" s="9" t="s">
        <v>1836</v>
      </c>
      <c r="I576" s="17" t="s">
        <v>1837</v>
      </c>
      <c r="J576" s="10"/>
      <c r="K576" s="16" t="str">
        <f t="shared" si="8"/>
        <v>Comum</v>
      </c>
    </row>
    <row r="577" spans="1:11" ht="16.5">
      <c r="A577" s="11" t="s">
        <v>1838</v>
      </c>
      <c r="B577" s="11" t="s">
        <v>42</v>
      </c>
      <c r="C577" s="11">
        <f>COUNTIF($B$2:$B$608,Tabela3[[#This Row],[Type]])</f>
        <v>167</v>
      </c>
      <c r="D577" s="9" t="s">
        <v>835</v>
      </c>
      <c r="E577" s="9">
        <v>55</v>
      </c>
      <c r="F577" s="9">
        <v>100</v>
      </c>
      <c r="G577" s="9">
        <v>30</v>
      </c>
      <c r="H577" s="9"/>
      <c r="I577" s="17"/>
      <c r="J577" s="10"/>
      <c r="K577" s="16" t="str">
        <f t="shared" si="8"/>
        <v>Comum</v>
      </c>
    </row>
    <row r="578" spans="1:11" ht="16.5">
      <c r="A578" s="11" t="s">
        <v>1839</v>
      </c>
      <c r="B578" s="11" t="s">
        <v>16</v>
      </c>
      <c r="C578" s="11">
        <f>COUNTIF($B$2:$B$608,Tabela3[[#This Row],[Type]])</f>
        <v>37</v>
      </c>
      <c r="D578" s="9" t="s">
        <v>835</v>
      </c>
      <c r="E578" s="9">
        <v>35</v>
      </c>
      <c r="F578" s="9">
        <v>100</v>
      </c>
      <c r="G578" s="9">
        <v>15</v>
      </c>
      <c r="H578" s="9"/>
      <c r="I578" s="17"/>
      <c r="J578" s="10"/>
      <c r="K578" s="16" t="str">
        <f t="shared" si="8"/>
        <v>Comum</v>
      </c>
    </row>
    <row r="579" spans="1:11" ht="29.25">
      <c r="A579" s="11" t="s">
        <v>1840</v>
      </c>
      <c r="B579" s="11" t="s">
        <v>86</v>
      </c>
      <c r="C579" s="11">
        <f>COUNTIF($B$2:$B$608,Tabela3[[#This Row],[Type]])</f>
        <v>42</v>
      </c>
      <c r="D579" s="9" t="s">
        <v>835</v>
      </c>
      <c r="E579" s="9">
        <v>70</v>
      </c>
      <c r="F579" s="9" t="s">
        <v>841</v>
      </c>
      <c r="G579" s="9">
        <v>10</v>
      </c>
      <c r="H579" s="9"/>
      <c r="I579" s="17" t="s">
        <v>1841</v>
      </c>
      <c r="J579" s="10"/>
      <c r="K579" s="16" t="str">
        <f t="shared" ref="K579:K608" si="9">IF(E579&gt;=100,"Muito Forte",
IF(E579&gt;=70,"Forte",
"Comum"))</f>
        <v>Forte</v>
      </c>
    </row>
    <row r="580" spans="1:11" ht="29.25">
      <c r="A580" s="11" t="s">
        <v>1842</v>
      </c>
      <c r="B580" s="11" t="s">
        <v>52</v>
      </c>
      <c r="C580" s="11">
        <f>COUNTIF($B$2:$B$608,Tabela3[[#This Row],[Type]])</f>
        <v>28</v>
      </c>
      <c r="D580" s="9" t="s">
        <v>825</v>
      </c>
      <c r="E580" s="9">
        <v>70</v>
      </c>
      <c r="F580" s="9">
        <v>100</v>
      </c>
      <c r="G580" s="9">
        <v>20</v>
      </c>
      <c r="H580" s="9" t="s">
        <v>1843</v>
      </c>
      <c r="I580" s="17" t="s">
        <v>1844</v>
      </c>
      <c r="J580" s="10"/>
      <c r="K580" s="16" t="str">
        <f t="shared" si="9"/>
        <v>Forte</v>
      </c>
    </row>
    <row r="581" spans="1:11" ht="29.25">
      <c r="A581" s="11" t="s">
        <v>1845</v>
      </c>
      <c r="B581" s="11" t="s">
        <v>52</v>
      </c>
      <c r="C581" s="11">
        <f>COUNTIF($B$2:$B$608,Tabela3[[#This Row],[Type]])</f>
        <v>28</v>
      </c>
      <c r="D581" s="9" t="s">
        <v>835</v>
      </c>
      <c r="E581" s="9">
        <v>120</v>
      </c>
      <c r="F581" s="9">
        <v>100</v>
      </c>
      <c r="G581" s="9">
        <v>15</v>
      </c>
      <c r="H581" s="9"/>
      <c r="I581" s="17" t="s">
        <v>1846</v>
      </c>
      <c r="J581" s="10">
        <v>10</v>
      </c>
      <c r="K581" s="16" t="str">
        <f t="shared" si="9"/>
        <v>Muito Forte</v>
      </c>
    </row>
    <row r="582" spans="1:11" ht="29.25">
      <c r="A582" s="11" t="s">
        <v>1847</v>
      </c>
      <c r="B582" s="11" t="s">
        <v>86</v>
      </c>
      <c r="C582" s="11">
        <f>COUNTIF($B$2:$B$608,Tabela3[[#This Row],[Type]])</f>
        <v>42</v>
      </c>
      <c r="D582" s="9" t="s">
        <v>835</v>
      </c>
      <c r="E582" s="9">
        <v>60</v>
      </c>
      <c r="F582" s="9">
        <v>100</v>
      </c>
      <c r="G582" s="9">
        <v>10</v>
      </c>
      <c r="H582" s="9"/>
      <c r="I582" s="17" t="s">
        <v>1848</v>
      </c>
      <c r="J582" s="10"/>
      <c r="K582" s="16" t="str">
        <f t="shared" si="9"/>
        <v>Comum</v>
      </c>
    </row>
    <row r="583" spans="1:11" ht="16.5">
      <c r="A583" s="11" t="s">
        <v>1849</v>
      </c>
      <c r="B583" s="11" t="s">
        <v>30</v>
      </c>
      <c r="C583" s="11">
        <f>COUNTIF($B$2:$B$608,Tabela3[[#This Row],[Type]])</f>
        <v>27</v>
      </c>
      <c r="D583" s="9" t="s">
        <v>825</v>
      </c>
      <c r="E583" s="9">
        <v>40</v>
      </c>
      <c r="F583" s="9">
        <v>100</v>
      </c>
      <c r="G583" s="9">
        <v>25</v>
      </c>
      <c r="H583" s="9"/>
      <c r="I583" s="17"/>
      <c r="J583" s="10"/>
      <c r="K583" s="16" t="str">
        <f t="shared" si="9"/>
        <v>Comum</v>
      </c>
    </row>
    <row r="584" spans="1:11" ht="42.75">
      <c r="A584" s="11" t="s">
        <v>1850</v>
      </c>
      <c r="B584" s="11" t="s">
        <v>30</v>
      </c>
      <c r="C584" s="11">
        <f>COUNTIF($B$2:$B$608,Tabela3[[#This Row],[Type]])</f>
        <v>27</v>
      </c>
      <c r="D584" s="9" t="s">
        <v>825</v>
      </c>
      <c r="E584" s="9">
        <v>50</v>
      </c>
      <c r="F584" s="9">
        <v>100</v>
      </c>
      <c r="G584" s="9">
        <v>10</v>
      </c>
      <c r="H584" s="9"/>
      <c r="I584" s="17" t="s">
        <v>1851</v>
      </c>
      <c r="J584" s="10"/>
      <c r="K584" s="16" t="str">
        <f t="shared" si="9"/>
        <v>Comum</v>
      </c>
    </row>
    <row r="585" spans="1:11" ht="16.5">
      <c r="A585" s="11" t="s">
        <v>1852</v>
      </c>
      <c r="B585" s="11" t="s">
        <v>30</v>
      </c>
      <c r="C585" s="11">
        <f>COUNTIF($B$2:$B$608,Tabela3[[#This Row],[Type]])</f>
        <v>27</v>
      </c>
      <c r="D585" s="9" t="s">
        <v>825</v>
      </c>
      <c r="E585" s="9">
        <v>60</v>
      </c>
      <c r="F585" s="9">
        <v>100</v>
      </c>
      <c r="G585" s="9">
        <v>20</v>
      </c>
      <c r="H585" s="9"/>
      <c r="I585" s="17" t="s">
        <v>964</v>
      </c>
      <c r="J585" s="10">
        <v>20</v>
      </c>
      <c r="K585" s="16" t="str">
        <f t="shared" si="9"/>
        <v>Comum</v>
      </c>
    </row>
    <row r="586" spans="1:11" ht="16.5">
      <c r="A586" s="11" t="s">
        <v>1853</v>
      </c>
      <c r="B586" s="11" t="s">
        <v>30</v>
      </c>
      <c r="C586" s="11">
        <f>COUNTIF($B$2:$B$608,Tabela3[[#This Row],[Type]])</f>
        <v>27</v>
      </c>
      <c r="D586" s="9" t="s">
        <v>835</v>
      </c>
      <c r="E586" s="9">
        <v>15</v>
      </c>
      <c r="F586" s="9">
        <v>100</v>
      </c>
      <c r="G586" s="9">
        <v>10</v>
      </c>
      <c r="H586" s="9"/>
      <c r="I586" s="17" t="s">
        <v>866</v>
      </c>
      <c r="J586" s="10"/>
      <c r="K586" s="16" t="str">
        <f t="shared" si="9"/>
        <v>Comum</v>
      </c>
    </row>
    <row r="587" spans="1:11" ht="29.25">
      <c r="A587" s="11" t="s">
        <v>1854</v>
      </c>
      <c r="B587" s="11" t="s">
        <v>30</v>
      </c>
      <c r="C587" s="11">
        <f>COUNTIF($B$2:$B$608,Tabela3[[#This Row],[Type]])</f>
        <v>27</v>
      </c>
      <c r="D587" s="9" t="s">
        <v>830</v>
      </c>
      <c r="E587" s="9"/>
      <c r="F587" s="9"/>
      <c r="G587" s="9">
        <v>15</v>
      </c>
      <c r="H587" s="9"/>
      <c r="I587" s="17" t="s">
        <v>1855</v>
      </c>
      <c r="J587" s="10"/>
      <c r="K587" s="16" t="str">
        <f t="shared" si="9"/>
        <v>Comum</v>
      </c>
    </row>
    <row r="588" spans="1:11" ht="29.25">
      <c r="A588" s="11" t="s">
        <v>1856</v>
      </c>
      <c r="B588" s="11" t="s">
        <v>30</v>
      </c>
      <c r="C588" s="11">
        <f>COUNTIF($B$2:$B$608,Tabela3[[#This Row],[Type]])</f>
        <v>27</v>
      </c>
      <c r="D588" s="9" t="s">
        <v>825</v>
      </c>
      <c r="E588" s="9">
        <v>150</v>
      </c>
      <c r="F588" s="9">
        <v>100</v>
      </c>
      <c r="G588" s="9">
        <v>5</v>
      </c>
      <c r="H588" s="9"/>
      <c r="I588" s="17" t="s">
        <v>1857</v>
      </c>
      <c r="J588" s="10"/>
      <c r="K588" s="16" t="str">
        <f t="shared" si="9"/>
        <v>Muito Forte</v>
      </c>
    </row>
    <row r="589" spans="1:11" ht="16.5">
      <c r="A589" s="11" t="s">
        <v>1858</v>
      </c>
      <c r="B589" s="11" t="s">
        <v>30</v>
      </c>
      <c r="C589" s="11">
        <f>COUNTIF($B$2:$B$608,Tabela3[[#This Row],[Type]])</f>
        <v>27</v>
      </c>
      <c r="D589" s="9" t="s">
        <v>835</v>
      </c>
      <c r="E589" s="9">
        <v>80</v>
      </c>
      <c r="F589" s="9">
        <v>100</v>
      </c>
      <c r="G589" s="9">
        <v>15</v>
      </c>
      <c r="H589" s="9" t="s">
        <v>1859</v>
      </c>
      <c r="I589" s="17" t="s">
        <v>852</v>
      </c>
      <c r="J589" s="10">
        <v>20</v>
      </c>
      <c r="K589" s="16" t="str">
        <f t="shared" si="9"/>
        <v>Forte</v>
      </c>
    </row>
    <row r="590" spans="1:11" ht="29.25">
      <c r="A590" s="11" t="s">
        <v>1860</v>
      </c>
      <c r="B590" s="11" t="s">
        <v>42</v>
      </c>
      <c r="C590" s="11">
        <f>COUNTIF($B$2:$B$608,Tabela3[[#This Row],[Type]])</f>
        <v>167</v>
      </c>
      <c r="D590" s="9" t="s">
        <v>825</v>
      </c>
      <c r="E590" s="9">
        <v>50</v>
      </c>
      <c r="F590" s="9">
        <v>100</v>
      </c>
      <c r="G590" s="9">
        <v>10</v>
      </c>
      <c r="H590" s="9"/>
      <c r="I590" s="17" t="s">
        <v>1861</v>
      </c>
      <c r="J590" s="10"/>
      <c r="K590" s="16" t="str">
        <f t="shared" si="9"/>
        <v>Comum</v>
      </c>
    </row>
    <row r="591" spans="1:11" ht="29.25">
      <c r="A591" s="11" t="s">
        <v>1862</v>
      </c>
      <c r="B591" s="11" t="s">
        <v>30</v>
      </c>
      <c r="C591" s="11">
        <f>COUNTIF($B$2:$B$608,Tabela3[[#This Row],[Type]])</f>
        <v>27</v>
      </c>
      <c r="D591" s="9" t="s">
        <v>825</v>
      </c>
      <c r="E591" s="9">
        <v>35</v>
      </c>
      <c r="F591" s="9">
        <v>85</v>
      </c>
      <c r="G591" s="9">
        <v>15</v>
      </c>
      <c r="H591" s="9"/>
      <c r="I591" s="17" t="s">
        <v>904</v>
      </c>
      <c r="J591" s="10"/>
      <c r="K591" s="16" t="str">
        <f t="shared" si="9"/>
        <v>Comum</v>
      </c>
    </row>
    <row r="592" spans="1:11" ht="29.25">
      <c r="A592" s="11" t="s">
        <v>1863</v>
      </c>
      <c r="B592" s="11" t="s">
        <v>42</v>
      </c>
      <c r="C592" s="11">
        <f>COUNTIF($B$2:$B$608,Tabela3[[#This Row],[Type]])</f>
        <v>167</v>
      </c>
      <c r="D592" s="9" t="s">
        <v>830</v>
      </c>
      <c r="E592" s="9"/>
      <c r="F592" s="9">
        <v>100</v>
      </c>
      <c r="G592" s="9">
        <v>20</v>
      </c>
      <c r="H592" s="9"/>
      <c r="I592" s="17" t="s">
        <v>968</v>
      </c>
      <c r="J592" s="10"/>
      <c r="K592" s="16" t="str">
        <f t="shared" si="9"/>
        <v>Comum</v>
      </c>
    </row>
    <row r="593" spans="1:11" ht="29.25">
      <c r="A593" s="11" t="s">
        <v>1864</v>
      </c>
      <c r="B593" s="11" t="s">
        <v>107</v>
      </c>
      <c r="C593" s="11">
        <f>COUNTIF($B$2:$B$608,Tabela3[[#This Row],[Type]])</f>
        <v>15</v>
      </c>
      <c r="D593" s="9" t="s">
        <v>830</v>
      </c>
      <c r="E593" s="9"/>
      <c r="F593" s="9"/>
      <c r="G593" s="9">
        <v>10</v>
      </c>
      <c r="H593" s="9"/>
      <c r="I593" s="17" t="s">
        <v>1865</v>
      </c>
      <c r="J593" s="10"/>
      <c r="K593" s="16" t="str">
        <f t="shared" si="9"/>
        <v>Comum</v>
      </c>
    </row>
    <row r="594" spans="1:11" ht="16.5">
      <c r="A594" s="11" t="s">
        <v>1866</v>
      </c>
      <c r="B594" s="11" t="s">
        <v>52</v>
      </c>
      <c r="C594" s="11">
        <f>COUNTIF($B$2:$B$608,Tabela3[[#This Row],[Type]])</f>
        <v>28</v>
      </c>
      <c r="D594" s="9" t="s">
        <v>835</v>
      </c>
      <c r="E594" s="9">
        <v>90</v>
      </c>
      <c r="F594" s="9">
        <v>100</v>
      </c>
      <c r="G594" s="9">
        <v>15</v>
      </c>
      <c r="H594" s="9" t="s">
        <v>1867</v>
      </c>
      <c r="I594" s="17" t="s">
        <v>929</v>
      </c>
      <c r="J594" s="10"/>
      <c r="K594" s="16" t="str">
        <f t="shared" si="9"/>
        <v>Forte</v>
      </c>
    </row>
    <row r="595" spans="1:11" ht="16.5">
      <c r="A595" s="11" t="s">
        <v>1868</v>
      </c>
      <c r="B595" s="11" t="s">
        <v>22</v>
      </c>
      <c r="C595" s="11">
        <f>COUNTIF($B$2:$B$608,Tabela3[[#This Row],[Type]])</f>
        <v>30</v>
      </c>
      <c r="D595" s="9" t="s">
        <v>830</v>
      </c>
      <c r="E595" s="9"/>
      <c r="F595" s="9">
        <v>75</v>
      </c>
      <c r="G595" s="9">
        <v>15</v>
      </c>
      <c r="H595" s="9" t="s">
        <v>1869</v>
      </c>
      <c r="I595" s="17" t="s">
        <v>1317</v>
      </c>
      <c r="J595" s="10">
        <v>100</v>
      </c>
      <c r="K595" s="16" t="str">
        <f t="shared" si="9"/>
        <v>Comum</v>
      </c>
    </row>
    <row r="596" spans="1:11" ht="16.5">
      <c r="A596" s="11" t="s">
        <v>1870</v>
      </c>
      <c r="B596" s="11" t="s">
        <v>25</v>
      </c>
      <c r="C596" s="11">
        <f>COUNTIF($B$2:$B$608,Tabela3[[#This Row],[Type]])</f>
        <v>23</v>
      </c>
      <c r="D596" s="9" t="s">
        <v>835</v>
      </c>
      <c r="E596" s="9">
        <v>60</v>
      </c>
      <c r="F596" s="9">
        <v>100</v>
      </c>
      <c r="G596" s="9">
        <v>35</v>
      </c>
      <c r="H596" s="9"/>
      <c r="I596" s="17"/>
      <c r="J596" s="10"/>
      <c r="K596" s="16" t="str">
        <f t="shared" si="9"/>
        <v>Comum</v>
      </c>
    </row>
    <row r="597" spans="1:11" ht="29.25">
      <c r="A597" s="11" t="s">
        <v>1871</v>
      </c>
      <c r="B597" s="11" t="s">
        <v>42</v>
      </c>
      <c r="C597" s="11">
        <f>COUNTIF($B$2:$B$608,Tabela3[[#This Row],[Type]])</f>
        <v>167</v>
      </c>
      <c r="D597" s="9" t="s">
        <v>830</v>
      </c>
      <c r="E597" s="9"/>
      <c r="F597" s="9"/>
      <c r="G597" s="9">
        <v>10</v>
      </c>
      <c r="H597" s="9"/>
      <c r="I597" s="17" t="s">
        <v>1872</v>
      </c>
      <c r="J597" s="10"/>
      <c r="K597" s="16" t="str">
        <f t="shared" si="9"/>
        <v>Comum</v>
      </c>
    </row>
    <row r="598" spans="1:11" ht="16.5">
      <c r="A598" s="11" t="s">
        <v>1873</v>
      </c>
      <c r="B598" s="11" t="s">
        <v>30</v>
      </c>
      <c r="C598" s="11">
        <f>COUNTIF($B$2:$B$608,Tabela3[[#This Row],[Type]])</f>
        <v>27</v>
      </c>
      <c r="D598" s="9" t="s">
        <v>830</v>
      </c>
      <c r="E598" s="9"/>
      <c r="F598" s="9"/>
      <c r="G598" s="9">
        <v>40</v>
      </c>
      <c r="H598" s="9"/>
      <c r="I598" s="17" t="s">
        <v>1021</v>
      </c>
      <c r="J598" s="10"/>
      <c r="K598" s="16" t="str">
        <f t="shared" si="9"/>
        <v>Comum</v>
      </c>
    </row>
    <row r="599" spans="1:11" ht="29.25">
      <c r="A599" s="11" t="s">
        <v>1874</v>
      </c>
      <c r="B599" s="11" t="s">
        <v>94</v>
      </c>
      <c r="C599" s="11">
        <f>COUNTIF($B$2:$B$608,Tabela3[[#This Row],[Type]])</f>
        <v>53</v>
      </c>
      <c r="D599" s="9" t="s">
        <v>830</v>
      </c>
      <c r="E599" s="9"/>
      <c r="F599" s="9"/>
      <c r="G599" s="9">
        <v>10</v>
      </c>
      <c r="H599" s="9"/>
      <c r="I599" s="17" t="s">
        <v>1875</v>
      </c>
      <c r="J599" s="10"/>
      <c r="K599" s="16" t="str">
        <f t="shared" si="9"/>
        <v>Comum</v>
      </c>
    </row>
    <row r="600" spans="1:11" ht="16.5">
      <c r="A600" s="11" t="s">
        <v>1876</v>
      </c>
      <c r="B600" s="11" t="s">
        <v>16</v>
      </c>
      <c r="C600" s="11">
        <f>COUNTIF($B$2:$B$608,Tabela3[[#This Row],[Type]])</f>
        <v>37</v>
      </c>
      <c r="D600" s="9" t="s">
        <v>835</v>
      </c>
      <c r="E600" s="9">
        <v>120</v>
      </c>
      <c r="F600" s="9">
        <v>100</v>
      </c>
      <c r="G600" s="9">
        <v>15</v>
      </c>
      <c r="H600" s="9"/>
      <c r="I600" s="17" t="s">
        <v>929</v>
      </c>
      <c r="J600" s="10"/>
      <c r="K600" s="16" t="str">
        <f t="shared" si="9"/>
        <v>Muito Forte</v>
      </c>
    </row>
    <row r="601" spans="1:11" ht="29.25">
      <c r="A601" s="11" t="s">
        <v>1877</v>
      </c>
      <c r="B601" s="11" t="s">
        <v>42</v>
      </c>
      <c r="C601" s="11">
        <f>COUNTIF($B$2:$B$608,Tabela3[[#This Row],[Type]])</f>
        <v>167</v>
      </c>
      <c r="D601" s="9" t="s">
        <v>830</v>
      </c>
      <c r="E601" s="9"/>
      <c r="F601" s="9"/>
      <c r="G601" s="9">
        <v>30</v>
      </c>
      <c r="H601" s="9" t="s">
        <v>1878</v>
      </c>
      <c r="I601" s="17" t="s">
        <v>1229</v>
      </c>
      <c r="J601" s="10"/>
      <c r="K601" s="16" t="str">
        <f t="shared" si="9"/>
        <v>Comum</v>
      </c>
    </row>
    <row r="602" spans="1:11" ht="29.25">
      <c r="A602" s="11" t="s">
        <v>1879</v>
      </c>
      <c r="B602" s="11" t="s">
        <v>16</v>
      </c>
      <c r="C602" s="11">
        <f>COUNTIF($B$2:$B$608,Tabela3[[#This Row],[Type]])</f>
        <v>37</v>
      </c>
      <c r="D602" s="9" t="s">
        <v>830</v>
      </c>
      <c r="E602" s="9"/>
      <c r="F602" s="9">
        <v>100</v>
      </c>
      <c r="G602" s="9">
        <v>10</v>
      </c>
      <c r="H602" s="9"/>
      <c r="I602" s="17" t="s">
        <v>1880</v>
      </c>
      <c r="J602" s="10"/>
      <c r="K602" s="16" t="str">
        <f t="shared" si="9"/>
        <v>Comum</v>
      </c>
    </row>
    <row r="603" spans="1:11" ht="29.25">
      <c r="A603" s="11" t="s">
        <v>1881</v>
      </c>
      <c r="B603" s="11" t="s">
        <v>42</v>
      </c>
      <c r="C603" s="11">
        <f>COUNTIF($B$2:$B$608,Tabela3[[#This Row],[Type]])</f>
        <v>167</v>
      </c>
      <c r="D603" s="9" t="s">
        <v>835</v>
      </c>
      <c r="E603" s="9">
        <v>15</v>
      </c>
      <c r="F603" s="9">
        <v>90</v>
      </c>
      <c r="G603" s="9">
        <v>20</v>
      </c>
      <c r="H603" s="9"/>
      <c r="I603" s="17" t="s">
        <v>904</v>
      </c>
      <c r="J603" s="10"/>
      <c r="K603" s="16" t="str">
        <f t="shared" si="9"/>
        <v>Comum</v>
      </c>
    </row>
    <row r="604" spans="1:11" ht="29.25">
      <c r="A604" s="11" t="s">
        <v>1882</v>
      </c>
      <c r="B604" s="11" t="s">
        <v>42</v>
      </c>
      <c r="C604" s="11">
        <f>COUNTIF($B$2:$B$608,Tabela3[[#This Row],[Type]])</f>
        <v>167</v>
      </c>
      <c r="D604" s="9" t="s">
        <v>825</v>
      </c>
      <c r="E604" s="9"/>
      <c r="F604" s="9">
        <v>100</v>
      </c>
      <c r="G604" s="9">
        <v>5</v>
      </c>
      <c r="H604" s="9"/>
      <c r="I604" s="17" t="s">
        <v>1883</v>
      </c>
      <c r="J604" s="10"/>
      <c r="K604" s="16" t="str">
        <f t="shared" si="9"/>
        <v>Comum</v>
      </c>
    </row>
    <row r="605" spans="1:11" ht="16.5">
      <c r="A605" s="11" t="s">
        <v>1884</v>
      </c>
      <c r="B605" s="11" t="s">
        <v>35</v>
      </c>
      <c r="C605" s="11">
        <f>COUNTIF($B$2:$B$608,Tabela3[[#This Row],[Type]])</f>
        <v>25</v>
      </c>
      <c r="D605" s="9" t="s">
        <v>835</v>
      </c>
      <c r="E605" s="9">
        <v>80</v>
      </c>
      <c r="F605" s="9">
        <v>100</v>
      </c>
      <c r="G605" s="9">
        <v>15</v>
      </c>
      <c r="H605" s="9" t="s">
        <v>1885</v>
      </c>
      <c r="I605" s="17"/>
      <c r="J605" s="10"/>
      <c r="K605" s="16" t="str">
        <f t="shared" si="9"/>
        <v>Forte</v>
      </c>
    </row>
    <row r="606" spans="1:11" ht="29.25">
      <c r="A606" s="11" t="s">
        <v>1886</v>
      </c>
      <c r="B606" s="11" t="s">
        <v>42</v>
      </c>
      <c r="C606" s="11">
        <f>COUNTIF($B$2:$B$608,Tabela3[[#This Row],[Type]])</f>
        <v>167</v>
      </c>
      <c r="D606" s="9" t="s">
        <v>830</v>
      </c>
      <c r="E606" s="9"/>
      <c r="F606" s="9"/>
      <c r="G606" s="9">
        <v>10</v>
      </c>
      <c r="H606" s="9"/>
      <c r="I606" s="17" t="s">
        <v>1887</v>
      </c>
      <c r="J606" s="10"/>
      <c r="K606" s="16" t="str">
        <f t="shared" si="9"/>
        <v>Comum</v>
      </c>
    </row>
    <row r="607" spans="1:11" ht="16.5">
      <c r="A607" s="13" t="s">
        <v>1888</v>
      </c>
      <c r="B607" s="13" t="s">
        <v>52</v>
      </c>
      <c r="C607" s="13">
        <f>COUNTIF($B$2:$B$608,Tabela3[[#This Row],[Type]])</f>
        <v>28</v>
      </c>
      <c r="D607" s="14" t="s">
        <v>825</v>
      </c>
      <c r="E607" s="14">
        <v>120</v>
      </c>
      <c r="F607" s="14">
        <v>50</v>
      </c>
      <c r="G607" s="14">
        <v>5</v>
      </c>
      <c r="H607" s="14"/>
      <c r="I607" s="18" t="s">
        <v>1214</v>
      </c>
      <c r="J607" s="15">
        <v>100</v>
      </c>
      <c r="K607" s="16" t="str">
        <f t="shared" si="9"/>
        <v>Muito Forte</v>
      </c>
    </row>
    <row r="608" spans="1:11" ht="16.5">
      <c r="A608" s="13" t="s">
        <v>1889</v>
      </c>
      <c r="B608" s="13" t="s">
        <v>94</v>
      </c>
      <c r="C608" s="13">
        <f>COUNTIF($B$2:$B$608,Tabela3[[#This Row],[Type]])</f>
        <v>53</v>
      </c>
      <c r="D608" s="14" t="s">
        <v>835</v>
      </c>
      <c r="E608" s="14">
        <v>80</v>
      </c>
      <c r="F608" s="14">
        <v>90</v>
      </c>
      <c r="G608" s="14">
        <v>15</v>
      </c>
      <c r="H608" s="14"/>
      <c r="I608" s="18" t="s">
        <v>852</v>
      </c>
      <c r="J608" s="15">
        <v>20</v>
      </c>
      <c r="K608" s="16" t="str">
        <f t="shared" si="9"/>
        <v>Forte</v>
      </c>
    </row>
  </sheetData>
  <conditionalFormatting sqref="E2:E608">
    <cfRule type="cellIs" dxfId="71" priority="41" operator="greaterThan">
      <formula>100</formula>
    </cfRule>
  </conditionalFormatting>
  <conditionalFormatting sqref="E2:E608">
    <cfRule type="cellIs" dxfId="70" priority="40" operator="between">
      <formula>50</formula>
      <formula>100</formula>
    </cfRule>
  </conditionalFormatting>
  <conditionalFormatting sqref="E2:E608">
    <cfRule type="cellIs" dxfId="69" priority="39" operator="lessThan">
      <formula>50</formula>
    </cfRule>
  </conditionalFormatting>
  <conditionalFormatting sqref="B2:C2">
    <cfRule type="containsText" dxfId="68" priority="22" operator="containsText" text="GRASS">
      <formula>NOT(ISERROR(SEARCH("GRASS",B2)))</formula>
    </cfRule>
  </conditionalFormatting>
  <conditionalFormatting sqref="B2:C608">
    <cfRule type="containsText" dxfId="67" priority="21" operator="containsText" text="POISON">
      <formula>NOT(ISERROR(SEARCH("POISON",B2)))</formula>
    </cfRule>
  </conditionalFormatting>
  <conditionalFormatting sqref="B2:C608">
    <cfRule type="containsText" dxfId="66" priority="20" operator="containsText" text="WATER">
      <formula>NOT(ISERROR(SEARCH("WATER",B2)))</formula>
    </cfRule>
  </conditionalFormatting>
  <conditionalFormatting sqref="B2:C608">
    <cfRule type="containsText" dxfId="65" priority="19" operator="containsText" text="FLYING">
      <formula>NOT(ISERROR(SEARCH("FLYING",B2)))</formula>
    </cfRule>
  </conditionalFormatting>
  <conditionalFormatting sqref="B2:C608">
    <cfRule type="containsText" dxfId="64" priority="18" operator="containsText" text="FIRE">
      <formula>NOT(ISERROR(SEARCH("FIRE",B2)))</formula>
    </cfRule>
  </conditionalFormatting>
  <conditionalFormatting sqref="B2:C608">
    <cfRule type="containsText" dxfId="63" priority="17" operator="containsText" text="DRAGON">
      <formula>NOT(ISERROR(SEARCH("DRAGON",B2)))</formula>
    </cfRule>
  </conditionalFormatting>
  <conditionalFormatting sqref="B2:C608">
    <cfRule type="containsText" dxfId="62" priority="16" operator="containsText" text="BUG">
      <formula>NOT(ISERROR(SEARCH("BUG",B2)))</formula>
    </cfRule>
  </conditionalFormatting>
  <conditionalFormatting sqref="B2:C608">
    <cfRule type="containsText" dxfId="61" priority="15" operator="containsText" text="ELECTRIC">
      <formula>NOT(ISERROR(SEARCH("ELECTRIC",B2)))</formula>
    </cfRule>
  </conditionalFormatting>
  <conditionalFormatting sqref="B2:C608">
    <cfRule type="containsText" dxfId="60" priority="14" operator="containsText" text="GROUND">
      <formula>NOT(ISERROR(SEARCH("GROUND",B2)))</formula>
    </cfRule>
  </conditionalFormatting>
  <conditionalFormatting sqref="B2:C608">
    <cfRule type="containsText" dxfId="59" priority="13" operator="containsText" text="FAIRY">
      <formula>NOT(ISERROR(SEARCH("FAIRY",B2)))</formula>
    </cfRule>
  </conditionalFormatting>
  <conditionalFormatting sqref="B2:C608">
    <cfRule type="containsText" dxfId="58" priority="12" operator="containsText" text="FIGHTING">
      <formula>NOT(ISERROR(SEARCH("FIGHTING",B2)))</formula>
    </cfRule>
  </conditionalFormatting>
  <conditionalFormatting sqref="B2:C608">
    <cfRule type="containsText" dxfId="57" priority="11" operator="containsText" text="PSYCHIC">
      <formula>NOT(ISERROR(SEARCH("PSYCHIC",B2)))</formula>
    </cfRule>
  </conditionalFormatting>
  <conditionalFormatting sqref="B2:C608">
    <cfRule type="containsText" dxfId="56" priority="10" operator="containsText" text="ROCK">
      <formula>NOT(ISERROR(SEARCH("ROCK",B2)))</formula>
    </cfRule>
  </conditionalFormatting>
  <conditionalFormatting sqref="B2:C608">
    <cfRule type="containsText" dxfId="55" priority="9" operator="containsText" text="STEEL">
      <formula>NOT(ISERROR(SEARCH("STEEL",B2)))</formula>
    </cfRule>
  </conditionalFormatting>
  <conditionalFormatting sqref="B2:C608">
    <cfRule type="containsText" dxfId="54" priority="8" operator="containsText" text="ICE">
      <formula>NOT(ISERROR(SEARCH("ICE",B2)))</formula>
    </cfRule>
  </conditionalFormatting>
  <conditionalFormatting sqref="B2:C608">
    <cfRule type="containsText" dxfId="53" priority="7" operator="containsText" text="GHOST">
      <formula>NOT(ISERROR(SEARCH("GHOST",B2)))</formula>
    </cfRule>
  </conditionalFormatting>
  <conditionalFormatting sqref="B2:C608">
    <cfRule type="containsText" dxfId="52" priority="6" operator="containsText" text="DARK">
      <formula>NOT(ISERROR(SEARCH("DARK",B2)))</formula>
    </cfRule>
  </conditionalFormatting>
  <conditionalFormatting sqref="F2:F608">
    <cfRule type="cellIs" dxfId="51" priority="5" operator="greaterThan">
      <formula>70</formula>
    </cfRule>
  </conditionalFormatting>
  <conditionalFormatting sqref="F2:F608">
    <cfRule type="cellIs" dxfId="50" priority="4" operator="between">
      <formula>50</formula>
      <formula>70</formula>
    </cfRule>
  </conditionalFormatting>
  <conditionalFormatting sqref="F2:F608">
    <cfRule type="cellIs" dxfId="49" priority="3" operator="lessThan">
      <formula>50</formula>
    </cfRule>
  </conditionalFormatting>
  <conditionalFormatting sqref="D2:D608">
    <cfRule type="containsText" dxfId="48" priority="1" operator="containsText" text="Status">
      <formula>NOT(ISERROR(SEARCH("Status",D2)))</formula>
    </cfRule>
  </conditionalFormatting>
  <hyperlinks>
    <hyperlink ref="A2" r:id="rId1" tooltip="View details for Absorb" display="http://pokemondb.net/move/absorb" xr:uid="{00000000-0004-0000-0100-000000000000}"/>
    <hyperlink ref="B2" r:id="rId2" display="http://pokemondb.net/type/grass" xr:uid="{00000000-0004-0000-0100-000001000000}"/>
    <hyperlink ref="A3" r:id="rId3" tooltip="View details for Acid" display="http://pokemondb.net/move/acid" xr:uid="{00000000-0004-0000-0100-000002000000}"/>
    <hyperlink ref="B3" r:id="rId4" display="http://pokemondb.net/type/poison" xr:uid="{00000000-0004-0000-0100-000003000000}"/>
    <hyperlink ref="A4" r:id="rId5" tooltip="View details for Acid Armor" display="http://pokemondb.net/move/acid-armor" xr:uid="{00000000-0004-0000-0100-000004000000}"/>
    <hyperlink ref="B4" r:id="rId6" display="http://pokemondb.net/type/poison" xr:uid="{00000000-0004-0000-0100-000005000000}"/>
    <hyperlink ref="A5" r:id="rId7" tooltip="View details for Acid Spray" display="http://pokemondb.net/move/acid-spray" xr:uid="{00000000-0004-0000-0100-000006000000}"/>
    <hyperlink ref="B5" r:id="rId8" display="http://pokemondb.net/type/poison" xr:uid="{00000000-0004-0000-0100-000007000000}"/>
    <hyperlink ref="A6" r:id="rId9" tooltip="View details for Acrobatics" display="http://pokemondb.net/move/acrobatics" xr:uid="{00000000-0004-0000-0100-000008000000}"/>
    <hyperlink ref="B6" r:id="rId10" display="http://pokemondb.net/type/flying" xr:uid="{00000000-0004-0000-0100-000009000000}"/>
    <hyperlink ref="A7" r:id="rId11" tooltip="View details for Acupressure" display="http://pokemondb.net/move/acupressure" xr:uid="{00000000-0004-0000-0100-00000A000000}"/>
    <hyperlink ref="B7" r:id="rId12" display="http://pokemondb.net/type/normal" xr:uid="{00000000-0004-0000-0100-00000B000000}"/>
    <hyperlink ref="A8" r:id="rId13" tooltip="View details for Aerial Ace" display="http://pokemondb.net/move/aerial-ace" xr:uid="{00000000-0004-0000-0100-00000C000000}"/>
    <hyperlink ref="B8" r:id="rId14" display="http://pokemondb.net/type/flying" xr:uid="{00000000-0004-0000-0100-00000D000000}"/>
    <hyperlink ref="A9" r:id="rId15" tooltip="View details for Aeroblast" display="http://pokemondb.net/move/aeroblast" xr:uid="{00000000-0004-0000-0100-00000E000000}"/>
    <hyperlink ref="B9" r:id="rId16" display="http://pokemondb.net/type/flying" xr:uid="{00000000-0004-0000-0100-00000F000000}"/>
    <hyperlink ref="A10" r:id="rId17" tooltip="View details for After You" display="http://pokemondb.net/move/after-you" xr:uid="{00000000-0004-0000-0100-000010000000}"/>
    <hyperlink ref="B10" r:id="rId18" display="http://pokemondb.net/type/normal" xr:uid="{00000000-0004-0000-0100-000011000000}"/>
    <hyperlink ref="A11" r:id="rId19" tooltip="View details for Agility" display="http://pokemondb.net/move/agility" xr:uid="{00000000-0004-0000-0100-000012000000}"/>
    <hyperlink ref="B11" r:id="rId20" display="http://pokemondb.net/type/psychic" xr:uid="{00000000-0004-0000-0100-000013000000}"/>
    <hyperlink ref="A12" r:id="rId21" tooltip="View details for Air Cutter" display="http://pokemondb.net/move/air-cutter" xr:uid="{00000000-0004-0000-0100-000014000000}"/>
    <hyperlink ref="B12" r:id="rId22" display="http://pokemondb.net/type/flying" xr:uid="{00000000-0004-0000-0100-000015000000}"/>
    <hyperlink ref="A13" r:id="rId23" tooltip="View details for Air Slash" display="http://pokemondb.net/move/air-slash" xr:uid="{00000000-0004-0000-0100-000016000000}"/>
    <hyperlink ref="B13" r:id="rId24" display="http://pokemondb.net/type/flying" xr:uid="{00000000-0004-0000-0100-000017000000}"/>
    <hyperlink ref="A14" r:id="rId25" tooltip="View details for Ally Switch" display="http://pokemondb.net/move/ally-switch" xr:uid="{00000000-0004-0000-0100-000018000000}"/>
    <hyperlink ref="B14" r:id="rId26" display="http://pokemondb.net/type/psychic" xr:uid="{00000000-0004-0000-0100-000019000000}"/>
    <hyperlink ref="A15" r:id="rId27" tooltip="View details for Amnesia" display="http://pokemondb.net/move/amnesia" xr:uid="{00000000-0004-0000-0100-00001A000000}"/>
    <hyperlink ref="B15" r:id="rId28" display="http://pokemondb.net/type/psychic" xr:uid="{00000000-0004-0000-0100-00001B000000}"/>
    <hyperlink ref="A16" r:id="rId29" tooltip="View details for AncientPower" display="http://pokemondb.net/move/ancientpower" xr:uid="{00000000-0004-0000-0100-00001C000000}"/>
    <hyperlink ref="B16" r:id="rId30" display="http://pokemondb.net/type/rock" xr:uid="{00000000-0004-0000-0100-00001D000000}"/>
    <hyperlink ref="A17" r:id="rId31" tooltip="View details for Aqua Jet" display="http://pokemondb.net/move/aqua-jet" xr:uid="{00000000-0004-0000-0100-00001E000000}"/>
    <hyperlink ref="B17" r:id="rId32" display="http://pokemondb.net/type/water" xr:uid="{00000000-0004-0000-0100-00001F000000}"/>
    <hyperlink ref="A18" r:id="rId33" tooltip="View details for Aqua Ring" display="http://pokemondb.net/move/aqua-ring" xr:uid="{00000000-0004-0000-0100-000020000000}"/>
    <hyperlink ref="B18" r:id="rId34" display="http://pokemondb.net/type/water" xr:uid="{00000000-0004-0000-0100-000021000000}"/>
    <hyperlink ref="A19" r:id="rId35" tooltip="View details for Aqua Tail" display="http://pokemondb.net/move/aqua-tail" xr:uid="{00000000-0004-0000-0100-000022000000}"/>
    <hyperlink ref="B19" r:id="rId36" display="http://pokemondb.net/type/water" xr:uid="{00000000-0004-0000-0100-000023000000}"/>
    <hyperlink ref="A20" r:id="rId37" tooltip="View details for Arm Thrust" display="http://pokemondb.net/move/arm-thrust" xr:uid="{00000000-0004-0000-0100-000024000000}"/>
    <hyperlink ref="B20" r:id="rId38" display="http://pokemondb.net/type/fighting" xr:uid="{00000000-0004-0000-0100-000025000000}"/>
    <hyperlink ref="A21" r:id="rId39" tooltip="View details for Aromatherapy" display="http://pokemondb.net/move/aromatherapy" xr:uid="{00000000-0004-0000-0100-000026000000}"/>
    <hyperlink ref="B21" r:id="rId40" display="http://pokemondb.net/type/grass" xr:uid="{00000000-0004-0000-0100-000027000000}"/>
    <hyperlink ref="A22" r:id="rId41" tooltip="View details for Aromatic Mist" display="http://pokemondb.net/move/aromatic-mist" xr:uid="{00000000-0004-0000-0100-000028000000}"/>
    <hyperlink ref="B22" r:id="rId42" display="http://pokemondb.net/type/fairy" xr:uid="{00000000-0004-0000-0100-000029000000}"/>
    <hyperlink ref="A23" r:id="rId43" tooltip="View details for Assist" display="http://pokemondb.net/move/assist" xr:uid="{00000000-0004-0000-0100-00002A000000}"/>
    <hyperlink ref="B23" r:id="rId44" display="http://pokemondb.net/type/normal" xr:uid="{00000000-0004-0000-0100-00002B000000}"/>
    <hyperlink ref="A24" r:id="rId45" tooltip="View details for Assurance" display="http://pokemondb.net/move/assurance" xr:uid="{00000000-0004-0000-0100-00002C000000}"/>
    <hyperlink ref="B24" r:id="rId46" display="http://pokemondb.net/type/dark" xr:uid="{00000000-0004-0000-0100-00002D000000}"/>
    <hyperlink ref="A25" r:id="rId47" tooltip="View details for Astonish" display="http://pokemondb.net/move/astonish" xr:uid="{00000000-0004-0000-0100-00002E000000}"/>
    <hyperlink ref="B25" r:id="rId48" display="http://pokemondb.net/type/ghost" xr:uid="{00000000-0004-0000-0100-00002F000000}"/>
    <hyperlink ref="A26" r:id="rId49" tooltip="View details for Attack Order" display="http://pokemondb.net/move/attack-order" xr:uid="{00000000-0004-0000-0100-000030000000}"/>
    <hyperlink ref="B26" r:id="rId50" display="http://pokemondb.net/type/bug" xr:uid="{00000000-0004-0000-0100-000031000000}"/>
    <hyperlink ref="A27" r:id="rId51" tooltip="View details for Attract" display="http://pokemondb.net/move/attract" xr:uid="{00000000-0004-0000-0100-000032000000}"/>
    <hyperlink ref="B27" r:id="rId52" display="http://pokemondb.net/type/normal" xr:uid="{00000000-0004-0000-0100-000033000000}"/>
    <hyperlink ref="A28" r:id="rId53" tooltip="View details for Aura Sphere" display="http://pokemondb.net/move/aura-sphere" xr:uid="{00000000-0004-0000-0100-000034000000}"/>
    <hyperlink ref="B28" r:id="rId54" display="http://pokemondb.net/type/fighting" xr:uid="{00000000-0004-0000-0100-000035000000}"/>
    <hyperlink ref="A29" r:id="rId55" tooltip="View details for Aurora Beam" display="http://pokemondb.net/move/aurora-beam" xr:uid="{00000000-0004-0000-0100-000036000000}"/>
    <hyperlink ref="B29" r:id="rId56" display="http://pokemondb.net/type/ice" xr:uid="{00000000-0004-0000-0100-000037000000}"/>
    <hyperlink ref="A30" r:id="rId57" tooltip="View details for Autotomize" display="http://pokemondb.net/move/autotomize" xr:uid="{00000000-0004-0000-0100-000038000000}"/>
    <hyperlink ref="B30" r:id="rId58" display="http://pokemondb.net/type/steel" xr:uid="{00000000-0004-0000-0100-000039000000}"/>
    <hyperlink ref="A31" r:id="rId59" tooltip="View details for Avalanche" display="http://pokemondb.net/move/avalanche" xr:uid="{00000000-0004-0000-0100-00003A000000}"/>
    <hyperlink ref="B31" r:id="rId60" display="http://pokemondb.net/type/ice" xr:uid="{00000000-0004-0000-0100-00003B000000}"/>
    <hyperlink ref="A32" r:id="rId61" tooltip="View details for Baby-Doll Eyes" display="http://pokemondb.net/move/baby-doll-eyes" xr:uid="{00000000-0004-0000-0100-00003C000000}"/>
    <hyperlink ref="B32" r:id="rId62" display="http://pokemondb.net/type/fairy" xr:uid="{00000000-0004-0000-0100-00003D000000}"/>
    <hyperlink ref="A33" r:id="rId63" tooltip="View details for Barrage" display="http://pokemondb.net/move/barrage" xr:uid="{00000000-0004-0000-0100-00003E000000}"/>
    <hyperlink ref="B33" r:id="rId64" display="http://pokemondb.net/type/normal" xr:uid="{00000000-0004-0000-0100-00003F000000}"/>
    <hyperlink ref="A34" r:id="rId65" tooltip="View details for Barrier" display="http://pokemondb.net/move/barrier" xr:uid="{00000000-0004-0000-0100-000040000000}"/>
    <hyperlink ref="B34" r:id="rId66" display="http://pokemondb.net/type/psychic" xr:uid="{00000000-0004-0000-0100-000041000000}"/>
    <hyperlink ref="A35" r:id="rId67" tooltip="View details for Baton Pass" display="http://pokemondb.net/move/baton-pass" xr:uid="{00000000-0004-0000-0100-000042000000}"/>
    <hyperlink ref="B35" r:id="rId68" display="http://pokemondb.net/type/normal" xr:uid="{00000000-0004-0000-0100-000043000000}"/>
    <hyperlink ref="A36" r:id="rId69" tooltip="View details for Beat Up" display="http://pokemondb.net/move/beat-up" xr:uid="{00000000-0004-0000-0100-000044000000}"/>
    <hyperlink ref="B36" r:id="rId70" display="http://pokemondb.net/type/dark" xr:uid="{00000000-0004-0000-0100-000045000000}"/>
    <hyperlink ref="A37" r:id="rId71" tooltip="View details for Belch" display="http://pokemondb.net/move/belch" xr:uid="{00000000-0004-0000-0100-000046000000}"/>
    <hyperlink ref="B37" r:id="rId72" display="http://pokemondb.net/type/poison" xr:uid="{00000000-0004-0000-0100-000047000000}"/>
    <hyperlink ref="A38" r:id="rId73" tooltip="View details for Belly Drum" display="http://pokemondb.net/move/belly-drum" xr:uid="{00000000-0004-0000-0100-000048000000}"/>
    <hyperlink ref="B38" r:id="rId74" display="http://pokemondb.net/type/normal" xr:uid="{00000000-0004-0000-0100-000049000000}"/>
    <hyperlink ref="A39" r:id="rId75" tooltip="View details for Bestow" display="http://pokemondb.net/move/bestow" xr:uid="{00000000-0004-0000-0100-00004A000000}"/>
    <hyperlink ref="B39" r:id="rId76" display="http://pokemondb.net/type/normal" xr:uid="{00000000-0004-0000-0100-00004B000000}"/>
    <hyperlink ref="A40" r:id="rId77" tooltip="View details for Bide" display="http://pokemondb.net/move/bide" xr:uid="{00000000-0004-0000-0100-00004C000000}"/>
    <hyperlink ref="B40" r:id="rId78" display="http://pokemondb.net/type/normal" xr:uid="{00000000-0004-0000-0100-00004D000000}"/>
    <hyperlink ref="A41" r:id="rId79" tooltip="View details for Bind" display="http://pokemondb.net/move/bind" xr:uid="{00000000-0004-0000-0100-00004E000000}"/>
    <hyperlink ref="B41" r:id="rId80" display="http://pokemondb.net/type/normal" xr:uid="{00000000-0004-0000-0100-00004F000000}"/>
    <hyperlink ref="A42" r:id="rId81" tooltip="View details for Bite" display="http://pokemondb.net/move/bite" xr:uid="{00000000-0004-0000-0100-000050000000}"/>
    <hyperlink ref="B42" r:id="rId82" display="http://pokemondb.net/type/dark" xr:uid="{00000000-0004-0000-0100-000051000000}"/>
    <hyperlink ref="A43" r:id="rId83" tooltip="View details for Blast Burn" display="http://pokemondb.net/move/blast-burn" xr:uid="{00000000-0004-0000-0100-000052000000}"/>
    <hyperlink ref="B43" r:id="rId84" display="http://pokemondb.net/type/fire" xr:uid="{00000000-0004-0000-0100-000053000000}"/>
    <hyperlink ref="A44" r:id="rId85" tooltip="View details for Blaze Kick" display="http://pokemondb.net/move/blaze-kick" xr:uid="{00000000-0004-0000-0100-000054000000}"/>
    <hyperlink ref="B44" r:id="rId86" display="http://pokemondb.net/type/fire" xr:uid="{00000000-0004-0000-0100-000055000000}"/>
    <hyperlink ref="A45" r:id="rId87" tooltip="View details for Blizzard" display="http://pokemondb.net/move/blizzard" xr:uid="{00000000-0004-0000-0100-000056000000}"/>
    <hyperlink ref="B45" r:id="rId88" display="http://pokemondb.net/type/ice" xr:uid="{00000000-0004-0000-0100-000057000000}"/>
    <hyperlink ref="A46" r:id="rId89" tooltip="View details for Block" display="http://pokemondb.net/move/block" xr:uid="{00000000-0004-0000-0100-000058000000}"/>
    <hyperlink ref="B46" r:id="rId90" display="http://pokemondb.net/type/normal" xr:uid="{00000000-0004-0000-0100-000059000000}"/>
    <hyperlink ref="A47" r:id="rId91" tooltip="View details for Blue Flare" display="http://pokemondb.net/move/blue-flare" xr:uid="{00000000-0004-0000-0100-00005A000000}"/>
    <hyperlink ref="B47" r:id="rId92" display="http://pokemondb.net/type/fire" xr:uid="{00000000-0004-0000-0100-00005B000000}"/>
    <hyperlink ref="A48" r:id="rId93" tooltip="View details for Body Slam" display="http://pokemondb.net/move/body-slam" xr:uid="{00000000-0004-0000-0100-00005C000000}"/>
    <hyperlink ref="B48" r:id="rId94" display="http://pokemondb.net/type/normal" xr:uid="{00000000-0004-0000-0100-00005D000000}"/>
    <hyperlink ref="A49" r:id="rId95" tooltip="View details for Bolt Strike" display="http://pokemondb.net/move/bolt-strike" xr:uid="{00000000-0004-0000-0100-00005E000000}"/>
    <hyperlink ref="B49" r:id="rId96" display="http://pokemondb.net/type/electric" xr:uid="{00000000-0004-0000-0100-00005F000000}"/>
    <hyperlink ref="A50" r:id="rId97" tooltip="View details for Bone Club" display="http://pokemondb.net/move/bone-club" xr:uid="{00000000-0004-0000-0100-000060000000}"/>
    <hyperlink ref="B50" r:id="rId98" display="http://pokemondb.net/type/ground" xr:uid="{00000000-0004-0000-0100-000061000000}"/>
    <hyperlink ref="A51" r:id="rId99" tooltip="View details for Bone Rush" display="http://pokemondb.net/move/bone-rush" xr:uid="{00000000-0004-0000-0100-000062000000}"/>
    <hyperlink ref="B51" r:id="rId100" display="http://pokemondb.net/type/ground" xr:uid="{00000000-0004-0000-0100-000063000000}"/>
    <hyperlink ref="A52" r:id="rId101" tooltip="View details for Bonemerang" display="http://pokemondb.net/move/bonemerang" xr:uid="{00000000-0004-0000-0100-000064000000}"/>
    <hyperlink ref="B52" r:id="rId102" display="http://pokemondb.net/type/ground" xr:uid="{00000000-0004-0000-0100-000065000000}"/>
    <hyperlink ref="A53" r:id="rId103" tooltip="View details for Boomburst" display="http://pokemondb.net/move/boomburst" xr:uid="{00000000-0004-0000-0100-000066000000}"/>
    <hyperlink ref="B53" r:id="rId104" display="http://pokemondb.net/type/normal" xr:uid="{00000000-0004-0000-0100-000067000000}"/>
    <hyperlink ref="A54" r:id="rId105" tooltip="View details for Bounce" display="http://pokemondb.net/move/bounce" xr:uid="{00000000-0004-0000-0100-000068000000}"/>
    <hyperlink ref="B54" r:id="rId106" display="http://pokemondb.net/type/flying" xr:uid="{00000000-0004-0000-0100-000069000000}"/>
    <hyperlink ref="A55" r:id="rId107" tooltip="View details for Brave Bird" display="http://pokemondb.net/move/brave-bird" xr:uid="{00000000-0004-0000-0100-00006A000000}"/>
    <hyperlink ref="B55" r:id="rId108" display="http://pokemondb.net/type/flying" xr:uid="{00000000-0004-0000-0100-00006B000000}"/>
    <hyperlink ref="A56" r:id="rId109" tooltip="View details for Brick Break" display="http://pokemondb.net/move/brick-break" xr:uid="{00000000-0004-0000-0100-00006C000000}"/>
    <hyperlink ref="B56" r:id="rId110" display="http://pokemondb.net/type/fighting" xr:uid="{00000000-0004-0000-0100-00006D000000}"/>
    <hyperlink ref="A57" r:id="rId111" tooltip="View details for Brine" display="http://pokemondb.net/move/brine" xr:uid="{00000000-0004-0000-0100-00006E000000}"/>
    <hyperlink ref="B57" r:id="rId112" display="http://pokemondb.net/type/water" xr:uid="{00000000-0004-0000-0100-00006F000000}"/>
    <hyperlink ref="A58" r:id="rId113" tooltip="View details for Bubble" display="http://pokemondb.net/move/bubble" xr:uid="{00000000-0004-0000-0100-000070000000}"/>
    <hyperlink ref="B58" r:id="rId114" display="http://pokemondb.net/type/water" xr:uid="{00000000-0004-0000-0100-000071000000}"/>
    <hyperlink ref="A59" r:id="rId115" tooltip="View details for BubbleBeam" display="http://pokemondb.net/move/bubblebeam" xr:uid="{00000000-0004-0000-0100-000072000000}"/>
    <hyperlink ref="B59" r:id="rId116" display="http://pokemondb.net/type/water" xr:uid="{00000000-0004-0000-0100-000073000000}"/>
    <hyperlink ref="A60" r:id="rId117" tooltip="View details for Bug Bite" display="http://pokemondb.net/move/bug-bite" xr:uid="{00000000-0004-0000-0100-000074000000}"/>
    <hyperlink ref="B60" r:id="rId118" display="http://pokemondb.net/type/bug" xr:uid="{00000000-0004-0000-0100-000075000000}"/>
    <hyperlink ref="A61" r:id="rId119" tooltip="View details for Bug Buzz" display="http://pokemondb.net/move/bug-buzz" xr:uid="{00000000-0004-0000-0100-000076000000}"/>
    <hyperlink ref="B61" r:id="rId120" display="http://pokemondb.net/type/bug" xr:uid="{00000000-0004-0000-0100-000077000000}"/>
    <hyperlink ref="A62" r:id="rId121" tooltip="View details for Bulk Up" display="http://pokemondb.net/move/bulk-up" xr:uid="{00000000-0004-0000-0100-000078000000}"/>
    <hyperlink ref="B62" r:id="rId122" display="http://pokemondb.net/type/fighting" xr:uid="{00000000-0004-0000-0100-000079000000}"/>
    <hyperlink ref="A63" r:id="rId123" tooltip="View details for Bulldoze" display="http://pokemondb.net/move/bulldoze" xr:uid="{00000000-0004-0000-0100-00007A000000}"/>
    <hyperlink ref="B63" r:id="rId124" display="http://pokemondb.net/type/ground" xr:uid="{00000000-0004-0000-0100-00007B000000}"/>
    <hyperlink ref="A64" r:id="rId125" tooltip="View details for Bullet Punch" display="http://pokemondb.net/move/bullet-punch" xr:uid="{00000000-0004-0000-0100-00007C000000}"/>
    <hyperlink ref="B64" r:id="rId126" display="http://pokemondb.net/type/steel" xr:uid="{00000000-0004-0000-0100-00007D000000}"/>
    <hyperlink ref="A65" r:id="rId127" tooltip="View details for Bullet Seed" display="http://pokemondb.net/move/bullet-seed" xr:uid="{00000000-0004-0000-0100-00007E000000}"/>
    <hyperlink ref="B65" r:id="rId128" display="http://pokemondb.net/type/grass" xr:uid="{00000000-0004-0000-0100-00007F000000}"/>
    <hyperlink ref="A66" r:id="rId129" tooltip="View details for Calm Mind" display="http://pokemondb.net/move/calm-mind" xr:uid="{00000000-0004-0000-0100-000080000000}"/>
    <hyperlink ref="B66" r:id="rId130" display="http://pokemondb.net/type/psychic" xr:uid="{00000000-0004-0000-0100-000081000000}"/>
    <hyperlink ref="A67" r:id="rId131" tooltip="View details for Camouflage" display="http://pokemondb.net/move/camouflage" xr:uid="{00000000-0004-0000-0100-000082000000}"/>
    <hyperlink ref="B67" r:id="rId132" display="http://pokemondb.net/type/normal" xr:uid="{00000000-0004-0000-0100-000083000000}"/>
    <hyperlink ref="A68" r:id="rId133" tooltip="View details for Captivate" display="http://pokemondb.net/move/captivate" xr:uid="{00000000-0004-0000-0100-000084000000}"/>
    <hyperlink ref="B68" r:id="rId134" display="http://pokemondb.net/type/normal" xr:uid="{00000000-0004-0000-0100-000085000000}"/>
    <hyperlink ref="A69" r:id="rId135" tooltip="View details for Charge" display="http://pokemondb.net/move/charge" xr:uid="{00000000-0004-0000-0100-000086000000}"/>
    <hyperlink ref="B69" r:id="rId136" display="http://pokemondb.net/type/electric" xr:uid="{00000000-0004-0000-0100-000087000000}"/>
    <hyperlink ref="A70" r:id="rId137" tooltip="View details for Charge Beam" display="http://pokemondb.net/move/charge-beam" xr:uid="{00000000-0004-0000-0100-000088000000}"/>
    <hyperlink ref="B70" r:id="rId138" display="http://pokemondb.net/type/electric" xr:uid="{00000000-0004-0000-0100-000089000000}"/>
    <hyperlink ref="A71" r:id="rId139" tooltip="View details for Charm" display="http://pokemondb.net/move/charm" xr:uid="{00000000-0004-0000-0100-00008A000000}"/>
    <hyperlink ref="B71" r:id="rId140" display="http://pokemondb.net/type/fairy" xr:uid="{00000000-0004-0000-0100-00008B000000}"/>
    <hyperlink ref="A72" r:id="rId141" tooltip="View details for Chatter" display="http://pokemondb.net/move/chatter" xr:uid="{00000000-0004-0000-0100-00008C000000}"/>
    <hyperlink ref="B72" r:id="rId142" display="http://pokemondb.net/type/flying" xr:uid="{00000000-0004-0000-0100-00008D000000}"/>
    <hyperlink ref="A73" r:id="rId143" tooltip="View details for Chip Away" display="http://pokemondb.net/move/chip-away" xr:uid="{00000000-0004-0000-0100-00008E000000}"/>
    <hyperlink ref="B73" r:id="rId144" display="http://pokemondb.net/type/normal" xr:uid="{00000000-0004-0000-0100-00008F000000}"/>
    <hyperlink ref="A74" r:id="rId145" tooltip="View details for Circle Throw" display="http://pokemondb.net/move/circle-throw" xr:uid="{00000000-0004-0000-0100-000090000000}"/>
    <hyperlink ref="B74" r:id="rId146" display="http://pokemondb.net/type/fighting" xr:uid="{00000000-0004-0000-0100-000091000000}"/>
    <hyperlink ref="A75" r:id="rId147" tooltip="View details for Clamp" display="http://pokemondb.net/move/clamp" xr:uid="{00000000-0004-0000-0100-000092000000}"/>
    <hyperlink ref="B75" r:id="rId148" display="http://pokemondb.net/type/water" xr:uid="{00000000-0004-0000-0100-000093000000}"/>
    <hyperlink ref="A76" r:id="rId149" tooltip="View details for Clear Smog" display="http://pokemondb.net/move/clear-smog" xr:uid="{00000000-0004-0000-0100-000094000000}"/>
    <hyperlink ref="B76" r:id="rId150" display="http://pokemondb.net/type/poison" xr:uid="{00000000-0004-0000-0100-000095000000}"/>
    <hyperlink ref="A77" r:id="rId151" tooltip="View details for Close Combat" display="http://pokemondb.net/move/close-combat" xr:uid="{00000000-0004-0000-0100-000096000000}"/>
    <hyperlink ref="B77" r:id="rId152" display="http://pokemondb.net/type/fighting" xr:uid="{00000000-0004-0000-0100-000097000000}"/>
    <hyperlink ref="A78" r:id="rId153" tooltip="View details for Coil" display="http://pokemondb.net/move/coil" xr:uid="{00000000-0004-0000-0100-000098000000}"/>
    <hyperlink ref="B78" r:id="rId154" display="http://pokemondb.net/type/poison" xr:uid="{00000000-0004-0000-0100-000099000000}"/>
    <hyperlink ref="A79" r:id="rId155" tooltip="View details for Comet Punch" display="http://pokemondb.net/move/comet-punch" xr:uid="{00000000-0004-0000-0100-00009A000000}"/>
    <hyperlink ref="B79" r:id="rId156" display="http://pokemondb.net/type/normal" xr:uid="{00000000-0004-0000-0100-00009B000000}"/>
    <hyperlink ref="A80" r:id="rId157" tooltip="View details for Confide" display="http://pokemondb.net/move/confide" xr:uid="{00000000-0004-0000-0100-00009C000000}"/>
    <hyperlink ref="B80" r:id="rId158" display="http://pokemondb.net/type/normal" xr:uid="{00000000-0004-0000-0100-00009D000000}"/>
    <hyperlink ref="A81" r:id="rId159" tooltip="View details for Confuse Ray" display="http://pokemondb.net/move/confuse-ray" xr:uid="{00000000-0004-0000-0100-00009E000000}"/>
    <hyperlink ref="B81" r:id="rId160" display="http://pokemondb.net/type/ghost" xr:uid="{00000000-0004-0000-0100-00009F000000}"/>
    <hyperlink ref="A82" r:id="rId161" tooltip="View details for Confusion" display="http://pokemondb.net/move/confusion" xr:uid="{00000000-0004-0000-0100-0000A0000000}"/>
    <hyperlink ref="B82" r:id="rId162" display="http://pokemondb.net/type/psychic" xr:uid="{00000000-0004-0000-0100-0000A1000000}"/>
    <hyperlink ref="A83" r:id="rId163" tooltip="View details for Constrict" display="http://pokemondb.net/move/constrict" xr:uid="{00000000-0004-0000-0100-0000A2000000}"/>
    <hyperlink ref="B83" r:id="rId164" display="http://pokemondb.net/type/normal" xr:uid="{00000000-0004-0000-0100-0000A3000000}"/>
    <hyperlink ref="A84" r:id="rId165" tooltip="View details for Conversion" display="http://pokemondb.net/move/conversion" xr:uid="{00000000-0004-0000-0100-0000A4000000}"/>
    <hyperlink ref="B84" r:id="rId166" display="http://pokemondb.net/type/normal" xr:uid="{00000000-0004-0000-0100-0000A5000000}"/>
    <hyperlink ref="A85" r:id="rId167" tooltip="View details for Conversion 2" display="http://pokemondb.net/move/conversion-2" xr:uid="{00000000-0004-0000-0100-0000A6000000}"/>
    <hyperlink ref="B85" r:id="rId168" display="http://pokemondb.net/type/normal" xr:uid="{00000000-0004-0000-0100-0000A7000000}"/>
    <hyperlink ref="A86" r:id="rId169" tooltip="View details for Copycat" display="http://pokemondb.net/move/copycat" xr:uid="{00000000-0004-0000-0100-0000A8000000}"/>
    <hyperlink ref="B86" r:id="rId170" display="http://pokemondb.net/type/normal" xr:uid="{00000000-0004-0000-0100-0000A9000000}"/>
    <hyperlink ref="A87" r:id="rId171" tooltip="View details for Cosmic Power" display="http://pokemondb.net/move/cosmic-power" xr:uid="{00000000-0004-0000-0100-0000AA000000}"/>
    <hyperlink ref="B87" r:id="rId172" display="http://pokemondb.net/type/psychic" xr:uid="{00000000-0004-0000-0100-0000AB000000}"/>
    <hyperlink ref="A88" r:id="rId173" tooltip="View details for Cotton Guard" display="http://pokemondb.net/move/cotton-guard" xr:uid="{00000000-0004-0000-0100-0000AC000000}"/>
    <hyperlink ref="B88" r:id="rId174" display="http://pokemondb.net/type/grass" xr:uid="{00000000-0004-0000-0100-0000AD000000}"/>
    <hyperlink ref="A89" r:id="rId175" tooltip="View details for Cotton Spore" display="http://pokemondb.net/move/cotton-spore" xr:uid="{00000000-0004-0000-0100-0000AE000000}"/>
    <hyperlink ref="B89" r:id="rId176" display="http://pokemondb.net/type/grass" xr:uid="{00000000-0004-0000-0100-0000AF000000}"/>
    <hyperlink ref="A90" r:id="rId177" tooltip="View details for Counter" display="http://pokemondb.net/move/counter" xr:uid="{00000000-0004-0000-0100-0000B0000000}"/>
    <hyperlink ref="B90" r:id="rId178" display="http://pokemondb.net/type/fighting" xr:uid="{00000000-0004-0000-0100-0000B1000000}"/>
    <hyperlink ref="A91" r:id="rId179" tooltip="View details for Covet" display="http://pokemondb.net/move/covet" xr:uid="{00000000-0004-0000-0100-0000B2000000}"/>
    <hyperlink ref="B91" r:id="rId180" display="http://pokemondb.net/type/normal" xr:uid="{00000000-0004-0000-0100-0000B3000000}"/>
    <hyperlink ref="A92" r:id="rId181" tooltip="View details for Crabhammer" display="http://pokemondb.net/move/crabhammer" xr:uid="{00000000-0004-0000-0100-0000B4000000}"/>
    <hyperlink ref="B92" r:id="rId182" display="http://pokemondb.net/type/water" xr:uid="{00000000-0004-0000-0100-0000B5000000}"/>
    <hyperlink ref="A93" r:id="rId183" tooltip="View details for Crafty Shield" display="http://pokemondb.net/move/crafty-shield" xr:uid="{00000000-0004-0000-0100-0000B6000000}"/>
    <hyperlink ref="B93" r:id="rId184" display="http://pokemondb.net/type/fairy" xr:uid="{00000000-0004-0000-0100-0000B7000000}"/>
    <hyperlink ref="A94" r:id="rId185" tooltip="View details for Cross Chop" display="http://pokemondb.net/move/cross-chop" xr:uid="{00000000-0004-0000-0100-0000B8000000}"/>
    <hyperlink ref="B94" r:id="rId186" display="http://pokemondb.net/type/fighting" xr:uid="{00000000-0004-0000-0100-0000B9000000}"/>
    <hyperlink ref="A95" r:id="rId187" tooltip="View details for Cross Poison" display="http://pokemondb.net/move/cross-poison" xr:uid="{00000000-0004-0000-0100-0000BA000000}"/>
    <hyperlink ref="B95" r:id="rId188" display="http://pokemondb.net/type/poison" xr:uid="{00000000-0004-0000-0100-0000BB000000}"/>
    <hyperlink ref="A96" r:id="rId189" tooltip="View details for Crunch" display="http://pokemondb.net/move/crunch" xr:uid="{00000000-0004-0000-0100-0000BC000000}"/>
    <hyperlink ref="B96" r:id="rId190" display="http://pokemondb.net/type/dark" xr:uid="{00000000-0004-0000-0100-0000BD000000}"/>
    <hyperlink ref="A97" r:id="rId191" tooltip="View details for Crush Claw" display="http://pokemondb.net/move/crush-claw" xr:uid="{00000000-0004-0000-0100-0000BE000000}"/>
    <hyperlink ref="B97" r:id="rId192" display="http://pokemondb.net/type/normal" xr:uid="{00000000-0004-0000-0100-0000BF000000}"/>
    <hyperlink ref="A98" r:id="rId193" tooltip="View details for Crush Grip" display="http://pokemondb.net/move/crush-grip" xr:uid="{00000000-0004-0000-0100-0000C0000000}"/>
    <hyperlink ref="B98" r:id="rId194" display="http://pokemondb.net/type/normal" xr:uid="{00000000-0004-0000-0100-0000C1000000}"/>
    <hyperlink ref="A99" r:id="rId195" tooltip="View details for Curse" display="http://pokemondb.net/move/curse" xr:uid="{00000000-0004-0000-0100-0000C2000000}"/>
    <hyperlink ref="B99" r:id="rId196" display="http://pokemondb.net/type/ghost" xr:uid="{00000000-0004-0000-0100-0000C3000000}"/>
    <hyperlink ref="A100" r:id="rId197" tooltip="View details for Cut" display="http://pokemondb.net/move/cut" xr:uid="{00000000-0004-0000-0100-0000C4000000}"/>
    <hyperlink ref="B100" r:id="rId198" display="http://pokemondb.net/type/normal" xr:uid="{00000000-0004-0000-0100-0000C5000000}"/>
    <hyperlink ref="A101" r:id="rId199" tooltip="View details for Dark Pulse" display="http://pokemondb.net/move/dark-pulse" xr:uid="{00000000-0004-0000-0100-0000C6000000}"/>
    <hyperlink ref="B101" r:id="rId200" display="http://pokemondb.net/type/dark" xr:uid="{00000000-0004-0000-0100-0000C7000000}"/>
    <hyperlink ref="A102" r:id="rId201" tooltip="View details for Dark Void" display="http://pokemondb.net/move/dark-void" xr:uid="{00000000-0004-0000-0100-0000C8000000}"/>
    <hyperlink ref="B102" r:id="rId202" display="http://pokemondb.net/type/dark" xr:uid="{00000000-0004-0000-0100-0000C9000000}"/>
    <hyperlink ref="A103" r:id="rId203" tooltip="View details for Dazzling Gleam" display="http://pokemondb.net/move/dazzling-gleam" xr:uid="{00000000-0004-0000-0100-0000CA000000}"/>
    <hyperlink ref="B103" r:id="rId204" display="http://pokemondb.net/type/fairy" xr:uid="{00000000-0004-0000-0100-0000CB000000}"/>
    <hyperlink ref="A104" r:id="rId205" tooltip="View details for Defend Order" display="http://pokemondb.net/move/defend-order" xr:uid="{00000000-0004-0000-0100-0000CC000000}"/>
    <hyperlink ref="B104" r:id="rId206" display="http://pokemondb.net/type/bug" xr:uid="{00000000-0004-0000-0100-0000CD000000}"/>
    <hyperlink ref="A105" r:id="rId207" tooltip="View details for Defense Curl" display="http://pokemondb.net/move/defense-curl" xr:uid="{00000000-0004-0000-0100-0000CE000000}"/>
    <hyperlink ref="B105" r:id="rId208" display="http://pokemondb.net/type/normal" xr:uid="{00000000-0004-0000-0100-0000CF000000}"/>
    <hyperlink ref="A106" r:id="rId209" tooltip="View details for Defog" display="http://pokemondb.net/move/defog" xr:uid="{00000000-0004-0000-0100-0000D0000000}"/>
    <hyperlink ref="B106" r:id="rId210" display="http://pokemondb.net/type/flying" xr:uid="{00000000-0004-0000-0100-0000D1000000}"/>
    <hyperlink ref="A107" r:id="rId211" tooltip="View details for Destiny Bond" display="http://pokemondb.net/move/destiny-bond" xr:uid="{00000000-0004-0000-0100-0000D2000000}"/>
    <hyperlink ref="B107" r:id="rId212" display="http://pokemondb.net/type/ghost" xr:uid="{00000000-0004-0000-0100-0000D3000000}"/>
    <hyperlink ref="A108" r:id="rId213" tooltip="View details for Detect" display="http://pokemondb.net/move/detect" xr:uid="{00000000-0004-0000-0100-0000D4000000}"/>
    <hyperlink ref="B108" r:id="rId214" display="http://pokemondb.net/type/fighting" xr:uid="{00000000-0004-0000-0100-0000D5000000}"/>
    <hyperlink ref="A109" r:id="rId215" tooltip="View details for Dig" display="http://pokemondb.net/move/dig" xr:uid="{00000000-0004-0000-0100-0000D6000000}"/>
    <hyperlink ref="B109" r:id="rId216" display="http://pokemondb.net/type/ground" xr:uid="{00000000-0004-0000-0100-0000D7000000}"/>
    <hyperlink ref="A110" r:id="rId217" tooltip="View details for Disable" display="http://pokemondb.net/move/disable" xr:uid="{00000000-0004-0000-0100-0000D8000000}"/>
    <hyperlink ref="B110" r:id="rId218" display="http://pokemondb.net/type/normal" xr:uid="{00000000-0004-0000-0100-0000D9000000}"/>
    <hyperlink ref="A111" r:id="rId219" tooltip="View details for Disarming Voice" display="http://pokemondb.net/move/disarming-voice" xr:uid="{00000000-0004-0000-0100-0000DA000000}"/>
    <hyperlink ref="B111" r:id="rId220" display="http://pokemondb.net/type/fairy" xr:uid="{00000000-0004-0000-0100-0000DB000000}"/>
    <hyperlink ref="A112" r:id="rId221" tooltip="View details for Discharge" display="http://pokemondb.net/move/discharge" xr:uid="{00000000-0004-0000-0100-0000DC000000}"/>
    <hyperlink ref="B112" r:id="rId222" display="http://pokemondb.net/type/electric" xr:uid="{00000000-0004-0000-0100-0000DD000000}"/>
    <hyperlink ref="A113" r:id="rId223" tooltip="View details for Dive" display="http://pokemondb.net/move/dive" xr:uid="{00000000-0004-0000-0100-0000DE000000}"/>
    <hyperlink ref="B113" r:id="rId224" display="http://pokemondb.net/type/water" xr:uid="{00000000-0004-0000-0100-0000DF000000}"/>
    <hyperlink ref="A114" r:id="rId225" tooltip="View details for Dizzy Punch" display="http://pokemondb.net/move/dizzy-punch" xr:uid="{00000000-0004-0000-0100-0000E0000000}"/>
    <hyperlink ref="B114" r:id="rId226" display="http://pokemondb.net/type/normal" xr:uid="{00000000-0004-0000-0100-0000E1000000}"/>
    <hyperlink ref="A115" r:id="rId227" tooltip="View details for Doom Desire" display="http://pokemondb.net/move/doom-desire" xr:uid="{00000000-0004-0000-0100-0000E2000000}"/>
    <hyperlink ref="B115" r:id="rId228" display="http://pokemondb.net/type/steel" xr:uid="{00000000-0004-0000-0100-0000E3000000}"/>
    <hyperlink ref="A116" r:id="rId229" tooltip="View details for Double Hit" display="http://pokemondb.net/move/double-hit" xr:uid="{00000000-0004-0000-0100-0000E4000000}"/>
    <hyperlink ref="B116" r:id="rId230" display="http://pokemondb.net/type/normal" xr:uid="{00000000-0004-0000-0100-0000E5000000}"/>
    <hyperlink ref="A117" r:id="rId231" tooltip="View details for Double Kick" display="http://pokemondb.net/move/double-kick" xr:uid="{00000000-0004-0000-0100-0000E6000000}"/>
    <hyperlink ref="B117" r:id="rId232" display="http://pokemondb.net/type/fighting" xr:uid="{00000000-0004-0000-0100-0000E7000000}"/>
    <hyperlink ref="A118" r:id="rId233" tooltip="View details for Double Team" display="http://pokemondb.net/move/double-team" xr:uid="{00000000-0004-0000-0100-0000E8000000}"/>
    <hyperlink ref="B118" r:id="rId234" display="http://pokemondb.net/type/normal" xr:uid="{00000000-0004-0000-0100-0000E9000000}"/>
    <hyperlink ref="A119" r:id="rId235" tooltip="View details for Double-Edge" display="http://pokemondb.net/move/double-edge" xr:uid="{00000000-0004-0000-0100-0000EA000000}"/>
    <hyperlink ref="B119" r:id="rId236" display="http://pokemondb.net/type/normal" xr:uid="{00000000-0004-0000-0100-0000EB000000}"/>
    <hyperlink ref="A120" r:id="rId237" tooltip="View details for DoubleSlap" display="http://pokemondb.net/move/doubleslap" xr:uid="{00000000-0004-0000-0100-0000EC000000}"/>
    <hyperlink ref="B120" r:id="rId238" display="http://pokemondb.net/type/normal" xr:uid="{00000000-0004-0000-0100-0000ED000000}"/>
    <hyperlink ref="A121" r:id="rId239" tooltip="View details for Draco Meteor" display="http://pokemondb.net/move/draco-meteor" xr:uid="{00000000-0004-0000-0100-0000EE000000}"/>
    <hyperlink ref="B121" r:id="rId240" display="http://pokemondb.net/type/dragon" xr:uid="{00000000-0004-0000-0100-0000EF000000}"/>
    <hyperlink ref="A122" r:id="rId241" tooltip="View details for Dragon Claw" display="http://pokemondb.net/move/dragon-claw" xr:uid="{00000000-0004-0000-0100-0000F0000000}"/>
    <hyperlink ref="B122" r:id="rId242" display="http://pokemondb.net/type/dragon" xr:uid="{00000000-0004-0000-0100-0000F1000000}"/>
    <hyperlink ref="A123" r:id="rId243" tooltip="View details for Dragon Dance" display="http://pokemondb.net/move/dragon-dance" xr:uid="{00000000-0004-0000-0100-0000F2000000}"/>
    <hyperlink ref="B123" r:id="rId244" display="http://pokemondb.net/type/dragon" xr:uid="{00000000-0004-0000-0100-0000F3000000}"/>
    <hyperlink ref="A124" r:id="rId245" tooltip="View details for Dragon Pulse" display="http://pokemondb.net/move/dragon-pulse" xr:uid="{00000000-0004-0000-0100-0000F4000000}"/>
    <hyperlink ref="B124" r:id="rId246" display="http://pokemondb.net/type/dragon" xr:uid="{00000000-0004-0000-0100-0000F5000000}"/>
    <hyperlink ref="A125" r:id="rId247" tooltip="View details for Dragon Rage" display="http://pokemondb.net/move/dragon-rage" xr:uid="{00000000-0004-0000-0100-0000F6000000}"/>
    <hyperlink ref="B125" r:id="rId248" display="http://pokemondb.net/type/dragon" xr:uid="{00000000-0004-0000-0100-0000F7000000}"/>
    <hyperlink ref="A126" r:id="rId249" tooltip="View details for Dragon Rush" display="http://pokemondb.net/move/dragon-rush" xr:uid="{00000000-0004-0000-0100-0000F8000000}"/>
    <hyperlink ref="B126" r:id="rId250" display="http://pokemondb.net/type/dragon" xr:uid="{00000000-0004-0000-0100-0000F9000000}"/>
    <hyperlink ref="A127" r:id="rId251" tooltip="View details for Dragon Tail" display="http://pokemondb.net/move/dragon-tail" xr:uid="{00000000-0004-0000-0100-0000FA000000}"/>
    <hyperlink ref="B127" r:id="rId252" display="http://pokemondb.net/type/dragon" xr:uid="{00000000-0004-0000-0100-0000FB000000}"/>
    <hyperlink ref="A128" r:id="rId253" tooltip="View details for DragonBreath" display="http://pokemondb.net/move/dragonbreath" xr:uid="{00000000-0004-0000-0100-0000FC000000}"/>
    <hyperlink ref="B128" r:id="rId254" display="http://pokemondb.net/type/dragon" xr:uid="{00000000-0004-0000-0100-0000FD000000}"/>
    <hyperlink ref="A129" r:id="rId255" tooltip="View details for Drain Punch" display="http://pokemondb.net/move/drain-punch" xr:uid="{00000000-0004-0000-0100-0000FE000000}"/>
    <hyperlink ref="B129" r:id="rId256" display="http://pokemondb.net/type/fighting" xr:uid="{00000000-0004-0000-0100-0000FF000000}"/>
    <hyperlink ref="A130" r:id="rId257" tooltip="View details for Draining Kiss" display="http://pokemondb.net/move/draining-kiss" xr:uid="{00000000-0004-0000-0100-000000010000}"/>
    <hyperlink ref="B130" r:id="rId258" display="http://pokemondb.net/type/fairy" xr:uid="{00000000-0004-0000-0100-000001010000}"/>
    <hyperlink ref="A131" r:id="rId259" tooltip="View details for Dream Eater" display="http://pokemondb.net/move/dream-eater" xr:uid="{00000000-0004-0000-0100-000002010000}"/>
    <hyperlink ref="B131" r:id="rId260" display="http://pokemondb.net/type/psychic" xr:uid="{00000000-0004-0000-0100-000003010000}"/>
    <hyperlink ref="A132" r:id="rId261" tooltip="View details for Drill Peck" display="http://pokemondb.net/move/drill-peck" xr:uid="{00000000-0004-0000-0100-000004010000}"/>
    <hyperlink ref="B132" r:id="rId262" display="http://pokemondb.net/type/flying" xr:uid="{00000000-0004-0000-0100-000005010000}"/>
    <hyperlink ref="A133" r:id="rId263" tooltip="View details for Drill Run" display="http://pokemondb.net/move/drill-run" xr:uid="{00000000-0004-0000-0100-000006010000}"/>
    <hyperlink ref="B133" r:id="rId264" display="http://pokemondb.net/type/ground" xr:uid="{00000000-0004-0000-0100-000007010000}"/>
    <hyperlink ref="A134" r:id="rId265" tooltip="View details for Dual Chop" display="http://pokemondb.net/move/dual-chop" xr:uid="{00000000-0004-0000-0100-000008010000}"/>
    <hyperlink ref="B134" r:id="rId266" display="http://pokemondb.net/type/dragon" xr:uid="{00000000-0004-0000-0100-000009010000}"/>
    <hyperlink ref="A135" r:id="rId267" tooltip="View details for DynamicPunch" display="http://pokemondb.net/move/dynamicpunch" xr:uid="{00000000-0004-0000-0100-00000A010000}"/>
    <hyperlink ref="B135" r:id="rId268" display="http://pokemondb.net/type/fighting" xr:uid="{00000000-0004-0000-0100-00000B010000}"/>
    <hyperlink ref="A136" r:id="rId269" tooltip="View details for Earth Power" display="http://pokemondb.net/move/earth-power" xr:uid="{00000000-0004-0000-0100-00000C010000}"/>
    <hyperlink ref="B136" r:id="rId270" display="http://pokemondb.net/type/ground" xr:uid="{00000000-0004-0000-0100-00000D010000}"/>
    <hyperlink ref="A137" r:id="rId271" tooltip="View details for Earthquake" display="http://pokemondb.net/move/earthquake" xr:uid="{00000000-0004-0000-0100-00000E010000}"/>
    <hyperlink ref="B137" r:id="rId272" display="http://pokemondb.net/type/ground" xr:uid="{00000000-0004-0000-0100-00000F010000}"/>
    <hyperlink ref="A138" r:id="rId273" tooltip="View details for Echoed Voice" display="http://pokemondb.net/move/echoed-voice" xr:uid="{00000000-0004-0000-0100-000010010000}"/>
    <hyperlink ref="B138" r:id="rId274" display="http://pokemondb.net/type/normal" xr:uid="{00000000-0004-0000-0100-000011010000}"/>
    <hyperlink ref="A139" r:id="rId275" tooltip="View details for Eerie Impulse" display="http://pokemondb.net/move/eerie-impulse" xr:uid="{00000000-0004-0000-0100-000012010000}"/>
    <hyperlink ref="B139" r:id="rId276" display="http://pokemondb.net/type/electric" xr:uid="{00000000-0004-0000-0100-000013010000}"/>
    <hyperlink ref="A140" r:id="rId277" tooltip="View details for Egg Bomb" display="http://pokemondb.net/move/egg-bomb" xr:uid="{00000000-0004-0000-0100-000014010000}"/>
    <hyperlink ref="B140" r:id="rId278" display="http://pokemondb.net/type/normal" xr:uid="{00000000-0004-0000-0100-000015010000}"/>
    <hyperlink ref="A141" r:id="rId279" tooltip="View details for Electric Terrain" display="http://pokemondb.net/move/electric-terrain" xr:uid="{00000000-0004-0000-0100-000016010000}"/>
    <hyperlink ref="B141" r:id="rId280" display="http://pokemondb.net/type/electric" xr:uid="{00000000-0004-0000-0100-000017010000}"/>
    <hyperlink ref="A142" r:id="rId281" tooltip="View details for Electrify" display="http://pokemondb.net/move/electrify" xr:uid="{00000000-0004-0000-0100-000018010000}"/>
    <hyperlink ref="B142" r:id="rId282" display="http://pokemondb.net/type/electric" xr:uid="{00000000-0004-0000-0100-000019010000}"/>
    <hyperlink ref="A143" r:id="rId283" tooltip="View details for Electro Ball" display="http://pokemondb.net/move/electro-ball" xr:uid="{00000000-0004-0000-0100-00001A010000}"/>
    <hyperlink ref="B143" r:id="rId284" display="http://pokemondb.net/type/electric" xr:uid="{00000000-0004-0000-0100-00001B010000}"/>
    <hyperlink ref="A144" r:id="rId285" tooltip="View details for Electroweb" display="http://pokemondb.net/move/electroweb" xr:uid="{00000000-0004-0000-0100-00001C010000}"/>
    <hyperlink ref="B144" r:id="rId286" display="http://pokemondb.net/type/electric" xr:uid="{00000000-0004-0000-0100-00001D010000}"/>
    <hyperlink ref="A145" r:id="rId287" tooltip="View details for Embargo" display="http://pokemondb.net/move/embargo" xr:uid="{00000000-0004-0000-0100-00001E010000}"/>
    <hyperlink ref="B145" r:id="rId288" display="http://pokemondb.net/type/dark" xr:uid="{00000000-0004-0000-0100-00001F010000}"/>
    <hyperlink ref="A146" r:id="rId289" tooltip="View details for Ember" display="http://pokemondb.net/move/ember" xr:uid="{00000000-0004-0000-0100-000020010000}"/>
    <hyperlink ref="B146" r:id="rId290" display="http://pokemondb.net/type/fire" xr:uid="{00000000-0004-0000-0100-000021010000}"/>
    <hyperlink ref="A147" r:id="rId291" tooltip="View details for Encore" display="http://pokemondb.net/move/encore" xr:uid="{00000000-0004-0000-0100-000022010000}"/>
    <hyperlink ref="B147" r:id="rId292" display="http://pokemondb.net/type/normal" xr:uid="{00000000-0004-0000-0100-000023010000}"/>
    <hyperlink ref="A148" r:id="rId293" tooltip="View details for Endeavor" display="http://pokemondb.net/move/endeavor" xr:uid="{00000000-0004-0000-0100-000024010000}"/>
    <hyperlink ref="B148" r:id="rId294" display="http://pokemondb.net/type/normal" xr:uid="{00000000-0004-0000-0100-000025010000}"/>
    <hyperlink ref="A149" r:id="rId295" tooltip="View details for Endure" display="http://pokemondb.net/move/endure" xr:uid="{00000000-0004-0000-0100-000026010000}"/>
    <hyperlink ref="B149" r:id="rId296" display="http://pokemondb.net/type/normal" xr:uid="{00000000-0004-0000-0100-000027010000}"/>
    <hyperlink ref="A150" r:id="rId297" tooltip="View details for Energy Ball" display="http://pokemondb.net/move/energy-ball" xr:uid="{00000000-0004-0000-0100-000028010000}"/>
    <hyperlink ref="B150" r:id="rId298" display="http://pokemondb.net/type/grass" xr:uid="{00000000-0004-0000-0100-000029010000}"/>
    <hyperlink ref="A151" r:id="rId299" tooltip="View details for Entrainment" display="http://pokemondb.net/move/entrainment" xr:uid="{00000000-0004-0000-0100-00002A010000}"/>
    <hyperlink ref="B151" r:id="rId300" display="http://pokemondb.net/type/normal" xr:uid="{00000000-0004-0000-0100-00002B010000}"/>
    <hyperlink ref="A152" r:id="rId301" tooltip="View details for Eruption" display="http://pokemondb.net/move/eruption" xr:uid="{00000000-0004-0000-0100-00002C010000}"/>
    <hyperlink ref="B152" r:id="rId302" display="http://pokemondb.net/type/fire" xr:uid="{00000000-0004-0000-0100-00002D010000}"/>
    <hyperlink ref="A153" r:id="rId303" tooltip="View details for Explosion" display="http://pokemondb.net/move/explosion" xr:uid="{00000000-0004-0000-0100-00002E010000}"/>
    <hyperlink ref="B153" r:id="rId304" display="http://pokemondb.net/type/normal" xr:uid="{00000000-0004-0000-0100-00002F010000}"/>
    <hyperlink ref="A154" r:id="rId305" tooltip="View details for Extrasensory" display="http://pokemondb.net/move/extrasensory" xr:uid="{00000000-0004-0000-0100-000030010000}"/>
    <hyperlink ref="B154" r:id="rId306" display="http://pokemondb.net/type/psychic" xr:uid="{00000000-0004-0000-0100-000031010000}"/>
    <hyperlink ref="A155" r:id="rId307" tooltip="View details for ExtremeSpeed" display="http://pokemondb.net/move/extremespeed" xr:uid="{00000000-0004-0000-0100-000032010000}"/>
    <hyperlink ref="B155" r:id="rId308" display="http://pokemondb.net/type/normal" xr:uid="{00000000-0004-0000-0100-000033010000}"/>
    <hyperlink ref="A156" r:id="rId309" tooltip="View details for Facade" display="http://pokemondb.net/move/facade" xr:uid="{00000000-0004-0000-0100-000034010000}"/>
    <hyperlink ref="B156" r:id="rId310" display="http://pokemondb.net/type/normal" xr:uid="{00000000-0004-0000-0100-000035010000}"/>
    <hyperlink ref="A157" r:id="rId311" tooltip="View details for Faint Attack" display="http://pokemondb.net/move/faint-attack" xr:uid="{00000000-0004-0000-0100-000036010000}"/>
    <hyperlink ref="B157" r:id="rId312" display="http://pokemondb.net/type/dark" xr:uid="{00000000-0004-0000-0100-000037010000}"/>
    <hyperlink ref="A158" r:id="rId313" tooltip="View details for Fairy Lock" display="http://pokemondb.net/move/fairy-lock" xr:uid="{00000000-0004-0000-0100-000038010000}"/>
    <hyperlink ref="B158" r:id="rId314" display="http://pokemondb.net/type/fairy" xr:uid="{00000000-0004-0000-0100-000039010000}"/>
    <hyperlink ref="A159" r:id="rId315" tooltip="View details for Fairy Wind" display="http://pokemondb.net/move/fairy-wind" xr:uid="{00000000-0004-0000-0100-00003A010000}"/>
    <hyperlink ref="B159" r:id="rId316" display="http://pokemondb.net/type/fairy" xr:uid="{00000000-0004-0000-0100-00003B010000}"/>
    <hyperlink ref="A160" r:id="rId317" tooltip="View details for Fake Out" display="http://pokemondb.net/move/fake-out" xr:uid="{00000000-0004-0000-0100-00003C010000}"/>
    <hyperlink ref="B160" r:id="rId318" display="http://pokemondb.net/type/normal" xr:uid="{00000000-0004-0000-0100-00003D010000}"/>
    <hyperlink ref="A161" r:id="rId319" tooltip="View details for Fake Tears" display="http://pokemondb.net/move/fake-tears" xr:uid="{00000000-0004-0000-0100-00003E010000}"/>
    <hyperlink ref="B161" r:id="rId320" display="http://pokemondb.net/type/dark" xr:uid="{00000000-0004-0000-0100-00003F010000}"/>
    <hyperlink ref="A162" r:id="rId321" tooltip="View details for False Swipe" display="http://pokemondb.net/move/false-swipe" xr:uid="{00000000-0004-0000-0100-000040010000}"/>
    <hyperlink ref="B162" r:id="rId322" display="http://pokemondb.net/type/normal" xr:uid="{00000000-0004-0000-0100-000041010000}"/>
    <hyperlink ref="A163" r:id="rId323" tooltip="View details for FeatherDance" display="http://pokemondb.net/move/featherdance" xr:uid="{00000000-0004-0000-0100-000042010000}"/>
    <hyperlink ref="B163" r:id="rId324" display="http://pokemondb.net/type/flying" xr:uid="{00000000-0004-0000-0100-000043010000}"/>
    <hyperlink ref="A164" r:id="rId325" tooltip="View details for Feint" display="http://pokemondb.net/move/feint" xr:uid="{00000000-0004-0000-0100-000044010000}"/>
    <hyperlink ref="B164" r:id="rId326" display="http://pokemondb.net/type/normal" xr:uid="{00000000-0004-0000-0100-000045010000}"/>
    <hyperlink ref="A165" r:id="rId327" tooltip="View details for Fell Stinger" display="http://pokemondb.net/move/fell-stinger" xr:uid="{00000000-0004-0000-0100-000046010000}"/>
    <hyperlink ref="B165" r:id="rId328" display="http://pokemondb.net/type/bug" xr:uid="{00000000-0004-0000-0100-000047010000}"/>
    <hyperlink ref="A166" r:id="rId329" tooltip="View details for Fiery Dance" display="http://pokemondb.net/move/fiery-dance" xr:uid="{00000000-0004-0000-0100-000048010000}"/>
    <hyperlink ref="B166" r:id="rId330" display="http://pokemondb.net/type/fire" xr:uid="{00000000-0004-0000-0100-000049010000}"/>
    <hyperlink ref="A167" r:id="rId331" tooltip="View details for Final Gambit" display="http://pokemondb.net/move/final-gambit" xr:uid="{00000000-0004-0000-0100-00004A010000}"/>
    <hyperlink ref="B167" r:id="rId332" display="http://pokemondb.net/type/fighting" xr:uid="{00000000-0004-0000-0100-00004B010000}"/>
    <hyperlink ref="A168" r:id="rId333" tooltip="View details for Fire Blast" display="http://pokemondb.net/move/fire-blast" xr:uid="{00000000-0004-0000-0100-00004C010000}"/>
    <hyperlink ref="B168" r:id="rId334" display="http://pokemondb.net/type/fire" xr:uid="{00000000-0004-0000-0100-00004D010000}"/>
    <hyperlink ref="A169" r:id="rId335" tooltip="View details for Fire Fang" display="http://pokemondb.net/move/fire-fang" xr:uid="{00000000-0004-0000-0100-00004E010000}"/>
    <hyperlink ref="B169" r:id="rId336" display="http://pokemondb.net/type/fire" xr:uid="{00000000-0004-0000-0100-00004F010000}"/>
    <hyperlink ref="A170" r:id="rId337" tooltip="View details for Fire Pledge" display="http://pokemondb.net/move/fire-pledge" xr:uid="{00000000-0004-0000-0100-000050010000}"/>
    <hyperlink ref="B170" r:id="rId338" display="http://pokemondb.net/type/fire" xr:uid="{00000000-0004-0000-0100-000051010000}"/>
    <hyperlink ref="A171" r:id="rId339" tooltip="View details for Fire Punch" display="http://pokemondb.net/move/fire-punch" xr:uid="{00000000-0004-0000-0100-000052010000}"/>
    <hyperlink ref="B171" r:id="rId340" display="http://pokemondb.net/type/fire" xr:uid="{00000000-0004-0000-0100-000053010000}"/>
    <hyperlink ref="A172" r:id="rId341" tooltip="View details for Fire Spin" display="http://pokemondb.net/move/fire-spin" xr:uid="{00000000-0004-0000-0100-000054010000}"/>
    <hyperlink ref="B172" r:id="rId342" display="http://pokemondb.net/type/fire" xr:uid="{00000000-0004-0000-0100-000055010000}"/>
    <hyperlink ref="A173" r:id="rId343" tooltip="View details for Fissure" display="http://pokemondb.net/move/fissure" xr:uid="{00000000-0004-0000-0100-000056010000}"/>
    <hyperlink ref="B173" r:id="rId344" display="http://pokemondb.net/type/ground" xr:uid="{00000000-0004-0000-0100-000057010000}"/>
    <hyperlink ref="A174" r:id="rId345" tooltip="View details for Flail" display="http://pokemondb.net/move/flail" xr:uid="{00000000-0004-0000-0100-000058010000}"/>
    <hyperlink ref="B174" r:id="rId346" display="http://pokemondb.net/type/normal" xr:uid="{00000000-0004-0000-0100-000059010000}"/>
    <hyperlink ref="A175" r:id="rId347" tooltip="View details for Flame Burst" display="http://pokemondb.net/move/flame-burst" xr:uid="{00000000-0004-0000-0100-00005A010000}"/>
    <hyperlink ref="B175" r:id="rId348" display="http://pokemondb.net/type/fire" xr:uid="{00000000-0004-0000-0100-00005B010000}"/>
    <hyperlink ref="A176" r:id="rId349" tooltip="View details for Flame Charge" display="http://pokemondb.net/move/flame-charge" xr:uid="{00000000-0004-0000-0100-00005C010000}"/>
    <hyperlink ref="B176" r:id="rId350" display="http://pokemondb.net/type/fire" xr:uid="{00000000-0004-0000-0100-00005D010000}"/>
    <hyperlink ref="A177" r:id="rId351" tooltip="View details for Flame Wheel" display="http://pokemondb.net/move/flame-wheel" xr:uid="{00000000-0004-0000-0100-00005E010000}"/>
    <hyperlink ref="B177" r:id="rId352" display="http://pokemondb.net/type/fire" xr:uid="{00000000-0004-0000-0100-00005F010000}"/>
    <hyperlink ref="A178" r:id="rId353" tooltip="View details for Flamethrower" display="http://pokemondb.net/move/flamethrower" xr:uid="{00000000-0004-0000-0100-000060010000}"/>
    <hyperlink ref="B178" r:id="rId354" display="http://pokemondb.net/type/fire" xr:uid="{00000000-0004-0000-0100-000061010000}"/>
    <hyperlink ref="A179" r:id="rId355" tooltip="View details for Flare Blitz" display="http://pokemondb.net/move/flare-blitz" xr:uid="{00000000-0004-0000-0100-000062010000}"/>
    <hyperlink ref="B179" r:id="rId356" display="http://pokemondb.net/type/fire" xr:uid="{00000000-0004-0000-0100-000063010000}"/>
    <hyperlink ref="A180" r:id="rId357" tooltip="View details for Flash" display="http://pokemondb.net/move/flash" xr:uid="{00000000-0004-0000-0100-000064010000}"/>
    <hyperlink ref="B180" r:id="rId358" display="http://pokemondb.net/type/normal" xr:uid="{00000000-0004-0000-0100-000065010000}"/>
    <hyperlink ref="A181" r:id="rId359" tooltip="View details for Flash Cannon" display="http://pokemondb.net/move/flash-cannon" xr:uid="{00000000-0004-0000-0100-000066010000}"/>
    <hyperlink ref="B181" r:id="rId360" display="http://pokemondb.net/type/steel" xr:uid="{00000000-0004-0000-0100-000067010000}"/>
    <hyperlink ref="A182" r:id="rId361" tooltip="View details for Flatter" display="http://pokemondb.net/move/flatter" xr:uid="{00000000-0004-0000-0100-000068010000}"/>
    <hyperlink ref="B182" r:id="rId362" display="http://pokemondb.net/type/dark" xr:uid="{00000000-0004-0000-0100-000069010000}"/>
    <hyperlink ref="A183" r:id="rId363" tooltip="View details for Fling" display="http://pokemondb.net/move/fling" xr:uid="{00000000-0004-0000-0100-00006A010000}"/>
    <hyperlink ref="B183" r:id="rId364" display="http://pokemondb.net/type/dark" xr:uid="{00000000-0004-0000-0100-00006B010000}"/>
    <hyperlink ref="A184" r:id="rId365" tooltip="View details for Flower Shield" display="http://pokemondb.net/move/flower-shield" xr:uid="{00000000-0004-0000-0100-00006C010000}"/>
    <hyperlink ref="B184" r:id="rId366" display="http://pokemondb.net/type/fairy" xr:uid="{00000000-0004-0000-0100-00006D010000}"/>
    <hyperlink ref="A185" r:id="rId367" tooltip="View details for Fly" display="http://pokemondb.net/move/fly" xr:uid="{00000000-0004-0000-0100-00006E010000}"/>
    <hyperlink ref="B185" r:id="rId368" display="http://pokemondb.net/type/flying" xr:uid="{00000000-0004-0000-0100-00006F010000}"/>
    <hyperlink ref="A186" r:id="rId369" tooltip="View details for Flying Press" display="http://pokemondb.net/move/flying-press" xr:uid="{00000000-0004-0000-0100-000070010000}"/>
    <hyperlink ref="B186" r:id="rId370" display="http://pokemondb.net/type/fighting" xr:uid="{00000000-0004-0000-0100-000071010000}"/>
    <hyperlink ref="A187" r:id="rId371" tooltip="View details for Focus Blast" display="http://pokemondb.net/move/focus-blast" xr:uid="{00000000-0004-0000-0100-000072010000}"/>
    <hyperlink ref="B187" r:id="rId372" display="http://pokemondb.net/type/fighting" xr:uid="{00000000-0004-0000-0100-000073010000}"/>
    <hyperlink ref="A188" r:id="rId373" tooltip="View details for Focus Energy" display="http://pokemondb.net/move/focus-energy" xr:uid="{00000000-0004-0000-0100-000074010000}"/>
    <hyperlink ref="B188" r:id="rId374" display="http://pokemondb.net/type/normal" xr:uid="{00000000-0004-0000-0100-000075010000}"/>
    <hyperlink ref="A189" r:id="rId375" tooltip="View details for Focus Punch" display="http://pokemondb.net/move/focus-punch" xr:uid="{00000000-0004-0000-0100-000076010000}"/>
    <hyperlink ref="B189" r:id="rId376" display="http://pokemondb.net/type/fighting" xr:uid="{00000000-0004-0000-0100-000077010000}"/>
    <hyperlink ref="A190" r:id="rId377" tooltip="View details for Follow Me" display="http://pokemondb.net/move/follow-me" xr:uid="{00000000-0004-0000-0100-000078010000}"/>
    <hyperlink ref="B190" r:id="rId378" display="http://pokemondb.net/type/normal" xr:uid="{00000000-0004-0000-0100-000079010000}"/>
    <hyperlink ref="A191" r:id="rId379" tooltip="View details for Force Palm" display="http://pokemondb.net/move/force-palm" xr:uid="{00000000-0004-0000-0100-00007A010000}"/>
    <hyperlink ref="B191" r:id="rId380" display="http://pokemondb.net/type/fighting" xr:uid="{00000000-0004-0000-0100-00007B010000}"/>
    <hyperlink ref="A192" r:id="rId381" tooltip="View details for Foresight" display="http://pokemondb.net/move/foresight" xr:uid="{00000000-0004-0000-0100-00007C010000}"/>
    <hyperlink ref="B192" r:id="rId382" display="http://pokemondb.net/type/normal" xr:uid="{00000000-0004-0000-0100-00007D010000}"/>
    <hyperlink ref="A193" r:id="rId383" tooltip="View details for Forest's Curse" display="http://pokemondb.net/move/forests-curse" xr:uid="{00000000-0004-0000-0100-00007E010000}"/>
    <hyperlink ref="B193" r:id="rId384" display="http://pokemondb.net/type/grass" xr:uid="{00000000-0004-0000-0100-00007F010000}"/>
    <hyperlink ref="A194" r:id="rId385" tooltip="View details for Foul Play" display="http://pokemondb.net/move/foul-play" xr:uid="{00000000-0004-0000-0100-000080010000}"/>
    <hyperlink ref="B194" r:id="rId386" display="http://pokemondb.net/type/dark" xr:uid="{00000000-0004-0000-0100-000081010000}"/>
    <hyperlink ref="A195" r:id="rId387" tooltip="View details for Freeze Shock" display="http://pokemondb.net/move/freeze-shock" xr:uid="{00000000-0004-0000-0100-000082010000}"/>
    <hyperlink ref="B195" r:id="rId388" display="http://pokemondb.net/type/ice" xr:uid="{00000000-0004-0000-0100-000083010000}"/>
    <hyperlink ref="A196" r:id="rId389" tooltip="View details for Freeze-Dry" display="http://pokemondb.net/move/freeze-dry" xr:uid="{00000000-0004-0000-0100-000084010000}"/>
    <hyperlink ref="B196" r:id="rId390" display="http://pokemondb.net/type/ice" xr:uid="{00000000-0004-0000-0100-000085010000}"/>
    <hyperlink ref="A197" r:id="rId391" tooltip="View details for Frenzy Plant" display="http://pokemondb.net/move/frenzy-plant" xr:uid="{00000000-0004-0000-0100-000086010000}"/>
    <hyperlink ref="B197" r:id="rId392" display="http://pokemondb.net/type/grass" xr:uid="{00000000-0004-0000-0100-000087010000}"/>
    <hyperlink ref="A198" r:id="rId393" tooltip="View details for Frost Breath" display="http://pokemondb.net/move/frost-breath" xr:uid="{00000000-0004-0000-0100-000088010000}"/>
    <hyperlink ref="B198" r:id="rId394" display="http://pokemondb.net/type/ice" xr:uid="{00000000-0004-0000-0100-000089010000}"/>
    <hyperlink ref="A199" r:id="rId395" tooltip="View details for Frustration" display="http://pokemondb.net/move/frustration" xr:uid="{00000000-0004-0000-0100-00008A010000}"/>
    <hyperlink ref="B199" r:id="rId396" display="http://pokemondb.net/type/normal" xr:uid="{00000000-0004-0000-0100-00008B010000}"/>
    <hyperlink ref="A200" r:id="rId397" tooltip="View details for Fury Attack" display="http://pokemondb.net/move/fury-attack" xr:uid="{00000000-0004-0000-0100-00008C010000}"/>
    <hyperlink ref="B200" r:id="rId398" display="http://pokemondb.net/type/normal" xr:uid="{00000000-0004-0000-0100-00008D010000}"/>
    <hyperlink ref="A201" r:id="rId399" tooltip="View details for Fury Cutter" display="http://pokemondb.net/move/fury-cutter" xr:uid="{00000000-0004-0000-0100-00008E010000}"/>
    <hyperlink ref="B201" r:id="rId400" display="http://pokemondb.net/type/bug" xr:uid="{00000000-0004-0000-0100-00008F010000}"/>
    <hyperlink ref="A202" r:id="rId401" tooltip="View details for Fury Swipes" display="http://pokemondb.net/move/fury-swipes" xr:uid="{00000000-0004-0000-0100-000090010000}"/>
    <hyperlink ref="B202" r:id="rId402" display="http://pokemondb.net/type/normal" xr:uid="{00000000-0004-0000-0100-000091010000}"/>
    <hyperlink ref="A203" r:id="rId403" tooltip="View details for Fusion Bolt" display="http://pokemondb.net/move/fusion-bolt" xr:uid="{00000000-0004-0000-0100-000092010000}"/>
    <hyperlink ref="B203" r:id="rId404" display="http://pokemondb.net/type/electric" xr:uid="{00000000-0004-0000-0100-000093010000}"/>
    <hyperlink ref="A204" r:id="rId405" tooltip="View details for Fusion Flare" display="http://pokemondb.net/move/fusion-flare" xr:uid="{00000000-0004-0000-0100-000094010000}"/>
    <hyperlink ref="B204" r:id="rId406" display="http://pokemondb.net/type/fire" xr:uid="{00000000-0004-0000-0100-000095010000}"/>
    <hyperlink ref="A205" r:id="rId407" tooltip="View details for Future Sight" display="http://pokemondb.net/move/future-sight" xr:uid="{00000000-0004-0000-0100-000096010000}"/>
    <hyperlink ref="B205" r:id="rId408" display="http://pokemondb.net/type/psychic" xr:uid="{00000000-0004-0000-0100-000097010000}"/>
    <hyperlink ref="A206" r:id="rId409" tooltip="View details for Gastro Acid" display="http://pokemondb.net/move/gastro-acid" xr:uid="{00000000-0004-0000-0100-000098010000}"/>
    <hyperlink ref="B206" r:id="rId410" display="http://pokemondb.net/type/poison" xr:uid="{00000000-0004-0000-0100-000099010000}"/>
    <hyperlink ref="A207" r:id="rId411" tooltip="View details for Gear Grind" display="http://pokemondb.net/move/gear-grind" xr:uid="{00000000-0004-0000-0100-00009A010000}"/>
    <hyperlink ref="B207" r:id="rId412" display="http://pokemondb.net/type/steel" xr:uid="{00000000-0004-0000-0100-00009B010000}"/>
    <hyperlink ref="A208" r:id="rId413" tooltip="View details for Geomancy" display="http://pokemondb.net/move/geomancy" xr:uid="{00000000-0004-0000-0100-00009C010000}"/>
    <hyperlink ref="B208" r:id="rId414" display="http://pokemondb.net/type/fairy" xr:uid="{00000000-0004-0000-0100-00009D010000}"/>
    <hyperlink ref="A209" r:id="rId415" tooltip="View details for Giga Drain" display="http://pokemondb.net/move/giga-drain" xr:uid="{00000000-0004-0000-0100-00009E010000}"/>
    <hyperlink ref="B209" r:id="rId416" display="http://pokemondb.net/type/grass" xr:uid="{00000000-0004-0000-0100-00009F010000}"/>
    <hyperlink ref="A210" r:id="rId417" tooltip="View details for Giga Impact" display="http://pokemondb.net/move/giga-impact" xr:uid="{00000000-0004-0000-0100-0000A0010000}"/>
    <hyperlink ref="B210" r:id="rId418" display="http://pokemondb.net/type/normal" xr:uid="{00000000-0004-0000-0100-0000A1010000}"/>
    <hyperlink ref="A211" r:id="rId419" tooltip="View details for Glaciate" display="http://pokemondb.net/move/glaciate" xr:uid="{00000000-0004-0000-0100-0000A2010000}"/>
    <hyperlink ref="B211" r:id="rId420" display="http://pokemondb.net/type/ice" xr:uid="{00000000-0004-0000-0100-0000A3010000}"/>
    <hyperlink ref="A212" r:id="rId421" tooltip="View details for Glare" display="http://pokemondb.net/move/glare" xr:uid="{00000000-0004-0000-0100-0000A4010000}"/>
    <hyperlink ref="B212" r:id="rId422" display="http://pokemondb.net/type/normal" xr:uid="{00000000-0004-0000-0100-0000A5010000}"/>
    <hyperlink ref="A213" r:id="rId423" tooltip="View details for Grass Knot" display="http://pokemondb.net/move/grass-knot" xr:uid="{00000000-0004-0000-0100-0000A6010000}"/>
    <hyperlink ref="B213" r:id="rId424" display="http://pokemondb.net/type/grass" xr:uid="{00000000-0004-0000-0100-0000A7010000}"/>
    <hyperlink ref="A214" r:id="rId425" tooltip="View details for Grass Pledge" display="http://pokemondb.net/move/grass-pledge" xr:uid="{00000000-0004-0000-0100-0000A8010000}"/>
    <hyperlink ref="B214" r:id="rId426" display="http://pokemondb.net/type/grass" xr:uid="{00000000-0004-0000-0100-0000A9010000}"/>
    <hyperlink ref="A215" r:id="rId427" tooltip="View details for GrassWhistle" display="http://pokemondb.net/move/grasswhistle" xr:uid="{00000000-0004-0000-0100-0000AA010000}"/>
    <hyperlink ref="B215" r:id="rId428" display="http://pokemondb.net/type/grass" xr:uid="{00000000-0004-0000-0100-0000AB010000}"/>
    <hyperlink ref="A216" r:id="rId429" tooltip="View details for Grassy Terrain" display="http://pokemondb.net/move/grassy-terrain" xr:uid="{00000000-0004-0000-0100-0000AC010000}"/>
    <hyperlink ref="B216" r:id="rId430" display="http://pokemondb.net/type/grass" xr:uid="{00000000-0004-0000-0100-0000AD010000}"/>
    <hyperlink ref="A217" r:id="rId431" tooltip="View details for Gravity" display="http://pokemondb.net/move/gravity" xr:uid="{00000000-0004-0000-0100-0000AE010000}"/>
    <hyperlink ref="B217" r:id="rId432" display="http://pokemondb.net/type/psychic" xr:uid="{00000000-0004-0000-0100-0000AF010000}"/>
    <hyperlink ref="A218" r:id="rId433" tooltip="View details for Growl" display="http://pokemondb.net/move/growl" xr:uid="{00000000-0004-0000-0100-0000B0010000}"/>
    <hyperlink ref="B218" r:id="rId434" display="http://pokemondb.net/type/normal" xr:uid="{00000000-0004-0000-0100-0000B1010000}"/>
    <hyperlink ref="A219" r:id="rId435" tooltip="View details for Growth" display="http://pokemondb.net/move/growth" xr:uid="{00000000-0004-0000-0100-0000B2010000}"/>
    <hyperlink ref="B219" r:id="rId436" display="http://pokemondb.net/type/normal" xr:uid="{00000000-0004-0000-0100-0000B3010000}"/>
    <hyperlink ref="A220" r:id="rId437" tooltip="View details for Grudge" display="http://pokemondb.net/move/grudge" xr:uid="{00000000-0004-0000-0100-0000B4010000}"/>
    <hyperlink ref="B220" r:id="rId438" display="http://pokemondb.net/type/ghost" xr:uid="{00000000-0004-0000-0100-0000B5010000}"/>
    <hyperlink ref="A221" r:id="rId439" tooltip="View details for Guard Split" display="http://pokemondb.net/move/guard-split" xr:uid="{00000000-0004-0000-0100-0000B6010000}"/>
    <hyperlink ref="B221" r:id="rId440" display="http://pokemondb.net/type/psychic" xr:uid="{00000000-0004-0000-0100-0000B7010000}"/>
    <hyperlink ref="A222" r:id="rId441" tooltip="View details for Guard Swap" display="http://pokemondb.net/move/guard-swap" xr:uid="{00000000-0004-0000-0100-0000B8010000}"/>
    <hyperlink ref="B222" r:id="rId442" display="http://pokemondb.net/type/psychic" xr:uid="{00000000-0004-0000-0100-0000B9010000}"/>
    <hyperlink ref="A223" r:id="rId443" tooltip="View details for Guillotine" display="http://pokemondb.net/move/guillotine" xr:uid="{00000000-0004-0000-0100-0000BA010000}"/>
    <hyperlink ref="B223" r:id="rId444" display="http://pokemondb.net/type/normal" xr:uid="{00000000-0004-0000-0100-0000BB010000}"/>
    <hyperlink ref="A224" r:id="rId445" tooltip="View details for Gunk Shot" display="http://pokemondb.net/move/gunk-shot" xr:uid="{00000000-0004-0000-0100-0000BC010000}"/>
    <hyperlink ref="B224" r:id="rId446" display="http://pokemondb.net/type/poison" xr:uid="{00000000-0004-0000-0100-0000BD010000}"/>
    <hyperlink ref="A225" r:id="rId447" tooltip="View details for Gust" display="http://pokemondb.net/move/gust" xr:uid="{00000000-0004-0000-0100-0000BE010000}"/>
    <hyperlink ref="B225" r:id="rId448" display="http://pokemondb.net/type/flying" xr:uid="{00000000-0004-0000-0100-0000BF010000}"/>
    <hyperlink ref="A226" r:id="rId449" tooltip="View details for Gyro Ball" display="http://pokemondb.net/move/gyro-ball" xr:uid="{00000000-0004-0000-0100-0000C0010000}"/>
    <hyperlink ref="B226" r:id="rId450" display="http://pokemondb.net/type/steel" xr:uid="{00000000-0004-0000-0100-0000C1010000}"/>
    <hyperlink ref="A227" r:id="rId451" tooltip="View details for Hail" display="http://pokemondb.net/move/hail" xr:uid="{00000000-0004-0000-0100-0000C2010000}"/>
    <hyperlink ref="B227" r:id="rId452" display="http://pokemondb.net/type/ice" xr:uid="{00000000-0004-0000-0100-0000C3010000}"/>
    <hyperlink ref="A228" r:id="rId453" tooltip="View details for Hammer Arm" display="http://pokemondb.net/move/hammer-arm" xr:uid="{00000000-0004-0000-0100-0000C4010000}"/>
    <hyperlink ref="B228" r:id="rId454" display="http://pokemondb.net/type/fighting" xr:uid="{00000000-0004-0000-0100-0000C5010000}"/>
    <hyperlink ref="A229" r:id="rId455" tooltip="View details for Harden" display="http://pokemondb.net/move/harden" xr:uid="{00000000-0004-0000-0100-0000C6010000}"/>
    <hyperlink ref="B229" r:id="rId456" display="http://pokemondb.net/type/normal" xr:uid="{00000000-0004-0000-0100-0000C7010000}"/>
    <hyperlink ref="A230" r:id="rId457" tooltip="View details for Haze" display="http://pokemondb.net/move/haze" xr:uid="{00000000-0004-0000-0100-0000C8010000}"/>
    <hyperlink ref="B230" r:id="rId458" display="http://pokemondb.net/type/ice" xr:uid="{00000000-0004-0000-0100-0000C9010000}"/>
    <hyperlink ref="A231" r:id="rId459" tooltip="View details for Head Charge" display="http://pokemondb.net/move/head-charge" xr:uid="{00000000-0004-0000-0100-0000CA010000}"/>
    <hyperlink ref="B231" r:id="rId460" display="http://pokemondb.net/type/normal" xr:uid="{00000000-0004-0000-0100-0000CB010000}"/>
    <hyperlink ref="A232" r:id="rId461" tooltip="View details for Head Smash" display="http://pokemondb.net/move/head-smash" xr:uid="{00000000-0004-0000-0100-0000CC010000}"/>
    <hyperlink ref="B232" r:id="rId462" display="http://pokemondb.net/type/rock" xr:uid="{00000000-0004-0000-0100-0000CD010000}"/>
    <hyperlink ref="A233" r:id="rId463" tooltip="View details for Headbutt" display="http://pokemondb.net/move/headbutt" xr:uid="{00000000-0004-0000-0100-0000CE010000}"/>
    <hyperlink ref="B233" r:id="rId464" display="http://pokemondb.net/type/normal" xr:uid="{00000000-0004-0000-0100-0000CF010000}"/>
    <hyperlink ref="A234" r:id="rId465" tooltip="View details for Heal Bell" display="http://pokemondb.net/move/heal-bell" xr:uid="{00000000-0004-0000-0100-0000D0010000}"/>
    <hyperlink ref="B234" r:id="rId466" display="http://pokemondb.net/type/normal" xr:uid="{00000000-0004-0000-0100-0000D1010000}"/>
    <hyperlink ref="A235" r:id="rId467" tooltip="View details for Heal Block" display="http://pokemondb.net/move/heal-block" xr:uid="{00000000-0004-0000-0100-0000D2010000}"/>
    <hyperlink ref="B235" r:id="rId468" display="http://pokemondb.net/type/psychic" xr:uid="{00000000-0004-0000-0100-0000D3010000}"/>
    <hyperlink ref="A236" r:id="rId469" tooltip="View details for Heal Order" display="http://pokemondb.net/move/heal-order" xr:uid="{00000000-0004-0000-0100-0000D4010000}"/>
    <hyperlink ref="B236" r:id="rId470" display="http://pokemondb.net/type/bug" xr:uid="{00000000-0004-0000-0100-0000D5010000}"/>
    <hyperlink ref="A237" r:id="rId471" tooltip="View details for Heal Pulse" display="http://pokemondb.net/move/heal-pulse" xr:uid="{00000000-0004-0000-0100-0000D6010000}"/>
    <hyperlink ref="B237" r:id="rId472" display="http://pokemondb.net/type/psychic" xr:uid="{00000000-0004-0000-0100-0000D7010000}"/>
    <hyperlink ref="A238" r:id="rId473" tooltip="View details for Healing Wish" display="http://pokemondb.net/move/healing-wish" xr:uid="{00000000-0004-0000-0100-0000D8010000}"/>
    <hyperlink ref="B238" r:id="rId474" display="http://pokemondb.net/type/psychic" xr:uid="{00000000-0004-0000-0100-0000D9010000}"/>
    <hyperlink ref="A239" r:id="rId475" tooltip="View details for Heart Stamp" display="http://pokemondb.net/move/heart-stamp" xr:uid="{00000000-0004-0000-0100-0000DA010000}"/>
    <hyperlink ref="B239" r:id="rId476" display="http://pokemondb.net/type/psychic" xr:uid="{00000000-0004-0000-0100-0000DB010000}"/>
    <hyperlink ref="A240" r:id="rId477" tooltip="View details for Heart Swap" display="http://pokemondb.net/move/heart-swap" xr:uid="{00000000-0004-0000-0100-0000DC010000}"/>
    <hyperlink ref="B240" r:id="rId478" display="http://pokemondb.net/type/psychic" xr:uid="{00000000-0004-0000-0100-0000DD010000}"/>
    <hyperlink ref="A241" r:id="rId479" tooltip="View details for Heat Crash" display="http://pokemondb.net/move/heat-crash" xr:uid="{00000000-0004-0000-0100-0000DE010000}"/>
    <hyperlink ref="B241" r:id="rId480" display="http://pokemondb.net/type/fire" xr:uid="{00000000-0004-0000-0100-0000DF010000}"/>
    <hyperlink ref="A242" r:id="rId481" tooltip="View details for Heat Wave" display="http://pokemondb.net/move/heat-wave" xr:uid="{00000000-0004-0000-0100-0000E0010000}"/>
    <hyperlink ref="B242" r:id="rId482" display="http://pokemondb.net/type/fire" xr:uid="{00000000-0004-0000-0100-0000E1010000}"/>
    <hyperlink ref="A243" r:id="rId483" tooltip="View details for Heavy Slam" display="http://pokemondb.net/move/heavy-slam" xr:uid="{00000000-0004-0000-0100-0000E2010000}"/>
    <hyperlink ref="B243" r:id="rId484" display="http://pokemondb.net/type/steel" xr:uid="{00000000-0004-0000-0100-0000E3010000}"/>
    <hyperlink ref="A244" r:id="rId485" tooltip="View details for Helping Hand" display="http://pokemondb.net/move/helping-hand" xr:uid="{00000000-0004-0000-0100-0000E4010000}"/>
    <hyperlink ref="B244" r:id="rId486" display="http://pokemondb.net/type/normal" xr:uid="{00000000-0004-0000-0100-0000E5010000}"/>
    <hyperlink ref="A245" r:id="rId487" tooltip="View details for Hex" display="http://pokemondb.net/move/hex" xr:uid="{00000000-0004-0000-0100-0000E6010000}"/>
    <hyperlink ref="B245" r:id="rId488" display="http://pokemondb.net/type/ghost" xr:uid="{00000000-0004-0000-0100-0000E7010000}"/>
    <hyperlink ref="A246" r:id="rId489" tooltip="View details for Hi Jump Kick" display="http://pokemondb.net/move/hi-jump-kick" xr:uid="{00000000-0004-0000-0100-0000E8010000}"/>
    <hyperlink ref="B246" r:id="rId490" display="http://pokemondb.net/type/fighting" xr:uid="{00000000-0004-0000-0100-0000E9010000}"/>
    <hyperlink ref="A247" r:id="rId491" tooltip="View details for Hidden Power" display="http://pokemondb.net/move/hidden-power" xr:uid="{00000000-0004-0000-0100-0000EA010000}"/>
    <hyperlink ref="B247" r:id="rId492" display="http://pokemondb.net/type/normal" xr:uid="{00000000-0004-0000-0100-0000EB010000}"/>
    <hyperlink ref="A248" r:id="rId493" tooltip="View details for Hone Claws" display="http://pokemondb.net/move/hone-claws" xr:uid="{00000000-0004-0000-0100-0000EC010000}"/>
    <hyperlink ref="B248" r:id="rId494" display="http://pokemondb.net/type/dark" xr:uid="{00000000-0004-0000-0100-0000ED010000}"/>
    <hyperlink ref="A249" r:id="rId495" tooltip="View details for Horn Attack" display="http://pokemondb.net/move/horn-attack" xr:uid="{00000000-0004-0000-0100-0000EE010000}"/>
    <hyperlink ref="B249" r:id="rId496" display="http://pokemondb.net/type/normal" xr:uid="{00000000-0004-0000-0100-0000EF010000}"/>
    <hyperlink ref="A250" r:id="rId497" tooltip="View details for Horn Drill" display="http://pokemondb.net/move/horn-drill" xr:uid="{00000000-0004-0000-0100-0000F0010000}"/>
    <hyperlink ref="B250" r:id="rId498" display="http://pokemondb.net/type/normal" xr:uid="{00000000-0004-0000-0100-0000F1010000}"/>
    <hyperlink ref="A251" r:id="rId499" tooltip="View details for Horn Leech" display="http://pokemondb.net/move/horn-leech" xr:uid="{00000000-0004-0000-0100-0000F2010000}"/>
    <hyperlink ref="B251" r:id="rId500" display="http://pokemondb.net/type/grass" xr:uid="{00000000-0004-0000-0100-0000F3010000}"/>
    <hyperlink ref="A252" r:id="rId501" tooltip="View details for Howl" display="http://pokemondb.net/move/howl" xr:uid="{00000000-0004-0000-0100-0000F4010000}"/>
    <hyperlink ref="B252" r:id="rId502" display="http://pokemondb.net/type/normal" xr:uid="{00000000-0004-0000-0100-0000F5010000}"/>
    <hyperlink ref="A253" r:id="rId503" tooltip="View details for Hurricane" display="http://pokemondb.net/move/hurricane" xr:uid="{00000000-0004-0000-0100-0000F6010000}"/>
    <hyperlink ref="B253" r:id="rId504" display="http://pokemondb.net/type/flying" xr:uid="{00000000-0004-0000-0100-0000F7010000}"/>
    <hyperlink ref="A254" r:id="rId505" tooltip="View details for Hydro Cannon" display="http://pokemondb.net/move/hydro-cannon" xr:uid="{00000000-0004-0000-0100-0000F8010000}"/>
    <hyperlink ref="B254" r:id="rId506" display="http://pokemondb.net/type/water" xr:uid="{00000000-0004-0000-0100-0000F9010000}"/>
    <hyperlink ref="A255" r:id="rId507" tooltip="View details for Hydro Pump" display="http://pokemondb.net/move/hydro-pump" xr:uid="{00000000-0004-0000-0100-0000FA010000}"/>
    <hyperlink ref="B255" r:id="rId508" display="http://pokemondb.net/type/water" xr:uid="{00000000-0004-0000-0100-0000FB010000}"/>
    <hyperlink ref="A256" r:id="rId509" tooltip="View details for Hyper Beam" display="http://pokemondb.net/move/hyper-beam" xr:uid="{00000000-0004-0000-0100-0000FC010000}"/>
    <hyperlink ref="B256" r:id="rId510" display="http://pokemondb.net/type/normal" xr:uid="{00000000-0004-0000-0100-0000FD010000}"/>
    <hyperlink ref="A257" r:id="rId511" tooltip="View details for Hyper Fang" display="http://pokemondb.net/move/hyper-fang" xr:uid="{00000000-0004-0000-0100-0000FE010000}"/>
    <hyperlink ref="B257" r:id="rId512" display="http://pokemondb.net/type/normal" xr:uid="{00000000-0004-0000-0100-0000FF010000}"/>
    <hyperlink ref="A258" r:id="rId513" tooltip="View details for Hyper Voice" display="http://pokemondb.net/move/hyper-voice" xr:uid="{00000000-0004-0000-0100-000000020000}"/>
    <hyperlink ref="B258" r:id="rId514" display="http://pokemondb.net/type/normal" xr:uid="{00000000-0004-0000-0100-000001020000}"/>
    <hyperlink ref="A259" r:id="rId515" tooltip="View details for Hypnosis" display="http://pokemondb.net/move/hypnosis" xr:uid="{00000000-0004-0000-0100-000002020000}"/>
    <hyperlink ref="B259" r:id="rId516" display="http://pokemondb.net/type/psychic" xr:uid="{00000000-0004-0000-0100-000003020000}"/>
    <hyperlink ref="A260" r:id="rId517" tooltip="View details for Ice Ball" display="http://pokemondb.net/move/ice-ball" xr:uid="{00000000-0004-0000-0100-000004020000}"/>
    <hyperlink ref="B260" r:id="rId518" display="http://pokemondb.net/type/ice" xr:uid="{00000000-0004-0000-0100-000005020000}"/>
    <hyperlink ref="A261" r:id="rId519" tooltip="View details for Ice Beam" display="http://pokemondb.net/move/ice-beam" xr:uid="{00000000-0004-0000-0100-000006020000}"/>
    <hyperlink ref="B261" r:id="rId520" display="http://pokemondb.net/type/ice" xr:uid="{00000000-0004-0000-0100-000007020000}"/>
    <hyperlink ref="A262" r:id="rId521" tooltip="View details for Ice Burn" display="http://pokemondb.net/move/ice-burn" xr:uid="{00000000-0004-0000-0100-000008020000}"/>
    <hyperlink ref="B262" r:id="rId522" display="http://pokemondb.net/type/ice" xr:uid="{00000000-0004-0000-0100-000009020000}"/>
    <hyperlink ref="A263" r:id="rId523" tooltip="View details for Ice Fang" display="http://pokemondb.net/move/ice-fang" xr:uid="{00000000-0004-0000-0100-00000A020000}"/>
    <hyperlink ref="B263" r:id="rId524" display="http://pokemondb.net/type/ice" xr:uid="{00000000-0004-0000-0100-00000B020000}"/>
    <hyperlink ref="A264" r:id="rId525" tooltip="View details for Ice Punch" display="http://pokemondb.net/move/ice-punch" xr:uid="{00000000-0004-0000-0100-00000C020000}"/>
    <hyperlink ref="B264" r:id="rId526" display="http://pokemondb.net/type/ice" xr:uid="{00000000-0004-0000-0100-00000D020000}"/>
    <hyperlink ref="A265" r:id="rId527" tooltip="View details for Ice Shard" display="http://pokemondb.net/move/ice-shard" xr:uid="{00000000-0004-0000-0100-00000E020000}"/>
    <hyperlink ref="B265" r:id="rId528" display="http://pokemondb.net/type/ice" xr:uid="{00000000-0004-0000-0100-00000F020000}"/>
    <hyperlink ref="A266" r:id="rId529" tooltip="View details for Icicle Crash" display="http://pokemondb.net/move/icicle-crash" xr:uid="{00000000-0004-0000-0100-000010020000}"/>
    <hyperlink ref="B266" r:id="rId530" display="http://pokemondb.net/type/ice" xr:uid="{00000000-0004-0000-0100-000011020000}"/>
    <hyperlink ref="A267" r:id="rId531" tooltip="View details for Icicle Spear" display="http://pokemondb.net/move/icicle-spear" xr:uid="{00000000-0004-0000-0100-000012020000}"/>
    <hyperlink ref="B267" r:id="rId532" display="http://pokemondb.net/type/ice" xr:uid="{00000000-0004-0000-0100-000013020000}"/>
    <hyperlink ref="A268" r:id="rId533" tooltip="View details for Icy Wind" display="http://pokemondb.net/move/icy-wind" xr:uid="{00000000-0004-0000-0100-000014020000}"/>
    <hyperlink ref="B268" r:id="rId534" display="http://pokemondb.net/type/ice" xr:uid="{00000000-0004-0000-0100-000015020000}"/>
    <hyperlink ref="A269" r:id="rId535" tooltip="View details for Imprison" display="http://pokemondb.net/move/imprison" xr:uid="{00000000-0004-0000-0100-000016020000}"/>
    <hyperlink ref="B269" r:id="rId536" display="http://pokemondb.net/type/psychic" xr:uid="{00000000-0004-0000-0100-000017020000}"/>
    <hyperlink ref="A270" r:id="rId537" tooltip="View details for Incinerate" display="http://pokemondb.net/move/incinerate" xr:uid="{00000000-0004-0000-0100-000018020000}"/>
    <hyperlink ref="B270" r:id="rId538" display="http://pokemondb.net/type/fire" xr:uid="{00000000-0004-0000-0100-000019020000}"/>
    <hyperlink ref="A271" r:id="rId539" tooltip="View details for Inferno" display="http://pokemondb.net/move/inferno" xr:uid="{00000000-0004-0000-0100-00001A020000}"/>
    <hyperlink ref="B271" r:id="rId540" display="http://pokemondb.net/type/fire" xr:uid="{00000000-0004-0000-0100-00001B020000}"/>
    <hyperlink ref="A272" r:id="rId541" tooltip="View details for Infestation" display="http://pokemondb.net/move/infestation" xr:uid="{00000000-0004-0000-0100-00001C020000}"/>
    <hyperlink ref="B272" r:id="rId542" display="http://pokemondb.net/type/bug" xr:uid="{00000000-0004-0000-0100-00001D020000}"/>
    <hyperlink ref="A273" r:id="rId543" tooltip="View details for Ingrain" display="http://pokemondb.net/move/ingrain" xr:uid="{00000000-0004-0000-0100-00001E020000}"/>
    <hyperlink ref="B273" r:id="rId544" display="http://pokemondb.net/type/grass" xr:uid="{00000000-0004-0000-0100-00001F020000}"/>
    <hyperlink ref="A274" r:id="rId545" tooltip="View details for Ion Deluge" display="http://pokemondb.net/move/ion-deluge" xr:uid="{00000000-0004-0000-0100-000020020000}"/>
    <hyperlink ref="B274" r:id="rId546" display="http://pokemondb.net/type/electric" xr:uid="{00000000-0004-0000-0100-000021020000}"/>
    <hyperlink ref="A275" r:id="rId547" tooltip="View details for Iron Defense" display="http://pokemondb.net/move/iron-defense" xr:uid="{00000000-0004-0000-0100-000022020000}"/>
    <hyperlink ref="B275" r:id="rId548" display="http://pokemondb.net/type/steel" xr:uid="{00000000-0004-0000-0100-000023020000}"/>
    <hyperlink ref="A276" r:id="rId549" tooltip="View details for Iron Head" display="http://pokemondb.net/move/iron-head" xr:uid="{00000000-0004-0000-0100-000024020000}"/>
    <hyperlink ref="B276" r:id="rId550" display="http://pokemondb.net/type/steel" xr:uid="{00000000-0004-0000-0100-000025020000}"/>
    <hyperlink ref="A277" r:id="rId551" tooltip="View details for Iron Tail" display="http://pokemondb.net/move/iron-tail" xr:uid="{00000000-0004-0000-0100-000026020000}"/>
    <hyperlink ref="B277" r:id="rId552" display="http://pokemondb.net/type/steel" xr:uid="{00000000-0004-0000-0100-000027020000}"/>
    <hyperlink ref="A278" r:id="rId553" tooltip="View details for Judgment" display="http://pokemondb.net/move/judgment" xr:uid="{00000000-0004-0000-0100-000028020000}"/>
    <hyperlink ref="B278" r:id="rId554" display="http://pokemondb.net/type/normal" xr:uid="{00000000-0004-0000-0100-000029020000}"/>
    <hyperlink ref="A279" r:id="rId555" tooltip="View details for Jump Kick" display="http://pokemondb.net/move/jump-kick" xr:uid="{00000000-0004-0000-0100-00002A020000}"/>
    <hyperlink ref="B279" r:id="rId556" display="http://pokemondb.net/type/fighting" xr:uid="{00000000-0004-0000-0100-00002B020000}"/>
    <hyperlink ref="A280" r:id="rId557" tooltip="View details for Karate Chop" display="http://pokemondb.net/move/karate-chop" xr:uid="{00000000-0004-0000-0100-00002C020000}"/>
    <hyperlink ref="B280" r:id="rId558" display="http://pokemondb.net/type/fighting" xr:uid="{00000000-0004-0000-0100-00002D020000}"/>
    <hyperlink ref="A281" r:id="rId559" tooltip="View details for Kinesis" display="http://pokemondb.net/move/kinesis" xr:uid="{00000000-0004-0000-0100-00002E020000}"/>
    <hyperlink ref="B281" r:id="rId560" display="http://pokemondb.net/type/psychic" xr:uid="{00000000-0004-0000-0100-00002F020000}"/>
    <hyperlink ref="A282" r:id="rId561" tooltip="View details for King's Shield" display="http://pokemondb.net/move/kings-shield" xr:uid="{00000000-0004-0000-0100-000030020000}"/>
    <hyperlink ref="B282" r:id="rId562" display="http://pokemondb.net/type/steel" xr:uid="{00000000-0004-0000-0100-000031020000}"/>
    <hyperlink ref="A283" r:id="rId563" tooltip="View details for Knock Off" display="http://pokemondb.net/move/knock-off" xr:uid="{00000000-0004-0000-0100-000032020000}"/>
    <hyperlink ref="B283" r:id="rId564" display="http://pokemondb.net/type/dark" xr:uid="{00000000-0004-0000-0100-000033020000}"/>
    <hyperlink ref="A284" r:id="rId565" tooltip="View details for Land's Wrath" display="http://pokemondb.net/move/lands-wrath" xr:uid="{00000000-0004-0000-0100-000034020000}"/>
    <hyperlink ref="B284" r:id="rId566" display="http://pokemondb.net/type/ground" xr:uid="{00000000-0004-0000-0100-000035020000}"/>
    <hyperlink ref="A285" r:id="rId567" tooltip="View details for Last Resort" display="http://pokemondb.net/move/last-resort" xr:uid="{00000000-0004-0000-0100-000036020000}"/>
    <hyperlink ref="B285" r:id="rId568" display="http://pokemondb.net/type/normal" xr:uid="{00000000-0004-0000-0100-000037020000}"/>
    <hyperlink ref="A286" r:id="rId569" tooltip="View details for Lava Plume" display="http://pokemondb.net/move/lava-plume" xr:uid="{00000000-0004-0000-0100-000038020000}"/>
    <hyperlink ref="B286" r:id="rId570" display="http://pokemondb.net/type/fire" xr:uid="{00000000-0004-0000-0100-000039020000}"/>
    <hyperlink ref="A287" r:id="rId571" tooltip="View details for Leaf Blade" display="http://pokemondb.net/move/leaf-blade" xr:uid="{00000000-0004-0000-0100-00003A020000}"/>
    <hyperlink ref="B287" r:id="rId572" display="http://pokemondb.net/type/grass" xr:uid="{00000000-0004-0000-0100-00003B020000}"/>
    <hyperlink ref="A288" r:id="rId573" tooltip="View details for Leaf Storm" display="http://pokemondb.net/move/leaf-storm" xr:uid="{00000000-0004-0000-0100-00003C020000}"/>
    <hyperlink ref="B288" r:id="rId574" display="http://pokemondb.net/type/grass" xr:uid="{00000000-0004-0000-0100-00003D020000}"/>
    <hyperlink ref="A289" r:id="rId575" tooltip="View details for Leaf Tornado" display="http://pokemondb.net/move/leaf-tornado" xr:uid="{00000000-0004-0000-0100-00003E020000}"/>
    <hyperlink ref="B289" r:id="rId576" display="http://pokemondb.net/type/grass" xr:uid="{00000000-0004-0000-0100-00003F020000}"/>
    <hyperlink ref="A290" r:id="rId577" tooltip="View details for Leech Life" display="http://pokemondb.net/move/leech-life" xr:uid="{00000000-0004-0000-0100-000040020000}"/>
    <hyperlink ref="B290" r:id="rId578" display="http://pokemondb.net/type/bug" xr:uid="{00000000-0004-0000-0100-000041020000}"/>
    <hyperlink ref="A291" r:id="rId579" tooltip="View details for Leech Seed" display="http://pokemondb.net/move/leech-seed" xr:uid="{00000000-0004-0000-0100-000042020000}"/>
    <hyperlink ref="B291" r:id="rId580" display="http://pokemondb.net/type/grass" xr:uid="{00000000-0004-0000-0100-000043020000}"/>
    <hyperlink ref="A292" r:id="rId581" tooltip="View details for Leer" display="http://pokemondb.net/move/leer" xr:uid="{00000000-0004-0000-0100-000044020000}"/>
    <hyperlink ref="B292" r:id="rId582" display="http://pokemondb.net/type/normal" xr:uid="{00000000-0004-0000-0100-000045020000}"/>
    <hyperlink ref="A293" r:id="rId583" tooltip="View details for Lick" display="http://pokemondb.net/move/lick" xr:uid="{00000000-0004-0000-0100-000046020000}"/>
    <hyperlink ref="B293" r:id="rId584" display="http://pokemondb.net/type/ghost" xr:uid="{00000000-0004-0000-0100-000047020000}"/>
    <hyperlink ref="A294" r:id="rId585" tooltip="View details for Light Screen" display="http://pokemondb.net/move/light-screen" xr:uid="{00000000-0004-0000-0100-000048020000}"/>
    <hyperlink ref="B294" r:id="rId586" display="http://pokemondb.net/type/psychic" xr:uid="{00000000-0004-0000-0100-000049020000}"/>
    <hyperlink ref="A295" r:id="rId587" tooltip="View details for Lock-On" display="http://pokemondb.net/move/lock-on" xr:uid="{00000000-0004-0000-0100-00004A020000}"/>
    <hyperlink ref="B295" r:id="rId588" display="http://pokemondb.net/type/normal" xr:uid="{00000000-0004-0000-0100-00004B020000}"/>
    <hyperlink ref="A296" r:id="rId589" tooltip="View details for Lovely Kiss" display="http://pokemondb.net/move/lovely-kiss" xr:uid="{00000000-0004-0000-0100-00004C020000}"/>
    <hyperlink ref="B296" r:id="rId590" display="http://pokemondb.net/type/normal" xr:uid="{00000000-0004-0000-0100-00004D020000}"/>
    <hyperlink ref="A297" r:id="rId591" tooltip="View details for Low Kick" display="http://pokemondb.net/move/low-kick" xr:uid="{00000000-0004-0000-0100-00004E020000}"/>
    <hyperlink ref="B297" r:id="rId592" display="http://pokemondb.net/type/fighting" xr:uid="{00000000-0004-0000-0100-00004F020000}"/>
    <hyperlink ref="A298" r:id="rId593" tooltip="View details for Low Sweep" display="http://pokemondb.net/move/low-sweep" xr:uid="{00000000-0004-0000-0100-000050020000}"/>
    <hyperlink ref="B298" r:id="rId594" display="http://pokemondb.net/type/fighting" xr:uid="{00000000-0004-0000-0100-000051020000}"/>
    <hyperlink ref="A299" r:id="rId595" tooltip="View details for Lucky Chant" display="http://pokemondb.net/move/lucky-chant" xr:uid="{00000000-0004-0000-0100-000052020000}"/>
    <hyperlink ref="B299" r:id="rId596" display="http://pokemondb.net/type/normal" xr:uid="{00000000-0004-0000-0100-000053020000}"/>
    <hyperlink ref="A300" r:id="rId597" tooltip="View details for Lunar Dance" display="http://pokemondb.net/move/lunar-dance" xr:uid="{00000000-0004-0000-0100-000054020000}"/>
    <hyperlink ref="B300" r:id="rId598" display="http://pokemondb.net/type/psychic" xr:uid="{00000000-0004-0000-0100-000055020000}"/>
    <hyperlink ref="A301" r:id="rId599" tooltip="View details for Luster Purge" display="http://pokemondb.net/move/luster-purge" xr:uid="{00000000-0004-0000-0100-000056020000}"/>
    <hyperlink ref="B301" r:id="rId600" display="http://pokemondb.net/type/psychic" xr:uid="{00000000-0004-0000-0100-000057020000}"/>
    <hyperlink ref="A302" r:id="rId601" tooltip="View details for Mach Punch" display="http://pokemondb.net/move/mach-punch" xr:uid="{00000000-0004-0000-0100-000058020000}"/>
    <hyperlink ref="B302" r:id="rId602" display="http://pokemondb.net/type/fighting" xr:uid="{00000000-0004-0000-0100-000059020000}"/>
    <hyperlink ref="A303" r:id="rId603" tooltip="View details for Magic Coat" display="http://pokemondb.net/move/magic-coat" xr:uid="{00000000-0004-0000-0100-00005A020000}"/>
    <hyperlink ref="B303" r:id="rId604" display="http://pokemondb.net/type/psychic" xr:uid="{00000000-0004-0000-0100-00005B020000}"/>
    <hyperlink ref="A304" r:id="rId605" tooltip="View details for Magic Room" display="http://pokemondb.net/move/magic-room" xr:uid="{00000000-0004-0000-0100-00005C020000}"/>
    <hyperlink ref="B304" r:id="rId606" display="http://pokemondb.net/type/psychic" xr:uid="{00000000-0004-0000-0100-00005D020000}"/>
    <hyperlink ref="A305" r:id="rId607" tooltip="View details for Magical Leaf" display="http://pokemondb.net/move/magical-leaf" xr:uid="{00000000-0004-0000-0100-00005E020000}"/>
    <hyperlink ref="B305" r:id="rId608" display="http://pokemondb.net/type/grass" xr:uid="{00000000-0004-0000-0100-00005F020000}"/>
    <hyperlink ref="A306" r:id="rId609" tooltip="View details for Magma Storm" display="http://pokemondb.net/move/magma-storm" xr:uid="{00000000-0004-0000-0100-000060020000}"/>
    <hyperlink ref="B306" r:id="rId610" display="http://pokemondb.net/type/fire" xr:uid="{00000000-0004-0000-0100-000061020000}"/>
    <hyperlink ref="A307" r:id="rId611" tooltip="View details for Magnet Bomb" display="http://pokemondb.net/move/magnet-bomb" xr:uid="{00000000-0004-0000-0100-000062020000}"/>
    <hyperlink ref="B307" r:id="rId612" display="http://pokemondb.net/type/steel" xr:uid="{00000000-0004-0000-0100-000063020000}"/>
    <hyperlink ref="A308" r:id="rId613" tooltip="View details for Magnet Rise" display="http://pokemondb.net/move/magnet-rise" xr:uid="{00000000-0004-0000-0100-000064020000}"/>
    <hyperlink ref="B308" r:id="rId614" display="http://pokemondb.net/type/electric" xr:uid="{00000000-0004-0000-0100-000065020000}"/>
    <hyperlink ref="A309" r:id="rId615" tooltip="View details for Magnetic Flux" display="http://pokemondb.net/move/magnetic-flux" xr:uid="{00000000-0004-0000-0100-000066020000}"/>
    <hyperlink ref="B309" r:id="rId616" display="http://pokemondb.net/type/electric" xr:uid="{00000000-0004-0000-0100-000067020000}"/>
    <hyperlink ref="A310" r:id="rId617" tooltip="View details for Magnitude" display="http://pokemondb.net/move/magnitude" xr:uid="{00000000-0004-0000-0100-000068020000}"/>
    <hyperlink ref="B310" r:id="rId618" display="http://pokemondb.net/type/ground" xr:uid="{00000000-0004-0000-0100-000069020000}"/>
    <hyperlink ref="A311" r:id="rId619" tooltip="View details for Mat Block" display="http://pokemondb.net/move/mat-block" xr:uid="{00000000-0004-0000-0100-00006A020000}"/>
    <hyperlink ref="B311" r:id="rId620" display="http://pokemondb.net/type/fighting" xr:uid="{00000000-0004-0000-0100-00006B020000}"/>
    <hyperlink ref="A312" r:id="rId621" tooltip="View details for Me First" display="http://pokemondb.net/move/me-first" xr:uid="{00000000-0004-0000-0100-00006C020000}"/>
    <hyperlink ref="B312" r:id="rId622" display="http://pokemondb.net/type/normal" xr:uid="{00000000-0004-0000-0100-00006D020000}"/>
    <hyperlink ref="A313" r:id="rId623" tooltip="View details for Mean Look" display="http://pokemondb.net/move/mean-look" xr:uid="{00000000-0004-0000-0100-00006E020000}"/>
    <hyperlink ref="B313" r:id="rId624" display="http://pokemondb.net/type/normal" xr:uid="{00000000-0004-0000-0100-00006F020000}"/>
    <hyperlink ref="A314" r:id="rId625" tooltip="View details for Meditate" display="http://pokemondb.net/move/meditate" xr:uid="{00000000-0004-0000-0100-000070020000}"/>
    <hyperlink ref="B314" r:id="rId626" display="http://pokemondb.net/type/psychic" xr:uid="{00000000-0004-0000-0100-000071020000}"/>
    <hyperlink ref="A315" r:id="rId627" tooltip="View details for Mega Drain" display="http://pokemondb.net/move/mega-drain" xr:uid="{00000000-0004-0000-0100-000072020000}"/>
    <hyperlink ref="B315" r:id="rId628" display="http://pokemondb.net/type/grass" xr:uid="{00000000-0004-0000-0100-000073020000}"/>
    <hyperlink ref="A316" r:id="rId629" tooltip="View details for Mega Kick" display="http://pokemondb.net/move/mega-kick" xr:uid="{00000000-0004-0000-0100-000074020000}"/>
    <hyperlink ref="B316" r:id="rId630" display="http://pokemondb.net/type/normal" xr:uid="{00000000-0004-0000-0100-000075020000}"/>
    <hyperlink ref="A317" r:id="rId631" tooltip="View details for Mega Punch" display="http://pokemondb.net/move/mega-punch" xr:uid="{00000000-0004-0000-0100-000076020000}"/>
    <hyperlink ref="B317" r:id="rId632" display="http://pokemondb.net/type/normal" xr:uid="{00000000-0004-0000-0100-000077020000}"/>
    <hyperlink ref="A318" r:id="rId633" tooltip="View details for Megahorn" display="http://pokemondb.net/move/megahorn" xr:uid="{00000000-0004-0000-0100-000078020000}"/>
    <hyperlink ref="B318" r:id="rId634" display="http://pokemondb.net/type/bug" xr:uid="{00000000-0004-0000-0100-000079020000}"/>
    <hyperlink ref="A319" r:id="rId635" tooltip="View details for Memento" display="http://pokemondb.net/move/memento" xr:uid="{00000000-0004-0000-0100-00007A020000}"/>
    <hyperlink ref="B319" r:id="rId636" display="http://pokemondb.net/type/dark" xr:uid="{00000000-0004-0000-0100-00007B020000}"/>
    <hyperlink ref="A320" r:id="rId637" tooltip="View details for Metal Burst" display="http://pokemondb.net/move/metal-burst" xr:uid="{00000000-0004-0000-0100-00007C020000}"/>
    <hyperlink ref="B320" r:id="rId638" display="http://pokemondb.net/type/steel" xr:uid="{00000000-0004-0000-0100-00007D020000}"/>
    <hyperlink ref="A321" r:id="rId639" tooltip="View details for Metal Claw" display="http://pokemondb.net/move/metal-claw" xr:uid="{00000000-0004-0000-0100-00007E020000}"/>
    <hyperlink ref="B321" r:id="rId640" display="http://pokemondb.net/type/steel" xr:uid="{00000000-0004-0000-0100-00007F020000}"/>
    <hyperlink ref="A322" r:id="rId641" tooltip="View details for Metal Sound" display="http://pokemondb.net/move/metal-sound" xr:uid="{00000000-0004-0000-0100-000080020000}"/>
    <hyperlink ref="B322" r:id="rId642" display="http://pokemondb.net/type/steel" xr:uid="{00000000-0004-0000-0100-000081020000}"/>
    <hyperlink ref="A323" r:id="rId643" tooltip="View details for Meteor Mash" display="http://pokemondb.net/move/meteor-mash" xr:uid="{00000000-0004-0000-0100-000082020000}"/>
    <hyperlink ref="B323" r:id="rId644" display="http://pokemondb.net/type/steel" xr:uid="{00000000-0004-0000-0100-000083020000}"/>
    <hyperlink ref="A324" r:id="rId645" tooltip="View details for Metronome" display="http://pokemondb.net/move/metronome" xr:uid="{00000000-0004-0000-0100-000084020000}"/>
    <hyperlink ref="B324" r:id="rId646" display="http://pokemondb.net/type/normal" xr:uid="{00000000-0004-0000-0100-000085020000}"/>
    <hyperlink ref="A325" r:id="rId647" tooltip="View details for Milk Drink" display="http://pokemondb.net/move/milk-drink" xr:uid="{00000000-0004-0000-0100-000086020000}"/>
    <hyperlink ref="B325" r:id="rId648" display="http://pokemondb.net/type/normal" xr:uid="{00000000-0004-0000-0100-000087020000}"/>
    <hyperlink ref="A326" r:id="rId649" tooltip="View details for Mimic" display="http://pokemondb.net/move/mimic" xr:uid="{00000000-0004-0000-0100-000088020000}"/>
    <hyperlink ref="B326" r:id="rId650" display="http://pokemondb.net/type/normal" xr:uid="{00000000-0004-0000-0100-000089020000}"/>
    <hyperlink ref="A327" r:id="rId651" tooltip="View details for Mind Reader" display="http://pokemondb.net/move/mind-reader" xr:uid="{00000000-0004-0000-0100-00008A020000}"/>
    <hyperlink ref="B327" r:id="rId652" display="http://pokemondb.net/type/normal" xr:uid="{00000000-0004-0000-0100-00008B020000}"/>
    <hyperlink ref="A328" r:id="rId653" tooltip="View details for Minimize" display="http://pokemondb.net/move/minimize" xr:uid="{00000000-0004-0000-0100-00008C020000}"/>
    <hyperlink ref="B328" r:id="rId654" display="http://pokemondb.net/type/normal" xr:uid="{00000000-0004-0000-0100-00008D020000}"/>
    <hyperlink ref="A329" r:id="rId655" tooltip="View details for Miracle Eye" display="http://pokemondb.net/move/miracle-eye" xr:uid="{00000000-0004-0000-0100-00008E020000}"/>
    <hyperlink ref="B329" r:id="rId656" display="http://pokemondb.net/type/psychic" xr:uid="{00000000-0004-0000-0100-00008F020000}"/>
    <hyperlink ref="A330" r:id="rId657" tooltip="View details for Mirror Coat" display="http://pokemondb.net/move/mirror-coat" xr:uid="{00000000-0004-0000-0100-000090020000}"/>
    <hyperlink ref="B330" r:id="rId658" display="http://pokemondb.net/type/psychic" xr:uid="{00000000-0004-0000-0100-000091020000}"/>
    <hyperlink ref="A331" r:id="rId659" tooltip="View details for Mirror Move" display="http://pokemondb.net/move/mirror-move" xr:uid="{00000000-0004-0000-0100-000092020000}"/>
    <hyperlink ref="B331" r:id="rId660" display="http://pokemondb.net/type/flying" xr:uid="{00000000-0004-0000-0100-000093020000}"/>
    <hyperlink ref="A332" r:id="rId661" tooltip="View details for Mirror Shot" display="http://pokemondb.net/move/mirror-shot" xr:uid="{00000000-0004-0000-0100-000094020000}"/>
    <hyperlink ref="B332" r:id="rId662" display="http://pokemondb.net/type/steel" xr:uid="{00000000-0004-0000-0100-000095020000}"/>
    <hyperlink ref="A333" r:id="rId663" tooltip="View details for Mist" display="http://pokemondb.net/move/mist" xr:uid="{00000000-0004-0000-0100-000096020000}"/>
    <hyperlink ref="B333" r:id="rId664" display="http://pokemondb.net/type/ice" xr:uid="{00000000-0004-0000-0100-000097020000}"/>
    <hyperlink ref="A334" r:id="rId665" tooltip="View details for Mist Ball" display="http://pokemondb.net/move/mist-ball" xr:uid="{00000000-0004-0000-0100-000098020000}"/>
    <hyperlink ref="B334" r:id="rId666" display="http://pokemondb.net/type/psychic" xr:uid="{00000000-0004-0000-0100-000099020000}"/>
    <hyperlink ref="A335" r:id="rId667" tooltip="View details for Misty Terrain" display="http://pokemondb.net/move/misty-terrain" xr:uid="{00000000-0004-0000-0100-00009A020000}"/>
    <hyperlink ref="B335" r:id="rId668" display="http://pokemondb.net/type/fairy" xr:uid="{00000000-0004-0000-0100-00009B020000}"/>
    <hyperlink ref="A336" r:id="rId669" tooltip="View details for Moonblast" display="http://pokemondb.net/move/moonblast" xr:uid="{00000000-0004-0000-0100-00009C020000}"/>
    <hyperlink ref="B336" r:id="rId670" display="http://pokemondb.net/type/fairy" xr:uid="{00000000-0004-0000-0100-00009D020000}"/>
    <hyperlink ref="A337" r:id="rId671" tooltip="View details for Moonlight" display="http://pokemondb.net/move/moonlight" xr:uid="{00000000-0004-0000-0100-00009E020000}"/>
    <hyperlink ref="B337" r:id="rId672" display="http://pokemondb.net/type/fairy" xr:uid="{00000000-0004-0000-0100-00009F020000}"/>
    <hyperlink ref="A338" r:id="rId673" tooltip="View details for Morning Sun" display="http://pokemondb.net/move/morning-sun" xr:uid="{00000000-0004-0000-0100-0000A0020000}"/>
    <hyperlink ref="B338" r:id="rId674" display="http://pokemondb.net/type/normal" xr:uid="{00000000-0004-0000-0100-0000A1020000}"/>
    <hyperlink ref="A339" r:id="rId675" tooltip="View details for Mud Bomb" display="http://pokemondb.net/move/mud-bomb" xr:uid="{00000000-0004-0000-0100-0000A2020000}"/>
    <hyperlink ref="B339" r:id="rId676" display="http://pokemondb.net/type/ground" xr:uid="{00000000-0004-0000-0100-0000A3020000}"/>
    <hyperlink ref="A340" r:id="rId677" tooltip="View details for Mud Shot" display="http://pokemondb.net/move/mud-shot" xr:uid="{00000000-0004-0000-0100-0000A4020000}"/>
    <hyperlink ref="B340" r:id="rId678" display="http://pokemondb.net/type/ground" xr:uid="{00000000-0004-0000-0100-0000A5020000}"/>
    <hyperlink ref="A341" r:id="rId679" tooltip="View details for Mud Sport" display="http://pokemondb.net/move/mud-sport" xr:uid="{00000000-0004-0000-0100-0000A6020000}"/>
    <hyperlink ref="B341" r:id="rId680" display="http://pokemondb.net/type/ground" xr:uid="{00000000-0004-0000-0100-0000A7020000}"/>
    <hyperlink ref="A342" r:id="rId681" tooltip="View details for Mud-Slap" display="http://pokemondb.net/move/mud-slap" xr:uid="{00000000-0004-0000-0100-0000A8020000}"/>
    <hyperlink ref="B342" r:id="rId682" display="http://pokemondb.net/type/ground" xr:uid="{00000000-0004-0000-0100-0000A9020000}"/>
    <hyperlink ref="A343" r:id="rId683" tooltip="View details for Muddy Water" display="http://pokemondb.net/move/muddy-water" xr:uid="{00000000-0004-0000-0100-0000AA020000}"/>
    <hyperlink ref="B343" r:id="rId684" display="http://pokemondb.net/type/water" xr:uid="{00000000-0004-0000-0100-0000AB020000}"/>
    <hyperlink ref="A344" r:id="rId685" tooltip="View details for Mystical Fire" display="http://pokemondb.net/move/mystical-fire" xr:uid="{00000000-0004-0000-0100-0000AC020000}"/>
    <hyperlink ref="B344" r:id="rId686" display="http://pokemondb.net/type/fire" xr:uid="{00000000-0004-0000-0100-0000AD020000}"/>
    <hyperlink ref="A345" r:id="rId687" tooltip="View details for Nasty Plot" display="http://pokemondb.net/move/nasty-plot" xr:uid="{00000000-0004-0000-0100-0000AE020000}"/>
    <hyperlink ref="B345" r:id="rId688" display="http://pokemondb.net/type/dark" xr:uid="{00000000-0004-0000-0100-0000AF020000}"/>
    <hyperlink ref="A346" r:id="rId689" tooltip="View details for Natural Gift" display="http://pokemondb.net/move/natural-gift" xr:uid="{00000000-0004-0000-0100-0000B0020000}"/>
    <hyperlink ref="B346" r:id="rId690" display="http://pokemondb.net/type/normal" xr:uid="{00000000-0004-0000-0100-0000B1020000}"/>
    <hyperlink ref="A347" r:id="rId691" tooltip="View details for Nature Power" display="http://pokemondb.net/move/nature-power" xr:uid="{00000000-0004-0000-0100-0000B2020000}"/>
    <hyperlink ref="B347" r:id="rId692" display="http://pokemondb.net/type/normal" xr:uid="{00000000-0004-0000-0100-0000B3020000}"/>
    <hyperlink ref="A348" r:id="rId693" tooltip="View details for Needle Arm" display="http://pokemondb.net/move/needle-arm" xr:uid="{00000000-0004-0000-0100-0000B4020000}"/>
    <hyperlink ref="B348" r:id="rId694" display="http://pokemondb.net/type/grass" xr:uid="{00000000-0004-0000-0100-0000B5020000}"/>
    <hyperlink ref="A349" r:id="rId695" tooltip="View details for Night Daze" display="http://pokemondb.net/move/night-daze" xr:uid="{00000000-0004-0000-0100-0000B6020000}"/>
    <hyperlink ref="B349" r:id="rId696" display="http://pokemondb.net/type/dark" xr:uid="{00000000-0004-0000-0100-0000B7020000}"/>
    <hyperlink ref="A350" r:id="rId697" tooltip="View details for Night Shade" display="http://pokemondb.net/move/night-shade" xr:uid="{00000000-0004-0000-0100-0000B8020000}"/>
    <hyperlink ref="B350" r:id="rId698" display="http://pokemondb.net/type/ghost" xr:uid="{00000000-0004-0000-0100-0000B9020000}"/>
    <hyperlink ref="A351" r:id="rId699" tooltip="View details for Night Slash" display="http://pokemondb.net/move/night-slash" xr:uid="{00000000-0004-0000-0100-0000BA020000}"/>
    <hyperlink ref="B351" r:id="rId700" display="http://pokemondb.net/type/dark" xr:uid="{00000000-0004-0000-0100-0000BB020000}"/>
    <hyperlink ref="A352" r:id="rId701" tooltip="View details for Nightmare" display="http://pokemondb.net/move/nightmare" xr:uid="{00000000-0004-0000-0100-0000BC020000}"/>
    <hyperlink ref="B352" r:id="rId702" display="http://pokemondb.net/type/ghost" xr:uid="{00000000-0004-0000-0100-0000BD020000}"/>
    <hyperlink ref="A353" r:id="rId703" tooltip="View details for Noble Roar" display="http://pokemondb.net/move/noble-roar" xr:uid="{00000000-0004-0000-0100-0000BE020000}"/>
    <hyperlink ref="B353" r:id="rId704" display="http://pokemondb.net/type/normal" xr:uid="{00000000-0004-0000-0100-0000BF020000}"/>
    <hyperlink ref="A354" r:id="rId705" tooltip="View details for Nuzzle" display="http://pokemondb.net/move/nuzzle" xr:uid="{00000000-0004-0000-0100-0000C0020000}"/>
    <hyperlink ref="B354" r:id="rId706" display="http://pokemondb.net/type/electric" xr:uid="{00000000-0004-0000-0100-0000C1020000}"/>
    <hyperlink ref="A355" r:id="rId707" tooltip="View details for Oblivion Wing" display="http://pokemondb.net/move/oblivion-wing" xr:uid="{00000000-0004-0000-0100-0000C2020000}"/>
    <hyperlink ref="B355" r:id="rId708" display="http://pokemondb.net/type/flying" xr:uid="{00000000-0004-0000-0100-0000C3020000}"/>
    <hyperlink ref="A356" r:id="rId709" tooltip="View details for Octazooka" display="http://pokemondb.net/move/octazooka" xr:uid="{00000000-0004-0000-0100-0000C4020000}"/>
    <hyperlink ref="B356" r:id="rId710" display="http://pokemondb.net/type/water" xr:uid="{00000000-0004-0000-0100-0000C5020000}"/>
    <hyperlink ref="A357" r:id="rId711" tooltip="View details for Odor Sleuth" display="http://pokemondb.net/move/odor-sleuth" xr:uid="{00000000-0004-0000-0100-0000C6020000}"/>
    <hyperlink ref="B357" r:id="rId712" display="http://pokemondb.net/type/normal" xr:uid="{00000000-0004-0000-0100-0000C7020000}"/>
    <hyperlink ref="A358" r:id="rId713" tooltip="View details for Ominous Wind" display="http://pokemondb.net/move/ominous-wind" xr:uid="{00000000-0004-0000-0100-0000C8020000}"/>
    <hyperlink ref="B358" r:id="rId714" display="http://pokemondb.net/type/ghost" xr:uid="{00000000-0004-0000-0100-0000C9020000}"/>
    <hyperlink ref="A359" r:id="rId715" tooltip="View details for Outrage" display="http://pokemondb.net/move/outrage" xr:uid="{00000000-0004-0000-0100-0000CA020000}"/>
    <hyperlink ref="B359" r:id="rId716" display="http://pokemondb.net/type/dragon" xr:uid="{00000000-0004-0000-0100-0000CB020000}"/>
    <hyperlink ref="A360" r:id="rId717" tooltip="View details for Overheat" display="http://pokemondb.net/move/overheat" xr:uid="{00000000-0004-0000-0100-0000CC020000}"/>
    <hyperlink ref="B360" r:id="rId718" display="http://pokemondb.net/type/fire" xr:uid="{00000000-0004-0000-0100-0000CD020000}"/>
    <hyperlink ref="A361" r:id="rId719" tooltip="View details for Pain Split" display="http://pokemondb.net/move/pain-split" xr:uid="{00000000-0004-0000-0100-0000CE020000}"/>
    <hyperlink ref="B361" r:id="rId720" display="http://pokemondb.net/type/normal" xr:uid="{00000000-0004-0000-0100-0000CF020000}"/>
    <hyperlink ref="A362" r:id="rId721" tooltip="View details for Parabolic Charge" display="http://pokemondb.net/move/parabolic-charge" xr:uid="{00000000-0004-0000-0100-0000D0020000}"/>
    <hyperlink ref="B362" r:id="rId722" display="http://pokemondb.net/type/electric" xr:uid="{00000000-0004-0000-0100-0000D1020000}"/>
    <hyperlink ref="A363" r:id="rId723" tooltip="View details for Parting Shot" display="http://pokemondb.net/move/parting-shot" xr:uid="{00000000-0004-0000-0100-0000D2020000}"/>
    <hyperlink ref="B363" r:id="rId724" display="http://pokemondb.net/type/dark" xr:uid="{00000000-0004-0000-0100-0000D3020000}"/>
    <hyperlink ref="A364" r:id="rId725" tooltip="View details for Pay Day" display="http://pokemondb.net/move/pay-day" xr:uid="{00000000-0004-0000-0100-0000D4020000}"/>
    <hyperlink ref="B364" r:id="rId726" display="http://pokemondb.net/type/normal" xr:uid="{00000000-0004-0000-0100-0000D5020000}"/>
    <hyperlink ref="A365" r:id="rId727" tooltip="View details for Payback" display="http://pokemondb.net/move/payback" xr:uid="{00000000-0004-0000-0100-0000D6020000}"/>
    <hyperlink ref="B365" r:id="rId728" display="http://pokemondb.net/type/dark" xr:uid="{00000000-0004-0000-0100-0000D7020000}"/>
    <hyperlink ref="A366" r:id="rId729" tooltip="View details for Peck" display="http://pokemondb.net/move/peck" xr:uid="{00000000-0004-0000-0100-0000D8020000}"/>
    <hyperlink ref="B366" r:id="rId730" display="http://pokemondb.net/type/flying" xr:uid="{00000000-0004-0000-0100-0000D9020000}"/>
    <hyperlink ref="A367" r:id="rId731" tooltip="View details for Perish Song" display="http://pokemondb.net/move/perish-song" xr:uid="{00000000-0004-0000-0100-0000DA020000}"/>
    <hyperlink ref="B367" r:id="rId732" display="http://pokemondb.net/type/normal" xr:uid="{00000000-0004-0000-0100-0000DB020000}"/>
    <hyperlink ref="A368" r:id="rId733" tooltip="View details for Petal Blizzard" display="http://pokemondb.net/move/petal-blizzard" xr:uid="{00000000-0004-0000-0100-0000DC020000}"/>
    <hyperlink ref="B368" r:id="rId734" display="http://pokemondb.net/type/grass" xr:uid="{00000000-0004-0000-0100-0000DD020000}"/>
    <hyperlink ref="A369" r:id="rId735" tooltip="View details for Petal Dance" display="http://pokemondb.net/move/petal-dance" xr:uid="{00000000-0004-0000-0100-0000DE020000}"/>
    <hyperlink ref="B369" r:id="rId736" display="http://pokemondb.net/type/grass" xr:uid="{00000000-0004-0000-0100-0000DF020000}"/>
    <hyperlink ref="A370" r:id="rId737" tooltip="View details for Phantom Force" display="http://pokemondb.net/move/phantom-force" xr:uid="{00000000-0004-0000-0100-0000E0020000}"/>
    <hyperlink ref="B370" r:id="rId738" display="http://pokemondb.net/type/ghost" xr:uid="{00000000-0004-0000-0100-0000E1020000}"/>
    <hyperlink ref="A371" r:id="rId739" tooltip="View details for Pin Missile" display="http://pokemondb.net/move/pin-missile" xr:uid="{00000000-0004-0000-0100-0000E2020000}"/>
    <hyperlink ref="B371" r:id="rId740" display="http://pokemondb.net/type/bug" xr:uid="{00000000-0004-0000-0100-0000E3020000}"/>
    <hyperlink ref="A372" r:id="rId741" tooltip="View details for Play Nice" display="http://pokemondb.net/move/play-nice" xr:uid="{00000000-0004-0000-0100-0000E4020000}"/>
    <hyperlink ref="B372" r:id="rId742" display="http://pokemondb.net/type/electric" xr:uid="{00000000-0004-0000-0100-0000E5020000}"/>
    <hyperlink ref="A373" r:id="rId743" tooltip="View details for Play Rough" display="http://pokemondb.net/move/play-rough" xr:uid="{00000000-0004-0000-0100-0000E6020000}"/>
    <hyperlink ref="B373" r:id="rId744" display="http://pokemondb.net/type/fairy" xr:uid="{00000000-0004-0000-0100-0000E7020000}"/>
    <hyperlink ref="A374" r:id="rId745" tooltip="View details for Pluck" display="http://pokemondb.net/move/pluck" xr:uid="{00000000-0004-0000-0100-0000E8020000}"/>
    <hyperlink ref="B374" r:id="rId746" display="http://pokemondb.net/type/flying" xr:uid="{00000000-0004-0000-0100-0000E9020000}"/>
    <hyperlink ref="A375" r:id="rId747" tooltip="View details for Poison Fang" display="http://pokemondb.net/move/poison-fang" xr:uid="{00000000-0004-0000-0100-0000EA020000}"/>
    <hyperlink ref="B375" r:id="rId748" display="http://pokemondb.net/type/poison" xr:uid="{00000000-0004-0000-0100-0000EB020000}"/>
    <hyperlink ref="A376" r:id="rId749" tooltip="View details for Poison Gas" display="http://pokemondb.net/move/poison-gas" xr:uid="{00000000-0004-0000-0100-0000EC020000}"/>
    <hyperlink ref="B376" r:id="rId750" display="http://pokemondb.net/type/poison" xr:uid="{00000000-0004-0000-0100-0000ED020000}"/>
    <hyperlink ref="A377" r:id="rId751" tooltip="View details for Poison Jab" display="http://pokemondb.net/move/poison-jab" xr:uid="{00000000-0004-0000-0100-0000EE020000}"/>
    <hyperlink ref="B377" r:id="rId752" display="http://pokemondb.net/type/poison" xr:uid="{00000000-0004-0000-0100-0000EF020000}"/>
    <hyperlink ref="A378" r:id="rId753" tooltip="View details for Poison Sting" display="http://pokemondb.net/move/poison-sting" xr:uid="{00000000-0004-0000-0100-0000F0020000}"/>
    <hyperlink ref="B378" r:id="rId754" display="http://pokemondb.net/type/poison" xr:uid="{00000000-0004-0000-0100-0000F1020000}"/>
    <hyperlink ref="A379" r:id="rId755" tooltip="View details for Poison Tail" display="http://pokemondb.net/move/poison-tail" xr:uid="{00000000-0004-0000-0100-0000F2020000}"/>
    <hyperlink ref="B379" r:id="rId756" display="http://pokemondb.net/type/poison" xr:uid="{00000000-0004-0000-0100-0000F3020000}"/>
    <hyperlink ref="A380" r:id="rId757" tooltip="View details for PoisonPowder" display="http://pokemondb.net/move/poisonpowder" xr:uid="{00000000-0004-0000-0100-0000F4020000}"/>
    <hyperlink ref="B380" r:id="rId758" display="http://pokemondb.net/type/poison" xr:uid="{00000000-0004-0000-0100-0000F5020000}"/>
    <hyperlink ref="A381" r:id="rId759" tooltip="View details for Pound" display="http://pokemondb.net/move/pound" xr:uid="{00000000-0004-0000-0100-0000F6020000}"/>
    <hyperlink ref="B381" r:id="rId760" display="http://pokemondb.net/type/normal" xr:uid="{00000000-0004-0000-0100-0000F7020000}"/>
    <hyperlink ref="A382" r:id="rId761" tooltip="View details for Powder" display="http://pokemondb.net/move/powder" xr:uid="{00000000-0004-0000-0100-0000F8020000}"/>
    <hyperlink ref="B382" r:id="rId762" display="http://pokemondb.net/type/bug" xr:uid="{00000000-0004-0000-0100-0000F9020000}"/>
    <hyperlink ref="A383" r:id="rId763" tooltip="View details for Powder Snow" display="http://pokemondb.net/move/powder-snow" xr:uid="{00000000-0004-0000-0100-0000FA020000}"/>
    <hyperlink ref="B383" r:id="rId764" display="http://pokemondb.net/type/ice" xr:uid="{00000000-0004-0000-0100-0000FB020000}"/>
    <hyperlink ref="A384" r:id="rId765" tooltip="View details for Power Gem" display="http://pokemondb.net/move/power-gem" xr:uid="{00000000-0004-0000-0100-0000FC020000}"/>
    <hyperlink ref="B384" r:id="rId766" display="http://pokemondb.net/type/rock" xr:uid="{00000000-0004-0000-0100-0000FD020000}"/>
    <hyperlink ref="A385" r:id="rId767" tooltip="View details for Power Split" display="http://pokemondb.net/move/power-split" xr:uid="{00000000-0004-0000-0100-0000FE020000}"/>
    <hyperlink ref="B385" r:id="rId768" display="http://pokemondb.net/type/psychic" xr:uid="{00000000-0004-0000-0100-0000FF020000}"/>
    <hyperlink ref="A386" r:id="rId769" tooltip="View details for Power Swap" display="http://pokemondb.net/move/power-swap" xr:uid="{00000000-0004-0000-0100-000000030000}"/>
    <hyperlink ref="B386" r:id="rId770" display="http://pokemondb.net/type/psychic" xr:uid="{00000000-0004-0000-0100-000001030000}"/>
    <hyperlink ref="A387" r:id="rId771" tooltip="View details for Power Trick" display="http://pokemondb.net/move/power-trick" xr:uid="{00000000-0004-0000-0100-000002030000}"/>
    <hyperlink ref="B387" r:id="rId772" display="http://pokemondb.net/type/psychic" xr:uid="{00000000-0004-0000-0100-000003030000}"/>
    <hyperlink ref="A388" r:id="rId773" tooltip="View details for Power Whip" display="http://pokemondb.net/move/power-whip" xr:uid="{00000000-0004-0000-0100-000004030000}"/>
    <hyperlink ref="B388" r:id="rId774" display="http://pokemondb.net/type/grass" xr:uid="{00000000-0004-0000-0100-000005030000}"/>
    <hyperlink ref="A389" r:id="rId775" tooltip="View details for Power-Up Punch" display="http://pokemondb.net/move/power-up-punch" xr:uid="{00000000-0004-0000-0100-000006030000}"/>
    <hyperlink ref="B389" r:id="rId776" display="http://pokemondb.net/type/fighting" xr:uid="{00000000-0004-0000-0100-000007030000}"/>
    <hyperlink ref="A390" r:id="rId777" tooltip="View details for Present" display="http://pokemondb.net/move/present" xr:uid="{00000000-0004-0000-0100-000008030000}"/>
    <hyperlink ref="B390" r:id="rId778" display="http://pokemondb.net/type/normal" xr:uid="{00000000-0004-0000-0100-000009030000}"/>
    <hyperlink ref="A391" r:id="rId779" tooltip="View details for Protect" display="http://pokemondb.net/move/protect" xr:uid="{00000000-0004-0000-0100-00000A030000}"/>
    <hyperlink ref="B391" r:id="rId780" display="http://pokemondb.net/type/normal" xr:uid="{00000000-0004-0000-0100-00000B030000}"/>
    <hyperlink ref="A392" r:id="rId781" tooltip="View details for Psybeam" display="http://pokemondb.net/move/psybeam" xr:uid="{00000000-0004-0000-0100-00000C030000}"/>
    <hyperlink ref="B392" r:id="rId782" display="http://pokemondb.net/type/psychic" xr:uid="{00000000-0004-0000-0100-00000D030000}"/>
    <hyperlink ref="A393" r:id="rId783" tooltip="View details for Psych Up" display="http://pokemondb.net/move/psych-up" xr:uid="{00000000-0004-0000-0100-00000E030000}"/>
    <hyperlink ref="B393" r:id="rId784" display="http://pokemondb.net/type/normal" xr:uid="{00000000-0004-0000-0100-00000F030000}"/>
    <hyperlink ref="A394" r:id="rId785" tooltip="View details for Psychic" display="http://pokemondb.net/move/psychic" xr:uid="{00000000-0004-0000-0100-000010030000}"/>
    <hyperlink ref="B394" r:id="rId786" display="http://pokemondb.net/type/psychic" xr:uid="{00000000-0004-0000-0100-000011030000}"/>
    <hyperlink ref="A395" r:id="rId787" tooltip="View details for Psycho Boost" display="http://pokemondb.net/move/psycho-boost" xr:uid="{00000000-0004-0000-0100-000012030000}"/>
    <hyperlink ref="B395" r:id="rId788" display="http://pokemondb.net/type/psychic" xr:uid="{00000000-0004-0000-0100-000013030000}"/>
    <hyperlink ref="A396" r:id="rId789" tooltip="View details for Psycho Cut" display="http://pokemondb.net/move/psycho-cut" xr:uid="{00000000-0004-0000-0100-000014030000}"/>
    <hyperlink ref="B396" r:id="rId790" display="http://pokemondb.net/type/psychic" xr:uid="{00000000-0004-0000-0100-000015030000}"/>
    <hyperlink ref="A397" r:id="rId791" tooltip="View details for Psycho Shift" display="http://pokemondb.net/move/psycho-shift" xr:uid="{00000000-0004-0000-0100-000016030000}"/>
    <hyperlink ref="B397" r:id="rId792" display="http://pokemondb.net/type/psychic" xr:uid="{00000000-0004-0000-0100-000017030000}"/>
    <hyperlink ref="A398" r:id="rId793" tooltip="View details for Psyshock" display="http://pokemondb.net/move/psyshock" xr:uid="{00000000-0004-0000-0100-000018030000}"/>
    <hyperlink ref="B398" r:id="rId794" display="http://pokemondb.net/type/psychic" xr:uid="{00000000-0004-0000-0100-000019030000}"/>
    <hyperlink ref="A399" r:id="rId795" tooltip="View details for Psystrike" display="http://pokemondb.net/move/psystrike" xr:uid="{00000000-0004-0000-0100-00001A030000}"/>
    <hyperlink ref="B399" r:id="rId796" display="http://pokemondb.net/type/psychic" xr:uid="{00000000-0004-0000-0100-00001B030000}"/>
    <hyperlink ref="A400" r:id="rId797" tooltip="View details for Psywave" display="http://pokemondb.net/move/psywave" xr:uid="{00000000-0004-0000-0100-00001C030000}"/>
    <hyperlink ref="B400" r:id="rId798" display="http://pokemondb.net/type/psychic" xr:uid="{00000000-0004-0000-0100-00001D030000}"/>
    <hyperlink ref="A401" r:id="rId799" tooltip="View details for Punishment" display="http://pokemondb.net/move/punishment" xr:uid="{00000000-0004-0000-0100-00001E030000}"/>
    <hyperlink ref="B401" r:id="rId800" display="http://pokemondb.net/type/dark" xr:uid="{00000000-0004-0000-0100-00001F030000}"/>
    <hyperlink ref="A402" r:id="rId801" tooltip="View details for Pursuit" display="http://pokemondb.net/move/pursuit" xr:uid="{00000000-0004-0000-0100-000020030000}"/>
    <hyperlink ref="B402" r:id="rId802" display="http://pokemondb.net/type/dark" xr:uid="{00000000-0004-0000-0100-000021030000}"/>
    <hyperlink ref="A403" r:id="rId803" tooltip="View details for Quash" display="http://pokemondb.net/move/quash" xr:uid="{00000000-0004-0000-0100-000022030000}"/>
    <hyperlink ref="B403" r:id="rId804" display="http://pokemondb.net/type/dark" xr:uid="{00000000-0004-0000-0100-000023030000}"/>
    <hyperlink ref="A404" r:id="rId805" tooltip="View details for Quick Attack" display="http://pokemondb.net/move/quick-attack" xr:uid="{00000000-0004-0000-0100-000024030000}"/>
    <hyperlink ref="B404" r:id="rId806" display="http://pokemondb.net/type/normal" xr:uid="{00000000-0004-0000-0100-000025030000}"/>
    <hyperlink ref="A405" r:id="rId807" tooltip="View details for Quick Guard" display="http://pokemondb.net/move/quick-guard" xr:uid="{00000000-0004-0000-0100-000026030000}"/>
    <hyperlink ref="B405" r:id="rId808" display="http://pokemondb.net/type/fighting" xr:uid="{00000000-0004-0000-0100-000027030000}"/>
    <hyperlink ref="A406" r:id="rId809" tooltip="View details for Quiver Dance" display="http://pokemondb.net/move/quiver-dance" xr:uid="{00000000-0004-0000-0100-000028030000}"/>
    <hyperlink ref="B406" r:id="rId810" display="http://pokemondb.net/type/bug" xr:uid="{00000000-0004-0000-0100-000029030000}"/>
    <hyperlink ref="A407" r:id="rId811" tooltip="View details for Rage" display="http://pokemondb.net/move/rage" xr:uid="{00000000-0004-0000-0100-00002A030000}"/>
    <hyperlink ref="B407" r:id="rId812" display="http://pokemondb.net/type/normal" xr:uid="{00000000-0004-0000-0100-00002B030000}"/>
    <hyperlink ref="A408" r:id="rId813" tooltip="View details for Rage Powder" display="http://pokemondb.net/move/rage-powder" xr:uid="{00000000-0004-0000-0100-00002C030000}"/>
    <hyperlink ref="B408" r:id="rId814" display="http://pokemondb.net/type/bug" xr:uid="{00000000-0004-0000-0100-00002D030000}"/>
    <hyperlink ref="A409" r:id="rId815" tooltip="View details for Rain Dance" display="http://pokemondb.net/move/rain-dance" xr:uid="{00000000-0004-0000-0100-00002E030000}"/>
    <hyperlink ref="B409" r:id="rId816" display="http://pokemondb.net/type/water" xr:uid="{00000000-0004-0000-0100-00002F030000}"/>
    <hyperlink ref="A410" r:id="rId817" tooltip="View details for Rapid Spin" display="http://pokemondb.net/move/rapid-spin" xr:uid="{00000000-0004-0000-0100-000030030000}"/>
    <hyperlink ref="B410" r:id="rId818" display="http://pokemondb.net/type/normal" xr:uid="{00000000-0004-0000-0100-000031030000}"/>
    <hyperlink ref="A411" r:id="rId819" tooltip="View details for Razor Leaf" display="http://pokemondb.net/move/razor-leaf" xr:uid="{00000000-0004-0000-0100-000032030000}"/>
    <hyperlink ref="B411" r:id="rId820" display="http://pokemondb.net/type/grass" xr:uid="{00000000-0004-0000-0100-000033030000}"/>
    <hyperlink ref="A412" r:id="rId821" tooltip="View details for Razor Shell" display="http://pokemondb.net/move/razor-shell" xr:uid="{00000000-0004-0000-0100-000034030000}"/>
    <hyperlink ref="B412" r:id="rId822" display="http://pokemondb.net/type/water" xr:uid="{00000000-0004-0000-0100-000035030000}"/>
    <hyperlink ref="A413" r:id="rId823" tooltip="View details for Razor Wind" display="http://pokemondb.net/move/razor-wind" xr:uid="{00000000-0004-0000-0100-000036030000}"/>
    <hyperlink ref="B413" r:id="rId824" display="http://pokemondb.net/type/normal" xr:uid="{00000000-0004-0000-0100-000037030000}"/>
    <hyperlink ref="A414" r:id="rId825" tooltip="View details for Recover" display="http://pokemondb.net/move/recover" xr:uid="{00000000-0004-0000-0100-000038030000}"/>
    <hyperlink ref="B414" r:id="rId826" display="http://pokemondb.net/type/normal" xr:uid="{00000000-0004-0000-0100-000039030000}"/>
    <hyperlink ref="A415" r:id="rId827" tooltip="View details for Recycle" display="http://pokemondb.net/move/recycle" xr:uid="{00000000-0004-0000-0100-00003A030000}"/>
    <hyperlink ref="B415" r:id="rId828" display="http://pokemondb.net/type/normal" xr:uid="{00000000-0004-0000-0100-00003B030000}"/>
    <hyperlink ref="A416" r:id="rId829" tooltip="View details for Reflect" display="http://pokemondb.net/move/reflect" xr:uid="{00000000-0004-0000-0100-00003C030000}"/>
    <hyperlink ref="B416" r:id="rId830" display="http://pokemondb.net/type/psychic" xr:uid="{00000000-0004-0000-0100-00003D030000}"/>
    <hyperlink ref="A417" r:id="rId831" tooltip="View details for Reflect Type" display="http://pokemondb.net/move/reflect-type" xr:uid="{00000000-0004-0000-0100-00003E030000}"/>
    <hyperlink ref="B417" r:id="rId832" display="http://pokemondb.net/type/normal" xr:uid="{00000000-0004-0000-0100-00003F030000}"/>
    <hyperlink ref="A418" r:id="rId833" tooltip="View details for Refresh" display="http://pokemondb.net/move/refresh" xr:uid="{00000000-0004-0000-0100-000040030000}"/>
    <hyperlink ref="B418" r:id="rId834" display="http://pokemondb.net/type/normal" xr:uid="{00000000-0004-0000-0100-000041030000}"/>
    <hyperlink ref="A419" r:id="rId835" tooltip="View details for Relic Song" display="http://pokemondb.net/move/relic-song" xr:uid="{00000000-0004-0000-0100-000042030000}"/>
    <hyperlink ref="B419" r:id="rId836" display="http://pokemondb.net/type/normal" xr:uid="{00000000-0004-0000-0100-000043030000}"/>
    <hyperlink ref="A420" r:id="rId837" tooltip="View details for Rest" display="http://pokemondb.net/move/rest" xr:uid="{00000000-0004-0000-0100-000044030000}"/>
    <hyperlink ref="B420" r:id="rId838" display="http://pokemondb.net/type/psychic" xr:uid="{00000000-0004-0000-0100-000045030000}"/>
    <hyperlink ref="A421" r:id="rId839" tooltip="View details for Retaliate" display="http://pokemondb.net/move/retaliate" xr:uid="{00000000-0004-0000-0100-000046030000}"/>
    <hyperlink ref="B421" r:id="rId840" display="http://pokemondb.net/type/normal" xr:uid="{00000000-0004-0000-0100-000047030000}"/>
    <hyperlink ref="A422" r:id="rId841" tooltip="View details for Return" display="http://pokemondb.net/move/return" xr:uid="{00000000-0004-0000-0100-000048030000}"/>
    <hyperlink ref="B422" r:id="rId842" display="http://pokemondb.net/type/normal" xr:uid="{00000000-0004-0000-0100-000049030000}"/>
    <hyperlink ref="A423" r:id="rId843" tooltip="View details for Revenge" display="http://pokemondb.net/move/revenge" xr:uid="{00000000-0004-0000-0100-00004A030000}"/>
    <hyperlink ref="B423" r:id="rId844" display="http://pokemondb.net/type/fighting" xr:uid="{00000000-0004-0000-0100-00004B030000}"/>
    <hyperlink ref="A424" r:id="rId845" tooltip="View details for Reversal" display="http://pokemondb.net/move/reversal" xr:uid="{00000000-0004-0000-0100-00004C030000}"/>
    <hyperlink ref="B424" r:id="rId846" display="http://pokemondb.net/type/fighting" xr:uid="{00000000-0004-0000-0100-00004D030000}"/>
    <hyperlink ref="A425" r:id="rId847" tooltip="View details for Roar" display="http://pokemondb.net/move/roar" xr:uid="{00000000-0004-0000-0100-00004E030000}"/>
    <hyperlink ref="B425" r:id="rId848" display="http://pokemondb.net/type/normal" xr:uid="{00000000-0004-0000-0100-00004F030000}"/>
    <hyperlink ref="A426" r:id="rId849" tooltip="View details for Roar of Time" display="http://pokemondb.net/move/roar-of-time" xr:uid="{00000000-0004-0000-0100-000050030000}"/>
    <hyperlink ref="B426" r:id="rId850" display="http://pokemondb.net/type/dragon" xr:uid="{00000000-0004-0000-0100-000051030000}"/>
    <hyperlink ref="A427" r:id="rId851" tooltip="View details for Rock Blast" display="http://pokemondb.net/move/rock-blast" xr:uid="{00000000-0004-0000-0100-000052030000}"/>
    <hyperlink ref="B427" r:id="rId852" display="http://pokemondb.net/type/rock" xr:uid="{00000000-0004-0000-0100-000053030000}"/>
    <hyperlink ref="A428" r:id="rId853" tooltip="View details for Rock Climb" display="http://pokemondb.net/move/rock-climb" xr:uid="{00000000-0004-0000-0100-000054030000}"/>
    <hyperlink ref="B428" r:id="rId854" display="http://pokemondb.net/type/normal" xr:uid="{00000000-0004-0000-0100-000055030000}"/>
    <hyperlink ref="A429" r:id="rId855" tooltip="View details for Rock Polish" display="http://pokemondb.net/move/rock-polish" xr:uid="{00000000-0004-0000-0100-000056030000}"/>
    <hyperlink ref="B429" r:id="rId856" display="http://pokemondb.net/type/rock" xr:uid="{00000000-0004-0000-0100-000057030000}"/>
    <hyperlink ref="A430" r:id="rId857" tooltip="View details for Rock Slide" display="http://pokemondb.net/move/rock-slide" xr:uid="{00000000-0004-0000-0100-000058030000}"/>
    <hyperlink ref="B430" r:id="rId858" display="http://pokemondb.net/type/rock" xr:uid="{00000000-0004-0000-0100-000059030000}"/>
    <hyperlink ref="A431" r:id="rId859" tooltip="View details for Rock Smash" display="http://pokemondb.net/move/rock-smash" xr:uid="{00000000-0004-0000-0100-00005A030000}"/>
    <hyperlink ref="B431" r:id="rId860" display="http://pokemondb.net/type/fighting" xr:uid="{00000000-0004-0000-0100-00005B030000}"/>
    <hyperlink ref="A432" r:id="rId861" tooltip="View details for Rock Throw" display="http://pokemondb.net/move/rock-throw" xr:uid="{00000000-0004-0000-0100-00005C030000}"/>
    <hyperlink ref="B432" r:id="rId862" display="http://pokemondb.net/type/rock" xr:uid="{00000000-0004-0000-0100-00005D030000}"/>
    <hyperlink ref="A433" r:id="rId863" tooltip="View details for Rock Tomb" display="http://pokemondb.net/move/rock-tomb" xr:uid="{00000000-0004-0000-0100-00005E030000}"/>
    <hyperlink ref="B433" r:id="rId864" display="http://pokemondb.net/type/rock" xr:uid="{00000000-0004-0000-0100-00005F030000}"/>
    <hyperlink ref="A434" r:id="rId865" tooltip="View details for Rock Wrecker" display="http://pokemondb.net/move/rock-wrecker" xr:uid="{00000000-0004-0000-0100-000060030000}"/>
    <hyperlink ref="B434" r:id="rId866" display="http://pokemondb.net/type/rock" xr:uid="{00000000-0004-0000-0100-000061030000}"/>
    <hyperlink ref="A435" r:id="rId867" tooltip="View details for Role Play" display="http://pokemondb.net/move/role-play" xr:uid="{00000000-0004-0000-0100-000062030000}"/>
    <hyperlink ref="B435" r:id="rId868" display="http://pokemondb.net/type/psychic" xr:uid="{00000000-0004-0000-0100-000063030000}"/>
    <hyperlink ref="A436" r:id="rId869" tooltip="View details for Rolling Kick" display="http://pokemondb.net/move/rolling-kick" xr:uid="{00000000-0004-0000-0100-000064030000}"/>
    <hyperlink ref="B436" r:id="rId870" display="http://pokemondb.net/type/fighting" xr:uid="{00000000-0004-0000-0100-000065030000}"/>
    <hyperlink ref="A437" r:id="rId871" tooltip="View details for Rollout" display="http://pokemondb.net/move/rollout" xr:uid="{00000000-0004-0000-0100-000066030000}"/>
    <hyperlink ref="B437" r:id="rId872" display="http://pokemondb.net/type/rock" xr:uid="{00000000-0004-0000-0100-000067030000}"/>
    <hyperlink ref="A438" r:id="rId873" tooltip="View details for Roost" display="http://pokemondb.net/move/roost" xr:uid="{00000000-0004-0000-0100-000068030000}"/>
    <hyperlink ref="B438" r:id="rId874" display="http://pokemondb.net/type/flying" xr:uid="{00000000-0004-0000-0100-000069030000}"/>
    <hyperlink ref="A439" r:id="rId875" tooltip="View details for Rototiller" display="http://pokemondb.net/move/rototiller" xr:uid="{00000000-0004-0000-0100-00006A030000}"/>
    <hyperlink ref="B439" r:id="rId876" display="http://pokemondb.net/type/ground" xr:uid="{00000000-0004-0000-0100-00006B030000}"/>
    <hyperlink ref="A440" r:id="rId877" tooltip="View details for Round" display="http://pokemondb.net/move/round" xr:uid="{00000000-0004-0000-0100-00006C030000}"/>
    <hyperlink ref="B440" r:id="rId878" display="http://pokemondb.net/type/normal" xr:uid="{00000000-0004-0000-0100-00006D030000}"/>
    <hyperlink ref="A441" r:id="rId879" tooltip="View details for Sacred Fire" display="http://pokemondb.net/move/sacred-fire" xr:uid="{00000000-0004-0000-0100-00006E030000}"/>
    <hyperlink ref="B441" r:id="rId880" display="http://pokemondb.net/type/fire" xr:uid="{00000000-0004-0000-0100-00006F030000}"/>
    <hyperlink ref="A442" r:id="rId881" tooltip="View details for Sacred Sword" display="http://pokemondb.net/move/sacred-sword" xr:uid="{00000000-0004-0000-0100-000070030000}"/>
    <hyperlink ref="B442" r:id="rId882" display="http://pokemondb.net/type/fighting" xr:uid="{00000000-0004-0000-0100-000071030000}"/>
    <hyperlink ref="A443" r:id="rId883" tooltip="View details for Safeguard" display="http://pokemondb.net/move/safeguard" xr:uid="{00000000-0004-0000-0100-000072030000}"/>
    <hyperlink ref="B443" r:id="rId884" display="http://pokemondb.net/type/normal" xr:uid="{00000000-0004-0000-0100-000073030000}"/>
    <hyperlink ref="A444" r:id="rId885" tooltip="View details for Sand Tomb" display="http://pokemondb.net/move/sand-tomb" xr:uid="{00000000-0004-0000-0100-000074030000}"/>
    <hyperlink ref="B444" r:id="rId886" display="http://pokemondb.net/type/ground" xr:uid="{00000000-0004-0000-0100-000075030000}"/>
    <hyperlink ref="A445" r:id="rId887" tooltip="View details for Sand-Attack" display="http://pokemondb.net/move/sand-attack" xr:uid="{00000000-0004-0000-0100-000076030000}"/>
    <hyperlink ref="B445" r:id="rId888" display="http://pokemondb.net/type/ground" xr:uid="{00000000-0004-0000-0100-000077030000}"/>
    <hyperlink ref="A446" r:id="rId889" tooltip="View details for Sandstorm" display="http://pokemondb.net/move/sandstorm" xr:uid="{00000000-0004-0000-0100-000078030000}"/>
    <hyperlink ref="B446" r:id="rId890" display="http://pokemondb.net/type/rock" xr:uid="{00000000-0004-0000-0100-000079030000}"/>
    <hyperlink ref="A447" r:id="rId891" tooltip="View details for Scald" display="http://pokemondb.net/move/scald" xr:uid="{00000000-0004-0000-0100-00007A030000}"/>
    <hyperlink ref="B447" r:id="rId892" display="http://pokemondb.net/type/water" xr:uid="{00000000-0004-0000-0100-00007B030000}"/>
    <hyperlink ref="A448" r:id="rId893" tooltip="View details for Scary Face" display="http://pokemondb.net/move/scary-face" xr:uid="{00000000-0004-0000-0100-00007C030000}"/>
    <hyperlink ref="B448" r:id="rId894" display="http://pokemondb.net/type/normal" xr:uid="{00000000-0004-0000-0100-00007D030000}"/>
    <hyperlink ref="A449" r:id="rId895" tooltip="View details for Scratch" display="http://pokemondb.net/move/scratch" xr:uid="{00000000-0004-0000-0100-00007E030000}"/>
    <hyperlink ref="B449" r:id="rId896" display="http://pokemondb.net/type/normal" xr:uid="{00000000-0004-0000-0100-00007F030000}"/>
    <hyperlink ref="A450" r:id="rId897" tooltip="View details for Screech" display="http://pokemondb.net/move/screech" xr:uid="{00000000-0004-0000-0100-000080030000}"/>
    <hyperlink ref="B450" r:id="rId898" display="http://pokemondb.net/type/normal" xr:uid="{00000000-0004-0000-0100-000081030000}"/>
    <hyperlink ref="A451" r:id="rId899" tooltip="View details for Searing Shot" display="http://pokemondb.net/move/searing-shot" xr:uid="{00000000-0004-0000-0100-000082030000}"/>
    <hyperlink ref="B451" r:id="rId900" display="http://pokemondb.net/type/fire" xr:uid="{00000000-0004-0000-0100-000083030000}"/>
    <hyperlink ref="A452" r:id="rId901" tooltip="View details for Secret Power" display="http://pokemondb.net/move/secret-power" xr:uid="{00000000-0004-0000-0100-000084030000}"/>
    <hyperlink ref="B452" r:id="rId902" display="http://pokemondb.net/type/normal" xr:uid="{00000000-0004-0000-0100-000085030000}"/>
    <hyperlink ref="A453" r:id="rId903" tooltip="View details for Secret Sword" display="http://pokemondb.net/move/secret-sword" xr:uid="{00000000-0004-0000-0100-000086030000}"/>
    <hyperlink ref="B453" r:id="rId904" display="http://pokemondb.net/type/fighting" xr:uid="{00000000-0004-0000-0100-000087030000}"/>
    <hyperlink ref="A454" r:id="rId905" tooltip="View details for Seed Bomb" display="http://pokemondb.net/move/seed-bomb" xr:uid="{00000000-0004-0000-0100-000088030000}"/>
    <hyperlink ref="B454" r:id="rId906" display="http://pokemondb.net/type/grass" xr:uid="{00000000-0004-0000-0100-000089030000}"/>
    <hyperlink ref="A455" r:id="rId907" tooltip="View details for Seed Flare" display="http://pokemondb.net/move/seed-flare" xr:uid="{00000000-0004-0000-0100-00008A030000}"/>
    <hyperlink ref="B455" r:id="rId908" display="http://pokemondb.net/type/grass" xr:uid="{00000000-0004-0000-0100-00008B030000}"/>
    <hyperlink ref="A456" r:id="rId909" tooltip="View details for Seismic Toss" display="http://pokemondb.net/move/seismic-toss" xr:uid="{00000000-0004-0000-0100-00008C030000}"/>
    <hyperlink ref="B456" r:id="rId910" display="http://pokemondb.net/type/fighting" xr:uid="{00000000-0004-0000-0100-00008D030000}"/>
    <hyperlink ref="A457" r:id="rId911" tooltip="View details for Selfdestruct" display="http://pokemondb.net/move/selfdestruct" xr:uid="{00000000-0004-0000-0100-00008E030000}"/>
    <hyperlink ref="B457" r:id="rId912" display="http://pokemondb.net/type/normal" xr:uid="{00000000-0004-0000-0100-00008F030000}"/>
    <hyperlink ref="A458" r:id="rId913" tooltip="View details for Shadow Ball" display="http://pokemondb.net/move/shadow-ball" xr:uid="{00000000-0004-0000-0100-000090030000}"/>
    <hyperlink ref="B458" r:id="rId914" display="http://pokemondb.net/type/ghost" xr:uid="{00000000-0004-0000-0100-000091030000}"/>
    <hyperlink ref="A459" r:id="rId915" tooltip="View details for Shadow Claw" display="http://pokemondb.net/move/shadow-claw" xr:uid="{00000000-0004-0000-0100-000092030000}"/>
    <hyperlink ref="B459" r:id="rId916" display="http://pokemondb.net/type/ghost" xr:uid="{00000000-0004-0000-0100-000093030000}"/>
    <hyperlink ref="A460" r:id="rId917" tooltip="View details for Shadow Force" display="http://pokemondb.net/move/shadow-force" xr:uid="{00000000-0004-0000-0100-000094030000}"/>
    <hyperlink ref="B460" r:id="rId918" display="http://pokemondb.net/type/ghost" xr:uid="{00000000-0004-0000-0100-000095030000}"/>
    <hyperlink ref="A461" r:id="rId919" tooltip="View details for Shadow Punch" display="http://pokemondb.net/move/shadow-punch" xr:uid="{00000000-0004-0000-0100-000096030000}"/>
    <hyperlink ref="B461" r:id="rId920" display="http://pokemondb.net/type/ghost" xr:uid="{00000000-0004-0000-0100-000097030000}"/>
    <hyperlink ref="A462" r:id="rId921" tooltip="View details for Shadow Sneak" display="http://pokemondb.net/move/shadow-sneak" xr:uid="{00000000-0004-0000-0100-000098030000}"/>
    <hyperlink ref="B462" r:id="rId922" display="http://pokemondb.net/type/ghost" xr:uid="{00000000-0004-0000-0100-000099030000}"/>
    <hyperlink ref="A463" r:id="rId923" tooltip="View details for Sharpen" display="http://pokemondb.net/move/sharpen" xr:uid="{00000000-0004-0000-0100-00009A030000}"/>
    <hyperlink ref="B463" r:id="rId924" display="http://pokemondb.net/type/normal" xr:uid="{00000000-0004-0000-0100-00009B030000}"/>
    <hyperlink ref="A464" r:id="rId925" tooltip="View details for Sheer Cold" display="http://pokemondb.net/move/sheer-cold" xr:uid="{00000000-0004-0000-0100-00009C030000}"/>
    <hyperlink ref="B464" r:id="rId926" display="http://pokemondb.net/type/ice" xr:uid="{00000000-0004-0000-0100-00009D030000}"/>
    <hyperlink ref="A465" r:id="rId927" tooltip="View details for Shell Smash" display="http://pokemondb.net/move/shell-smash" xr:uid="{00000000-0004-0000-0100-00009E030000}"/>
    <hyperlink ref="B465" r:id="rId928" display="http://pokemondb.net/type/normal" xr:uid="{00000000-0004-0000-0100-00009F030000}"/>
    <hyperlink ref="A466" r:id="rId929" tooltip="View details for Shift Gear" display="http://pokemondb.net/move/shift-gear" xr:uid="{00000000-0004-0000-0100-0000A0030000}"/>
    <hyperlink ref="B466" r:id="rId930" display="http://pokemondb.net/type/steel" xr:uid="{00000000-0004-0000-0100-0000A1030000}"/>
    <hyperlink ref="A467" r:id="rId931" tooltip="View details for Shock Wave" display="http://pokemondb.net/move/shock-wave" xr:uid="{00000000-0004-0000-0100-0000A2030000}"/>
    <hyperlink ref="B467" r:id="rId932" display="http://pokemondb.net/type/electric" xr:uid="{00000000-0004-0000-0100-0000A3030000}"/>
    <hyperlink ref="A468" r:id="rId933" tooltip="View details for Signal Beam" display="http://pokemondb.net/move/signal-beam" xr:uid="{00000000-0004-0000-0100-0000A4030000}"/>
    <hyperlink ref="B468" r:id="rId934" display="http://pokemondb.net/type/bug" xr:uid="{00000000-0004-0000-0100-0000A5030000}"/>
    <hyperlink ref="A469" r:id="rId935" tooltip="View details for Silver Wind" display="http://pokemondb.net/move/silver-wind" xr:uid="{00000000-0004-0000-0100-0000A6030000}"/>
    <hyperlink ref="B469" r:id="rId936" display="http://pokemondb.net/type/bug" xr:uid="{00000000-0004-0000-0100-0000A7030000}"/>
    <hyperlink ref="A470" r:id="rId937" tooltip="View details for Simple Beam" display="http://pokemondb.net/move/simple-beam" xr:uid="{00000000-0004-0000-0100-0000A8030000}"/>
    <hyperlink ref="B470" r:id="rId938" display="http://pokemondb.net/type/normal" xr:uid="{00000000-0004-0000-0100-0000A9030000}"/>
    <hyperlink ref="A471" r:id="rId939" tooltip="View details for Sing" display="http://pokemondb.net/move/sing" xr:uid="{00000000-0004-0000-0100-0000AA030000}"/>
    <hyperlink ref="B471" r:id="rId940" display="http://pokemondb.net/type/normal" xr:uid="{00000000-0004-0000-0100-0000AB030000}"/>
    <hyperlink ref="A472" r:id="rId941" tooltip="View details for Sketch" display="http://pokemondb.net/move/sketch" xr:uid="{00000000-0004-0000-0100-0000AC030000}"/>
    <hyperlink ref="B472" r:id="rId942" display="http://pokemondb.net/type/normal" xr:uid="{00000000-0004-0000-0100-0000AD030000}"/>
    <hyperlink ref="A473" r:id="rId943" tooltip="View details for Skill Swap" display="http://pokemondb.net/move/skill-swap" xr:uid="{00000000-0004-0000-0100-0000AE030000}"/>
    <hyperlink ref="B473" r:id="rId944" display="http://pokemondb.net/type/psychic" xr:uid="{00000000-0004-0000-0100-0000AF030000}"/>
    <hyperlink ref="A474" r:id="rId945" tooltip="View details for Skull Bash" display="http://pokemondb.net/move/skull-bash" xr:uid="{00000000-0004-0000-0100-0000B0030000}"/>
    <hyperlink ref="B474" r:id="rId946" display="http://pokemondb.net/type/normal" xr:uid="{00000000-0004-0000-0100-0000B1030000}"/>
    <hyperlink ref="A475" r:id="rId947" tooltip="View details for Sky Attack" display="http://pokemondb.net/move/sky-attack" xr:uid="{00000000-0004-0000-0100-0000B2030000}"/>
    <hyperlink ref="B475" r:id="rId948" display="http://pokemondb.net/type/flying" xr:uid="{00000000-0004-0000-0100-0000B3030000}"/>
    <hyperlink ref="A476" r:id="rId949" tooltip="View details for Sky Drop" display="http://pokemondb.net/move/sky-drop" xr:uid="{00000000-0004-0000-0100-0000B4030000}"/>
    <hyperlink ref="B476" r:id="rId950" display="http://pokemondb.net/type/flying" xr:uid="{00000000-0004-0000-0100-0000B5030000}"/>
    <hyperlink ref="A477" r:id="rId951" tooltip="View details for Sky Uppercut" display="http://pokemondb.net/move/sky-uppercut" xr:uid="{00000000-0004-0000-0100-0000B6030000}"/>
    <hyperlink ref="B477" r:id="rId952" display="http://pokemondb.net/type/fighting" xr:uid="{00000000-0004-0000-0100-0000B7030000}"/>
    <hyperlink ref="A478" r:id="rId953" tooltip="View details for Slack Off" display="http://pokemondb.net/move/slack-off" xr:uid="{00000000-0004-0000-0100-0000B8030000}"/>
    <hyperlink ref="B478" r:id="rId954" display="http://pokemondb.net/type/normal" xr:uid="{00000000-0004-0000-0100-0000B9030000}"/>
    <hyperlink ref="A479" r:id="rId955" tooltip="View details for Slam" display="http://pokemondb.net/move/slam" xr:uid="{00000000-0004-0000-0100-0000BA030000}"/>
    <hyperlink ref="B479" r:id="rId956" display="http://pokemondb.net/type/normal" xr:uid="{00000000-0004-0000-0100-0000BB030000}"/>
    <hyperlink ref="A480" r:id="rId957" tooltip="View details for Slash" display="http://pokemondb.net/move/slash" xr:uid="{00000000-0004-0000-0100-0000BC030000}"/>
    <hyperlink ref="B480" r:id="rId958" display="http://pokemondb.net/type/normal" xr:uid="{00000000-0004-0000-0100-0000BD030000}"/>
    <hyperlink ref="A481" r:id="rId959" tooltip="View details for Sleep Powder" display="http://pokemondb.net/move/sleep-powder" xr:uid="{00000000-0004-0000-0100-0000BE030000}"/>
    <hyperlink ref="B481" r:id="rId960" display="http://pokemondb.net/type/grass" xr:uid="{00000000-0004-0000-0100-0000BF030000}"/>
    <hyperlink ref="A482" r:id="rId961" tooltip="View details for Sleep Talk" display="http://pokemondb.net/move/sleep-talk" xr:uid="{00000000-0004-0000-0100-0000C0030000}"/>
    <hyperlink ref="B482" r:id="rId962" display="http://pokemondb.net/type/normal" xr:uid="{00000000-0004-0000-0100-0000C1030000}"/>
    <hyperlink ref="A483" r:id="rId963" tooltip="View details for Sludge" display="http://pokemondb.net/move/sludge" xr:uid="{00000000-0004-0000-0100-0000C2030000}"/>
    <hyperlink ref="B483" r:id="rId964" display="http://pokemondb.net/type/poison" xr:uid="{00000000-0004-0000-0100-0000C3030000}"/>
    <hyperlink ref="A484" r:id="rId965" tooltip="View details for Sludge Bomb" display="http://pokemondb.net/move/sludge-bomb" xr:uid="{00000000-0004-0000-0100-0000C4030000}"/>
    <hyperlink ref="B484" r:id="rId966" display="http://pokemondb.net/type/poison" xr:uid="{00000000-0004-0000-0100-0000C5030000}"/>
    <hyperlink ref="A485" r:id="rId967" tooltip="View details for Sludge Wave" display="http://pokemondb.net/move/sludge-wave" xr:uid="{00000000-0004-0000-0100-0000C6030000}"/>
    <hyperlink ref="B485" r:id="rId968" display="http://pokemondb.net/type/poison" xr:uid="{00000000-0004-0000-0100-0000C7030000}"/>
    <hyperlink ref="A486" r:id="rId969" tooltip="View details for Smack Down" display="http://pokemondb.net/move/smack-down" xr:uid="{00000000-0004-0000-0100-0000C8030000}"/>
    <hyperlink ref="B486" r:id="rId970" display="http://pokemondb.net/type/rock" xr:uid="{00000000-0004-0000-0100-0000C9030000}"/>
    <hyperlink ref="A487" r:id="rId971" tooltip="View details for SmellingSalt" display="http://pokemondb.net/move/smellingsalt" xr:uid="{00000000-0004-0000-0100-0000CA030000}"/>
    <hyperlink ref="B487" r:id="rId972" display="http://pokemondb.net/type/normal" xr:uid="{00000000-0004-0000-0100-0000CB030000}"/>
    <hyperlink ref="A488" r:id="rId973" tooltip="View details for Smog" display="http://pokemondb.net/move/smog" xr:uid="{00000000-0004-0000-0100-0000CC030000}"/>
    <hyperlink ref="B488" r:id="rId974" display="http://pokemondb.net/type/poison" xr:uid="{00000000-0004-0000-0100-0000CD030000}"/>
    <hyperlink ref="A489" r:id="rId975" tooltip="View details for SmokeScreen" display="http://pokemondb.net/move/smokescreen" xr:uid="{00000000-0004-0000-0100-0000CE030000}"/>
    <hyperlink ref="B489" r:id="rId976" display="http://pokemondb.net/type/normal" xr:uid="{00000000-0004-0000-0100-0000CF030000}"/>
    <hyperlink ref="A490" r:id="rId977" tooltip="View details for Snarl" display="http://pokemondb.net/move/snarl" xr:uid="{00000000-0004-0000-0100-0000D0030000}"/>
    <hyperlink ref="B490" r:id="rId978" display="http://pokemondb.net/type/dark" xr:uid="{00000000-0004-0000-0100-0000D1030000}"/>
    <hyperlink ref="A491" r:id="rId979" tooltip="View details for Snatch" display="http://pokemondb.net/move/snatch" xr:uid="{00000000-0004-0000-0100-0000D2030000}"/>
    <hyperlink ref="B491" r:id="rId980" display="http://pokemondb.net/type/dark" xr:uid="{00000000-0004-0000-0100-0000D3030000}"/>
    <hyperlink ref="A492" r:id="rId981" tooltip="View details for Snore" display="http://pokemondb.net/move/snore" xr:uid="{00000000-0004-0000-0100-0000D4030000}"/>
    <hyperlink ref="B492" r:id="rId982" display="http://pokemondb.net/type/normal" xr:uid="{00000000-0004-0000-0100-0000D5030000}"/>
    <hyperlink ref="A493" r:id="rId983" tooltip="View details for Soak" display="http://pokemondb.net/move/soak" xr:uid="{00000000-0004-0000-0100-0000D6030000}"/>
    <hyperlink ref="B493" r:id="rId984" display="http://pokemondb.net/type/water" xr:uid="{00000000-0004-0000-0100-0000D7030000}"/>
    <hyperlink ref="A494" r:id="rId985" tooltip="View details for Softboiled" display="http://pokemondb.net/move/softboiled" xr:uid="{00000000-0004-0000-0100-0000D8030000}"/>
    <hyperlink ref="B494" r:id="rId986" display="http://pokemondb.net/type/normal" xr:uid="{00000000-0004-0000-0100-0000D9030000}"/>
    <hyperlink ref="A495" r:id="rId987" tooltip="View details for SolarBeam" display="http://pokemondb.net/move/solarbeam" xr:uid="{00000000-0004-0000-0100-0000DA030000}"/>
    <hyperlink ref="B495" r:id="rId988" display="http://pokemondb.net/type/grass" xr:uid="{00000000-0004-0000-0100-0000DB030000}"/>
    <hyperlink ref="A496" r:id="rId989" tooltip="View details for SonicBoom" display="http://pokemondb.net/move/sonicboom" xr:uid="{00000000-0004-0000-0100-0000DC030000}"/>
    <hyperlink ref="B496" r:id="rId990" display="http://pokemondb.net/type/normal" xr:uid="{00000000-0004-0000-0100-0000DD030000}"/>
    <hyperlink ref="A497" r:id="rId991" tooltip="View details for Spacial Rend" display="http://pokemondb.net/move/spacial-rend" xr:uid="{00000000-0004-0000-0100-0000DE030000}"/>
    <hyperlink ref="B497" r:id="rId992" display="http://pokemondb.net/type/dragon" xr:uid="{00000000-0004-0000-0100-0000DF030000}"/>
    <hyperlink ref="A498" r:id="rId993" tooltip="View details for Spark" display="http://pokemondb.net/move/spark" xr:uid="{00000000-0004-0000-0100-0000E0030000}"/>
    <hyperlink ref="B498" r:id="rId994" display="http://pokemondb.net/type/electric" xr:uid="{00000000-0004-0000-0100-0000E1030000}"/>
    <hyperlink ref="A499" r:id="rId995" tooltip="View details for Spider Web" display="http://pokemondb.net/move/spider-web" xr:uid="{00000000-0004-0000-0100-0000E2030000}"/>
    <hyperlink ref="B499" r:id="rId996" display="http://pokemondb.net/type/bug" xr:uid="{00000000-0004-0000-0100-0000E3030000}"/>
    <hyperlink ref="A500" r:id="rId997" tooltip="View details for Spike Cannon" display="http://pokemondb.net/move/spike-cannon" xr:uid="{00000000-0004-0000-0100-0000E4030000}"/>
    <hyperlink ref="B500" r:id="rId998" display="http://pokemondb.net/type/normal" xr:uid="{00000000-0004-0000-0100-0000E5030000}"/>
    <hyperlink ref="A501" r:id="rId999" tooltip="View details for Spikes" display="http://pokemondb.net/move/spikes" xr:uid="{00000000-0004-0000-0100-0000E6030000}"/>
    <hyperlink ref="B501" r:id="rId1000" display="http://pokemondb.net/type/ground" xr:uid="{00000000-0004-0000-0100-0000E7030000}"/>
    <hyperlink ref="A502" r:id="rId1001" tooltip="View details for Spiky Shield" display="http://pokemondb.net/move/spiky-shield" xr:uid="{00000000-0004-0000-0100-0000E8030000}"/>
    <hyperlink ref="B502" r:id="rId1002" display="http://pokemondb.net/type/grass" xr:uid="{00000000-0004-0000-0100-0000E9030000}"/>
    <hyperlink ref="A503" r:id="rId1003" tooltip="View details for Spit Up" display="http://pokemondb.net/move/spit-up" xr:uid="{00000000-0004-0000-0100-0000EA030000}"/>
    <hyperlink ref="B503" r:id="rId1004" display="http://pokemondb.net/type/normal" xr:uid="{00000000-0004-0000-0100-0000EB030000}"/>
    <hyperlink ref="A504" r:id="rId1005" tooltip="View details for Spite" display="http://pokemondb.net/move/spite" xr:uid="{00000000-0004-0000-0100-0000EC030000}"/>
    <hyperlink ref="B504" r:id="rId1006" display="http://pokemondb.net/type/ghost" xr:uid="{00000000-0004-0000-0100-0000ED030000}"/>
    <hyperlink ref="A505" r:id="rId1007" tooltip="View details for Splash" display="http://pokemondb.net/move/splash" xr:uid="{00000000-0004-0000-0100-0000EE030000}"/>
    <hyperlink ref="B505" r:id="rId1008" display="http://pokemondb.net/type/normal" xr:uid="{00000000-0004-0000-0100-0000EF030000}"/>
    <hyperlink ref="A506" r:id="rId1009" tooltip="View details for Spore" display="http://pokemondb.net/move/spore" xr:uid="{00000000-0004-0000-0100-0000F0030000}"/>
    <hyperlink ref="B506" r:id="rId1010" display="http://pokemondb.net/type/grass" xr:uid="{00000000-0004-0000-0100-0000F1030000}"/>
    <hyperlink ref="A507" r:id="rId1011" tooltip="View details for Stealth Rock" display="http://pokemondb.net/move/stealth-rock" xr:uid="{00000000-0004-0000-0100-0000F2030000}"/>
    <hyperlink ref="B507" r:id="rId1012" display="http://pokemondb.net/type/rock" xr:uid="{00000000-0004-0000-0100-0000F3030000}"/>
    <hyperlink ref="A508" r:id="rId1013" tooltip="View details for Steamroller" display="http://pokemondb.net/move/steamroller" xr:uid="{00000000-0004-0000-0100-0000F4030000}"/>
    <hyperlink ref="B508" r:id="rId1014" display="http://pokemondb.net/type/bug" xr:uid="{00000000-0004-0000-0100-0000F5030000}"/>
    <hyperlink ref="A509" r:id="rId1015" tooltip="View details for Steel Wing" display="http://pokemondb.net/move/steel-wing" xr:uid="{00000000-0004-0000-0100-0000F6030000}"/>
    <hyperlink ref="B509" r:id="rId1016" display="http://pokemondb.net/type/steel" xr:uid="{00000000-0004-0000-0100-0000F7030000}"/>
    <hyperlink ref="A510" r:id="rId1017" tooltip="View details for Sticky Web" display="http://pokemondb.net/move/sticky-web" xr:uid="{00000000-0004-0000-0100-0000F8030000}"/>
    <hyperlink ref="B510" r:id="rId1018" display="http://pokemondb.net/type/bug" xr:uid="{00000000-0004-0000-0100-0000F9030000}"/>
    <hyperlink ref="A511" r:id="rId1019" tooltip="View details for Stockpile" display="http://pokemondb.net/move/stockpile" xr:uid="{00000000-0004-0000-0100-0000FA030000}"/>
    <hyperlink ref="B511" r:id="rId1020" display="http://pokemondb.net/type/normal" xr:uid="{00000000-0004-0000-0100-0000FB030000}"/>
    <hyperlink ref="A512" r:id="rId1021" tooltip="View details for Stomp" display="http://pokemondb.net/move/stomp" xr:uid="{00000000-0004-0000-0100-0000FC030000}"/>
    <hyperlink ref="B512" r:id="rId1022" display="http://pokemondb.net/type/normal" xr:uid="{00000000-0004-0000-0100-0000FD030000}"/>
    <hyperlink ref="A513" r:id="rId1023" tooltip="View details for Stone Edge" display="http://pokemondb.net/move/stone-edge" xr:uid="{00000000-0004-0000-0100-0000FE030000}"/>
    <hyperlink ref="B513" r:id="rId1024" display="http://pokemondb.net/type/rock" xr:uid="{00000000-0004-0000-0100-0000FF030000}"/>
    <hyperlink ref="A514" r:id="rId1025" tooltip="View details for Stored Power" display="http://pokemondb.net/move/stored-power" xr:uid="{00000000-0004-0000-0100-000000040000}"/>
    <hyperlink ref="B514" r:id="rId1026" display="http://pokemondb.net/type/psychic" xr:uid="{00000000-0004-0000-0100-000001040000}"/>
    <hyperlink ref="A515" r:id="rId1027" tooltip="View details for Storm Throw" display="http://pokemondb.net/move/storm-throw" xr:uid="{00000000-0004-0000-0100-000002040000}"/>
    <hyperlink ref="B515" r:id="rId1028" display="http://pokemondb.net/type/fighting" xr:uid="{00000000-0004-0000-0100-000003040000}"/>
    <hyperlink ref="A516" r:id="rId1029" tooltip="View details for Strength" display="http://pokemondb.net/move/strength" xr:uid="{00000000-0004-0000-0100-000004040000}"/>
    <hyperlink ref="B516" r:id="rId1030" display="http://pokemondb.net/type/normal" xr:uid="{00000000-0004-0000-0100-000005040000}"/>
    <hyperlink ref="A517" r:id="rId1031" tooltip="View details for String Shot" display="http://pokemondb.net/move/string-shot" xr:uid="{00000000-0004-0000-0100-000006040000}"/>
    <hyperlink ref="B517" r:id="rId1032" display="http://pokemondb.net/type/bug" xr:uid="{00000000-0004-0000-0100-000007040000}"/>
    <hyperlink ref="A518" r:id="rId1033" tooltip="View details for Struggle" display="http://pokemondb.net/move/struggle" xr:uid="{00000000-0004-0000-0100-000008040000}"/>
    <hyperlink ref="B518" r:id="rId1034" display="http://pokemondb.net/type/normal" xr:uid="{00000000-0004-0000-0100-000009040000}"/>
    <hyperlink ref="A519" r:id="rId1035" tooltip="View details for Struggle Bug" display="http://pokemondb.net/move/struggle-bug" xr:uid="{00000000-0004-0000-0100-00000A040000}"/>
    <hyperlink ref="B519" r:id="rId1036" display="http://pokemondb.net/type/bug" xr:uid="{00000000-0004-0000-0100-00000B040000}"/>
    <hyperlink ref="A520" r:id="rId1037" tooltip="View details for Stun Spore" display="http://pokemondb.net/move/stun-spore" xr:uid="{00000000-0004-0000-0100-00000C040000}"/>
    <hyperlink ref="B520" r:id="rId1038" display="http://pokemondb.net/type/grass" xr:uid="{00000000-0004-0000-0100-00000D040000}"/>
    <hyperlink ref="A521" r:id="rId1039" tooltip="View details for Submission" display="http://pokemondb.net/move/submission" xr:uid="{00000000-0004-0000-0100-00000E040000}"/>
    <hyperlink ref="B521" r:id="rId1040" display="http://pokemondb.net/type/fighting" xr:uid="{00000000-0004-0000-0100-00000F040000}"/>
    <hyperlink ref="A522" r:id="rId1041" tooltip="View details for Substitute" display="http://pokemondb.net/move/substitute" xr:uid="{00000000-0004-0000-0100-000010040000}"/>
    <hyperlink ref="B522" r:id="rId1042" display="http://pokemondb.net/type/normal" xr:uid="{00000000-0004-0000-0100-000011040000}"/>
    <hyperlink ref="A523" r:id="rId1043" tooltip="View details for Sucker Punch" display="http://pokemondb.net/move/sucker-punch" xr:uid="{00000000-0004-0000-0100-000012040000}"/>
    <hyperlink ref="B523" r:id="rId1044" display="http://pokemondb.net/type/dark" xr:uid="{00000000-0004-0000-0100-000013040000}"/>
    <hyperlink ref="A524" r:id="rId1045" tooltip="View details for Sunny Day" display="http://pokemondb.net/move/sunny-day" xr:uid="{00000000-0004-0000-0100-000014040000}"/>
    <hyperlink ref="B524" r:id="rId1046" display="http://pokemondb.net/type/fire" xr:uid="{00000000-0004-0000-0100-000015040000}"/>
    <hyperlink ref="A525" r:id="rId1047" tooltip="View details for Super Fang" display="http://pokemondb.net/move/super-fang" xr:uid="{00000000-0004-0000-0100-000016040000}"/>
    <hyperlink ref="B525" r:id="rId1048" display="http://pokemondb.net/type/normal" xr:uid="{00000000-0004-0000-0100-000017040000}"/>
    <hyperlink ref="A526" r:id="rId1049" tooltip="View details for Superpower" display="http://pokemondb.net/move/superpower" xr:uid="{00000000-0004-0000-0100-000018040000}"/>
    <hyperlink ref="B526" r:id="rId1050" display="http://pokemondb.net/type/fighting" xr:uid="{00000000-0004-0000-0100-000019040000}"/>
    <hyperlink ref="A527" r:id="rId1051" tooltip="View details for Supersonic" display="http://pokemondb.net/move/supersonic" xr:uid="{00000000-0004-0000-0100-00001A040000}"/>
    <hyperlink ref="B527" r:id="rId1052" display="http://pokemondb.net/type/normal" xr:uid="{00000000-0004-0000-0100-00001B040000}"/>
    <hyperlink ref="A528" r:id="rId1053" tooltip="View details for Surf" display="http://pokemondb.net/move/surf" xr:uid="{00000000-0004-0000-0100-00001C040000}"/>
    <hyperlink ref="B528" r:id="rId1054" display="http://pokemondb.net/type/water" xr:uid="{00000000-0004-0000-0100-00001D040000}"/>
    <hyperlink ref="A529" r:id="rId1055" tooltip="View details for Swagger" display="http://pokemondb.net/move/swagger" xr:uid="{00000000-0004-0000-0100-00001E040000}"/>
    <hyperlink ref="B529" r:id="rId1056" display="http://pokemondb.net/type/normal" xr:uid="{00000000-0004-0000-0100-00001F040000}"/>
    <hyperlink ref="A530" r:id="rId1057" tooltip="View details for Swallow" display="http://pokemondb.net/move/swallow" xr:uid="{00000000-0004-0000-0100-000020040000}"/>
    <hyperlink ref="B530" r:id="rId1058" display="http://pokemondb.net/type/normal" xr:uid="{00000000-0004-0000-0100-000021040000}"/>
    <hyperlink ref="A531" r:id="rId1059" tooltip="View details for Sweet Kiss" display="http://pokemondb.net/move/sweet-kiss" xr:uid="{00000000-0004-0000-0100-000022040000}"/>
    <hyperlink ref="B531" r:id="rId1060" display="http://pokemondb.net/type/fairy" xr:uid="{00000000-0004-0000-0100-000023040000}"/>
    <hyperlink ref="A532" r:id="rId1061" tooltip="View details for Sweet Scent" display="http://pokemondb.net/move/sweet-scent" xr:uid="{00000000-0004-0000-0100-000024040000}"/>
    <hyperlink ref="B532" r:id="rId1062" display="http://pokemondb.net/type/normal" xr:uid="{00000000-0004-0000-0100-000025040000}"/>
    <hyperlink ref="A533" r:id="rId1063" tooltip="View details for Swift" display="http://pokemondb.net/move/swift" xr:uid="{00000000-0004-0000-0100-000026040000}"/>
    <hyperlink ref="B533" r:id="rId1064" display="http://pokemondb.net/type/normal" xr:uid="{00000000-0004-0000-0100-000027040000}"/>
    <hyperlink ref="A534" r:id="rId1065" tooltip="View details for Switcheroo" display="http://pokemondb.net/move/switcheroo" xr:uid="{00000000-0004-0000-0100-000028040000}"/>
    <hyperlink ref="B534" r:id="rId1066" display="http://pokemondb.net/type/dark" xr:uid="{00000000-0004-0000-0100-000029040000}"/>
    <hyperlink ref="A535" r:id="rId1067" tooltip="View details for Swords Dance" display="http://pokemondb.net/move/swords-dance" xr:uid="{00000000-0004-0000-0100-00002A040000}"/>
    <hyperlink ref="B535" r:id="rId1068" display="http://pokemondb.net/type/normal" xr:uid="{00000000-0004-0000-0100-00002B040000}"/>
    <hyperlink ref="A536" r:id="rId1069" tooltip="View details for Synchronoise" display="http://pokemondb.net/move/synchronoise" xr:uid="{00000000-0004-0000-0100-00002C040000}"/>
    <hyperlink ref="B536" r:id="rId1070" display="http://pokemondb.net/type/psychic" xr:uid="{00000000-0004-0000-0100-00002D040000}"/>
    <hyperlink ref="A537" r:id="rId1071" tooltip="View details for Synthesis" display="http://pokemondb.net/move/synthesis" xr:uid="{00000000-0004-0000-0100-00002E040000}"/>
    <hyperlink ref="B537" r:id="rId1072" display="http://pokemondb.net/type/grass" xr:uid="{00000000-0004-0000-0100-00002F040000}"/>
    <hyperlink ref="A538" r:id="rId1073" tooltip="View details for Tackle" display="http://pokemondb.net/move/tackle" xr:uid="{00000000-0004-0000-0100-000030040000}"/>
    <hyperlink ref="B538" r:id="rId1074" display="http://pokemondb.net/type/normal" xr:uid="{00000000-0004-0000-0100-000031040000}"/>
    <hyperlink ref="A539" r:id="rId1075" tooltip="View details for Tail Glow" display="http://pokemondb.net/move/tail-glow" xr:uid="{00000000-0004-0000-0100-000032040000}"/>
    <hyperlink ref="B539" r:id="rId1076" display="http://pokemondb.net/type/bug" xr:uid="{00000000-0004-0000-0100-000033040000}"/>
    <hyperlink ref="A540" r:id="rId1077" tooltip="View details for Tail Slap" display="http://pokemondb.net/move/tail-slap" xr:uid="{00000000-0004-0000-0100-000034040000}"/>
    <hyperlink ref="B540" r:id="rId1078" display="http://pokemondb.net/type/normal" xr:uid="{00000000-0004-0000-0100-000035040000}"/>
    <hyperlink ref="A541" r:id="rId1079" tooltip="View details for Tail Whip" display="http://pokemondb.net/move/tail-whip" xr:uid="{00000000-0004-0000-0100-000036040000}"/>
    <hyperlink ref="B541" r:id="rId1080" display="http://pokemondb.net/type/normal" xr:uid="{00000000-0004-0000-0100-000037040000}"/>
    <hyperlink ref="A542" r:id="rId1081" tooltip="View details for Tailwind" display="http://pokemondb.net/move/tailwind" xr:uid="{00000000-0004-0000-0100-000038040000}"/>
    <hyperlink ref="B542" r:id="rId1082" display="http://pokemondb.net/type/flying" xr:uid="{00000000-0004-0000-0100-000039040000}"/>
    <hyperlink ref="A543" r:id="rId1083" tooltip="View details for Take Down" display="http://pokemondb.net/move/take-down" xr:uid="{00000000-0004-0000-0100-00003A040000}"/>
    <hyperlink ref="B543" r:id="rId1084" display="http://pokemondb.net/type/normal" xr:uid="{00000000-0004-0000-0100-00003B040000}"/>
    <hyperlink ref="A544" r:id="rId1085" tooltip="View details for Taunt" display="http://pokemondb.net/move/taunt" xr:uid="{00000000-0004-0000-0100-00003C040000}"/>
    <hyperlink ref="B544" r:id="rId1086" display="http://pokemondb.net/type/dark" xr:uid="{00000000-0004-0000-0100-00003D040000}"/>
    <hyperlink ref="A545" r:id="rId1087" tooltip="View details for Techno Blast" display="http://pokemondb.net/move/techno-blast" xr:uid="{00000000-0004-0000-0100-00003E040000}"/>
    <hyperlink ref="B545" r:id="rId1088" display="http://pokemondb.net/type/normal" xr:uid="{00000000-0004-0000-0100-00003F040000}"/>
    <hyperlink ref="A546" r:id="rId1089" tooltip="View details for Teeter Dance" display="http://pokemondb.net/move/teeter-dance" xr:uid="{00000000-0004-0000-0100-000040040000}"/>
    <hyperlink ref="B546" r:id="rId1090" display="http://pokemondb.net/type/normal" xr:uid="{00000000-0004-0000-0100-000041040000}"/>
    <hyperlink ref="A547" r:id="rId1091" tooltip="View details for Telekinesis" display="http://pokemondb.net/move/telekinesis" xr:uid="{00000000-0004-0000-0100-000042040000}"/>
    <hyperlink ref="B547" r:id="rId1092" display="http://pokemondb.net/type/psychic" xr:uid="{00000000-0004-0000-0100-000043040000}"/>
    <hyperlink ref="A548" r:id="rId1093" tooltip="View details for Teleport" display="http://pokemondb.net/move/teleport" xr:uid="{00000000-0004-0000-0100-000044040000}"/>
    <hyperlink ref="B548" r:id="rId1094" display="http://pokemondb.net/type/psychic" xr:uid="{00000000-0004-0000-0100-000045040000}"/>
    <hyperlink ref="A549" r:id="rId1095" tooltip="View details for Thief" display="http://pokemondb.net/move/thief" xr:uid="{00000000-0004-0000-0100-000046040000}"/>
    <hyperlink ref="B549" r:id="rId1096" display="http://pokemondb.net/type/dark" xr:uid="{00000000-0004-0000-0100-000047040000}"/>
    <hyperlink ref="A550" r:id="rId1097" tooltip="View details for Thrash" display="http://pokemondb.net/move/thrash" xr:uid="{00000000-0004-0000-0100-000048040000}"/>
    <hyperlink ref="B550" r:id="rId1098" display="http://pokemondb.net/type/normal" xr:uid="{00000000-0004-0000-0100-000049040000}"/>
    <hyperlink ref="A551" r:id="rId1099" tooltip="View details for Thunder" display="http://pokemondb.net/move/thunder" xr:uid="{00000000-0004-0000-0100-00004A040000}"/>
    <hyperlink ref="B551" r:id="rId1100" display="http://pokemondb.net/type/electric" xr:uid="{00000000-0004-0000-0100-00004B040000}"/>
    <hyperlink ref="A552" r:id="rId1101" tooltip="View details for Thunder Fang" display="http://pokemondb.net/move/thunder-fang" xr:uid="{00000000-0004-0000-0100-00004C040000}"/>
    <hyperlink ref="B552" r:id="rId1102" display="http://pokemondb.net/type/electric" xr:uid="{00000000-0004-0000-0100-00004D040000}"/>
    <hyperlink ref="A553" r:id="rId1103" tooltip="View details for Thunder Wave" display="http://pokemondb.net/move/thunder-wave" xr:uid="{00000000-0004-0000-0100-00004E040000}"/>
    <hyperlink ref="B553" r:id="rId1104" display="http://pokemondb.net/type/electric" xr:uid="{00000000-0004-0000-0100-00004F040000}"/>
    <hyperlink ref="A554" r:id="rId1105" tooltip="View details for ThunderPunch" display="http://pokemondb.net/move/thunderpunch" xr:uid="{00000000-0004-0000-0100-000050040000}"/>
    <hyperlink ref="B554" r:id="rId1106" display="http://pokemondb.net/type/electric" xr:uid="{00000000-0004-0000-0100-000051040000}"/>
    <hyperlink ref="A555" r:id="rId1107" tooltip="View details for ThunderShock" display="http://pokemondb.net/move/thundershock" xr:uid="{00000000-0004-0000-0100-000052040000}"/>
    <hyperlink ref="B555" r:id="rId1108" display="http://pokemondb.net/type/electric" xr:uid="{00000000-0004-0000-0100-000053040000}"/>
    <hyperlink ref="A556" r:id="rId1109" tooltip="View details for Thunderbolt" display="http://pokemondb.net/move/thunderbolt" xr:uid="{00000000-0004-0000-0100-000054040000}"/>
    <hyperlink ref="B556" r:id="rId1110" display="http://pokemondb.net/type/electric" xr:uid="{00000000-0004-0000-0100-000055040000}"/>
    <hyperlink ref="A557" r:id="rId1111" tooltip="View details for Tickle" display="http://pokemondb.net/move/tickle" xr:uid="{00000000-0004-0000-0100-000056040000}"/>
    <hyperlink ref="B557" r:id="rId1112" display="http://pokemondb.net/type/normal" xr:uid="{00000000-0004-0000-0100-000057040000}"/>
    <hyperlink ref="A558" r:id="rId1113" tooltip="View details for Topsy-Turvy" display="http://pokemondb.net/move/topsy-turvy" xr:uid="{00000000-0004-0000-0100-000058040000}"/>
    <hyperlink ref="B558" r:id="rId1114" display="http://pokemondb.net/type/dark" xr:uid="{00000000-0004-0000-0100-000059040000}"/>
    <hyperlink ref="A559" r:id="rId1115" tooltip="View details for Torment" display="http://pokemondb.net/move/torment" xr:uid="{00000000-0004-0000-0100-00005A040000}"/>
    <hyperlink ref="B559" r:id="rId1116" display="http://pokemondb.net/type/dark" xr:uid="{00000000-0004-0000-0100-00005B040000}"/>
    <hyperlink ref="A560" r:id="rId1117" tooltip="View details for Toxic" display="http://pokemondb.net/move/toxic" xr:uid="{00000000-0004-0000-0100-00005C040000}"/>
    <hyperlink ref="B560" r:id="rId1118" display="http://pokemondb.net/type/poison" xr:uid="{00000000-0004-0000-0100-00005D040000}"/>
    <hyperlink ref="A561" r:id="rId1119" tooltip="View details for Toxic Spikes" display="http://pokemondb.net/move/toxic-spikes" xr:uid="{00000000-0004-0000-0100-00005E040000}"/>
    <hyperlink ref="B561" r:id="rId1120" display="http://pokemondb.net/type/poison" xr:uid="{00000000-0004-0000-0100-00005F040000}"/>
    <hyperlink ref="A562" r:id="rId1121" tooltip="View details for Transform" display="http://pokemondb.net/move/transform" xr:uid="{00000000-0004-0000-0100-000060040000}"/>
    <hyperlink ref="B562" r:id="rId1122" display="http://pokemondb.net/type/normal" xr:uid="{00000000-0004-0000-0100-000061040000}"/>
    <hyperlink ref="A563" r:id="rId1123" tooltip="View details for Tri Attack" display="http://pokemondb.net/move/tri-attack" xr:uid="{00000000-0004-0000-0100-000062040000}"/>
    <hyperlink ref="B563" r:id="rId1124" display="http://pokemondb.net/type/normal" xr:uid="{00000000-0004-0000-0100-000063040000}"/>
    <hyperlink ref="A564" r:id="rId1125" tooltip="View details for Trick" display="http://pokemondb.net/move/trick" xr:uid="{00000000-0004-0000-0100-000064040000}"/>
    <hyperlink ref="B564" r:id="rId1126" display="http://pokemondb.net/type/psychic" xr:uid="{00000000-0004-0000-0100-000065040000}"/>
    <hyperlink ref="A565" r:id="rId1127" tooltip="View details for Trick Room" display="http://pokemondb.net/move/trick-room" xr:uid="{00000000-0004-0000-0100-000066040000}"/>
    <hyperlink ref="B565" r:id="rId1128" display="http://pokemondb.net/type/psychic" xr:uid="{00000000-0004-0000-0100-000067040000}"/>
    <hyperlink ref="A566" r:id="rId1129" tooltip="View details for Trick-or-Treat" display="http://pokemondb.net/move/trick-or-treat" xr:uid="{00000000-0004-0000-0100-000068040000}"/>
    <hyperlink ref="B566" r:id="rId1130" display="http://pokemondb.net/type/ghost" xr:uid="{00000000-0004-0000-0100-000069040000}"/>
    <hyperlink ref="A567" r:id="rId1131" tooltip="View details for Triple Kick" display="http://pokemondb.net/move/triple-kick" xr:uid="{00000000-0004-0000-0100-00006A040000}"/>
    <hyperlink ref="B567" r:id="rId1132" display="http://pokemondb.net/type/fighting" xr:uid="{00000000-0004-0000-0100-00006B040000}"/>
    <hyperlink ref="A568" r:id="rId1133" tooltip="View details for Trump Card" display="http://pokemondb.net/move/trump-card" xr:uid="{00000000-0004-0000-0100-00006C040000}"/>
    <hyperlink ref="B568" r:id="rId1134" display="http://pokemondb.net/type/normal" xr:uid="{00000000-0004-0000-0100-00006D040000}"/>
    <hyperlink ref="A569" r:id="rId1135" tooltip="View details for Twineedle" display="http://pokemondb.net/move/twineedle" xr:uid="{00000000-0004-0000-0100-00006E040000}"/>
    <hyperlink ref="B569" r:id="rId1136" display="http://pokemondb.net/type/bug" xr:uid="{00000000-0004-0000-0100-00006F040000}"/>
    <hyperlink ref="A570" r:id="rId1137" tooltip="View details for Twister" display="http://pokemondb.net/move/twister" xr:uid="{00000000-0004-0000-0100-000070040000}"/>
    <hyperlink ref="B570" r:id="rId1138" display="http://pokemondb.net/type/dragon" xr:uid="{00000000-0004-0000-0100-000071040000}"/>
    <hyperlink ref="A571" r:id="rId1139" tooltip="View details for U-turn" display="http://pokemondb.net/move/u-turn" xr:uid="{00000000-0004-0000-0100-000072040000}"/>
    <hyperlink ref="B571" r:id="rId1140" display="http://pokemondb.net/type/bug" xr:uid="{00000000-0004-0000-0100-000073040000}"/>
    <hyperlink ref="A572" r:id="rId1141" tooltip="View details for Uproar" display="http://pokemondb.net/move/uproar" xr:uid="{00000000-0004-0000-0100-000074040000}"/>
    <hyperlink ref="B572" r:id="rId1142" display="http://pokemondb.net/type/normal" xr:uid="{00000000-0004-0000-0100-000075040000}"/>
    <hyperlink ref="A573" r:id="rId1143" tooltip="View details for V-create" display="http://pokemondb.net/move/v-create" xr:uid="{00000000-0004-0000-0100-000076040000}"/>
    <hyperlink ref="B573" r:id="rId1144" display="http://pokemondb.net/type/fire" xr:uid="{00000000-0004-0000-0100-000077040000}"/>
    <hyperlink ref="A574" r:id="rId1145" tooltip="View details for Vacuum Wave" display="http://pokemondb.net/move/vacuum-wave" xr:uid="{00000000-0004-0000-0100-000078040000}"/>
    <hyperlink ref="B574" r:id="rId1146" display="http://pokemondb.net/type/fighting" xr:uid="{00000000-0004-0000-0100-000079040000}"/>
    <hyperlink ref="A575" r:id="rId1147" tooltip="View details for Venom Drench" display="http://pokemondb.net/move/venom-drench" xr:uid="{00000000-0004-0000-0100-00007A040000}"/>
    <hyperlink ref="B575" r:id="rId1148" display="http://pokemondb.net/type/poison" xr:uid="{00000000-0004-0000-0100-00007B040000}"/>
    <hyperlink ref="A576" r:id="rId1149" tooltip="View details for Venoshock" display="http://pokemondb.net/move/venoshock" xr:uid="{00000000-0004-0000-0100-00007C040000}"/>
    <hyperlink ref="B576" r:id="rId1150" display="http://pokemondb.net/type/poison" xr:uid="{00000000-0004-0000-0100-00007D040000}"/>
    <hyperlink ref="A577" r:id="rId1151" tooltip="View details for ViceGrip" display="http://pokemondb.net/move/vicegrip" xr:uid="{00000000-0004-0000-0100-00007E040000}"/>
    <hyperlink ref="B577" r:id="rId1152" display="http://pokemondb.net/type/normal" xr:uid="{00000000-0004-0000-0100-00007F040000}"/>
    <hyperlink ref="A578" r:id="rId1153" tooltip="View details for Vine Whip" display="http://pokemondb.net/move/vine-whip" xr:uid="{00000000-0004-0000-0100-000080040000}"/>
    <hyperlink ref="B578" r:id="rId1154" display="http://pokemondb.net/type/grass" xr:uid="{00000000-0004-0000-0100-000081040000}"/>
    <hyperlink ref="A579" r:id="rId1155" tooltip="View details for Vital Throw" display="http://pokemondb.net/move/vital-throw" xr:uid="{00000000-0004-0000-0100-000082040000}"/>
    <hyperlink ref="B579" r:id="rId1156" display="http://pokemondb.net/type/fighting" xr:uid="{00000000-0004-0000-0100-000083040000}"/>
    <hyperlink ref="A580" r:id="rId1157" tooltip="View details for Volt Switch" display="http://pokemondb.net/move/volt-switch" xr:uid="{00000000-0004-0000-0100-000084040000}"/>
    <hyperlink ref="B580" r:id="rId1158" display="http://pokemondb.net/type/electric" xr:uid="{00000000-0004-0000-0100-000085040000}"/>
    <hyperlink ref="A581" r:id="rId1159" tooltip="View details for Volt Tackle" display="http://pokemondb.net/move/volt-tackle" xr:uid="{00000000-0004-0000-0100-000086040000}"/>
    <hyperlink ref="B581" r:id="rId1160" display="http://pokemondb.net/type/electric" xr:uid="{00000000-0004-0000-0100-000087040000}"/>
    <hyperlink ref="A582" r:id="rId1161" tooltip="View details for Wake-Up Slap" display="http://pokemondb.net/move/wake-up-slap" xr:uid="{00000000-0004-0000-0100-000088040000}"/>
    <hyperlink ref="B582" r:id="rId1162" display="http://pokemondb.net/type/fighting" xr:uid="{00000000-0004-0000-0100-000089040000}"/>
    <hyperlink ref="A583" r:id="rId1163" tooltip="View details for Water Gun" display="http://pokemondb.net/move/water-gun" xr:uid="{00000000-0004-0000-0100-00008A040000}"/>
    <hyperlink ref="B583" r:id="rId1164" display="http://pokemondb.net/type/water" xr:uid="{00000000-0004-0000-0100-00008B040000}"/>
    <hyperlink ref="A584" r:id="rId1165" tooltip="View details for Water Pledge" display="http://pokemondb.net/move/water-pledge" xr:uid="{00000000-0004-0000-0100-00008C040000}"/>
    <hyperlink ref="B584" r:id="rId1166" display="http://pokemondb.net/type/water" xr:uid="{00000000-0004-0000-0100-00008D040000}"/>
    <hyperlink ref="A585" r:id="rId1167" tooltip="View details for Water Pulse" display="http://pokemondb.net/move/water-pulse" xr:uid="{00000000-0004-0000-0100-00008E040000}"/>
    <hyperlink ref="B585" r:id="rId1168" display="http://pokemondb.net/type/water" xr:uid="{00000000-0004-0000-0100-00008F040000}"/>
    <hyperlink ref="A586" r:id="rId1169" tooltip="View details for Water Shuriken" display="http://pokemondb.net/move/water-shuriken" xr:uid="{00000000-0004-0000-0100-000090040000}"/>
    <hyperlink ref="B586" r:id="rId1170" display="http://pokemondb.net/type/water" xr:uid="{00000000-0004-0000-0100-000091040000}"/>
    <hyperlink ref="A587" r:id="rId1171" tooltip="View details for Water Sport" display="http://pokemondb.net/move/water-sport" xr:uid="{00000000-0004-0000-0100-000092040000}"/>
    <hyperlink ref="B587" r:id="rId1172" display="http://pokemondb.net/type/water" xr:uid="{00000000-0004-0000-0100-000093040000}"/>
    <hyperlink ref="A588" r:id="rId1173" tooltip="View details for Water Spout" display="http://pokemondb.net/move/water-spout" xr:uid="{00000000-0004-0000-0100-000094040000}"/>
    <hyperlink ref="B588" r:id="rId1174" display="http://pokemondb.net/type/water" xr:uid="{00000000-0004-0000-0100-000095040000}"/>
    <hyperlink ref="A589" r:id="rId1175" tooltip="View details for Waterfall" display="http://pokemondb.net/move/waterfall" xr:uid="{00000000-0004-0000-0100-000096040000}"/>
    <hyperlink ref="B589" r:id="rId1176" display="http://pokemondb.net/type/water" xr:uid="{00000000-0004-0000-0100-000097040000}"/>
    <hyperlink ref="A590" r:id="rId1177" tooltip="View details for Weather Ball" display="http://pokemondb.net/move/weather-ball" xr:uid="{00000000-0004-0000-0100-000098040000}"/>
    <hyperlink ref="B590" r:id="rId1178" display="http://pokemondb.net/type/normal" xr:uid="{00000000-0004-0000-0100-000099040000}"/>
    <hyperlink ref="A591" r:id="rId1179" tooltip="View details for Whirlpool" display="http://pokemondb.net/move/whirlpool" xr:uid="{00000000-0004-0000-0100-00009A040000}"/>
    <hyperlink ref="B591" r:id="rId1180" display="http://pokemondb.net/type/water" xr:uid="{00000000-0004-0000-0100-00009B040000}"/>
    <hyperlink ref="A592" r:id="rId1181" tooltip="View details for Whirlwind" display="http://pokemondb.net/move/whirlwind" xr:uid="{00000000-0004-0000-0100-00009C040000}"/>
    <hyperlink ref="B592" r:id="rId1182" display="http://pokemondb.net/type/normal" xr:uid="{00000000-0004-0000-0100-00009D040000}"/>
    <hyperlink ref="A593" r:id="rId1183" tooltip="View details for Wide Guard" display="http://pokemondb.net/move/wide-guard" xr:uid="{00000000-0004-0000-0100-00009E040000}"/>
    <hyperlink ref="B593" r:id="rId1184" display="http://pokemondb.net/type/rock" xr:uid="{00000000-0004-0000-0100-00009F040000}"/>
    <hyperlink ref="A594" r:id="rId1185" tooltip="View details for Wild Charge" display="http://pokemondb.net/move/wild-charge" xr:uid="{00000000-0004-0000-0100-0000A0040000}"/>
    <hyperlink ref="B594" r:id="rId1186" display="http://pokemondb.net/type/electric" xr:uid="{00000000-0004-0000-0100-0000A1040000}"/>
    <hyperlink ref="A595" r:id="rId1187" tooltip="View details for Will-O-Wisp" display="http://pokemondb.net/move/will-o-wisp" xr:uid="{00000000-0004-0000-0100-0000A2040000}"/>
    <hyperlink ref="B595" r:id="rId1188" display="http://pokemondb.net/type/fire" xr:uid="{00000000-0004-0000-0100-0000A3040000}"/>
    <hyperlink ref="A596" r:id="rId1189" tooltip="View details for Wing Attack" display="http://pokemondb.net/move/wing-attack" xr:uid="{00000000-0004-0000-0100-0000A4040000}"/>
    <hyperlink ref="B596" r:id="rId1190" display="http://pokemondb.net/type/flying" xr:uid="{00000000-0004-0000-0100-0000A5040000}"/>
    <hyperlink ref="A597" r:id="rId1191" tooltip="View details for Wish" display="http://pokemondb.net/move/wish" xr:uid="{00000000-0004-0000-0100-0000A6040000}"/>
    <hyperlink ref="B597" r:id="rId1192" display="http://pokemondb.net/type/normal" xr:uid="{00000000-0004-0000-0100-0000A7040000}"/>
    <hyperlink ref="A598" r:id="rId1193" tooltip="View details for Withdraw" display="http://pokemondb.net/move/withdraw" xr:uid="{00000000-0004-0000-0100-0000A8040000}"/>
    <hyperlink ref="B598" r:id="rId1194" display="http://pokemondb.net/type/water" xr:uid="{00000000-0004-0000-0100-0000A9040000}"/>
    <hyperlink ref="A599" r:id="rId1195" tooltip="View details for Wonder Room" display="http://pokemondb.net/move/wonder-room" xr:uid="{00000000-0004-0000-0100-0000AA040000}"/>
    <hyperlink ref="B599" r:id="rId1196" display="http://pokemondb.net/type/psychic" xr:uid="{00000000-0004-0000-0100-0000AB040000}"/>
    <hyperlink ref="A600" r:id="rId1197" tooltip="View details for Wood Hammer" display="http://pokemondb.net/move/wood-hammer" xr:uid="{00000000-0004-0000-0100-0000AC040000}"/>
    <hyperlink ref="B600" r:id="rId1198" display="http://pokemondb.net/type/grass" xr:uid="{00000000-0004-0000-0100-0000AD040000}"/>
    <hyperlink ref="A601" r:id="rId1199" tooltip="View details for Work Up" display="http://pokemondb.net/move/work-up" xr:uid="{00000000-0004-0000-0100-0000AE040000}"/>
    <hyperlink ref="B601" r:id="rId1200" display="http://pokemondb.net/type/normal" xr:uid="{00000000-0004-0000-0100-0000AF040000}"/>
    <hyperlink ref="A602" r:id="rId1201" tooltip="View details for Worry Seed" display="http://pokemondb.net/move/worry-seed" xr:uid="{00000000-0004-0000-0100-0000B0040000}"/>
    <hyperlink ref="B602" r:id="rId1202" display="http://pokemondb.net/type/grass" xr:uid="{00000000-0004-0000-0100-0000B1040000}"/>
    <hyperlink ref="A603" r:id="rId1203" tooltip="View details for Wrap" display="http://pokemondb.net/move/wrap" xr:uid="{00000000-0004-0000-0100-0000B2040000}"/>
    <hyperlink ref="B603" r:id="rId1204" display="http://pokemondb.net/type/normal" xr:uid="{00000000-0004-0000-0100-0000B3040000}"/>
    <hyperlink ref="A604" r:id="rId1205" tooltip="View details for Wring Out" display="http://pokemondb.net/move/wring-out" xr:uid="{00000000-0004-0000-0100-0000B4040000}"/>
    <hyperlink ref="B604" r:id="rId1206" display="http://pokemondb.net/type/normal" xr:uid="{00000000-0004-0000-0100-0000B5040000}"/>
    <hyperlink ref="A605" r:id="rId1207" tooltip="View details for X-Scissor" display="http://pokemondb.net/move/x-scissor" xr:uid="{00000000-0004-0000-0100-0000B6040000}"/>
    <hyperlink ref="B605" r:id="rId1208" display="http://pokemondb.net/type/bug" xr:uid="{00000000-0004-0000-0100-0000B7040000}"/>
    <hyperlink ref="A606" r:id="rId1209" tooltip="View details for Yawn" display="http://pokemondb.net/move/yawn" xr:uid="{00000000-0004-0000-0100-0000B8040000}"/>
    <hyperlink ref="B606" r:id="rId1210" display="http://pokemondb.net/type/normal" xr:uid="{00000000-0004-0000-0100-0000B9040000}"/>
    <hyperlink ref="A607" r:id="rId1211" tooltip="View details for Zap Cannon" display="http://pokemondb.net/move/zap-cannon" xr:uid="{00000000-0004-0000-0100-0000BA040000}"/>
    <hyperlink ref="B607" r:id="rId1212" display="http://pokemondb.net/type/electric" xr:uid="{00000000-0004-0000-0100-0000BB040000}"/>
    <hyperlink ref="A608" r:id="rId1213" tooltip="View details for Zen Headbutt" display="http://pokemondb.net/move/zen-headbutt" xr:uid="{00000000-0004-0000-0100-0000BC040000}"/>
    <hyperlink ref="B608" r:id="rId1214" display="http://pokemondb.net/type/psychic" xr:uid="{00000000-0004-0000-0100-0000BD040000}"/>
  </hyperlinks>
  <pageMargins left="0.7" right="0.7" top="0.75" bottom="0.75" header="0.3" footer="0.3"/>
  <tableParts count="1">
    <tablePart r:id="rId12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9"/>
  <sheetViews>
    <sheetView workbookViewId="0">
      <pane ySplit="1" topLeftCell="A2" activePane="bottomLeft" state="frozen"/>
      <selection pane="bottomLeft" activeCell="H11" sqref="H11"/>
    </sheetView>
  </sheetViews>
  <sheetFormatPr defaultRowHeight="15"/>
  <cols>
    <col min="1" max="1" width="20.5703125" customWidth="1"/>
    <col min="2" max="2" width="23" customWidth="1"/>
    <col min="3" max="3" width="11.5703125" customWidth="1"/>
    <col min="4" max="4" width="29.28515625" customWidth="1"/>
    <col min="5" max="5" width="22.42578125" customWidth="1"/>
    <col min="6" max="6" width="52.42578125" customWidth="1"/>
    <col min="8" max="8" width="13.140625" bestFit="1" customWidth="1"/>
  </cols>
  <sheetData>
    <row r="1" spans="1:6" ht="21">
      <c r="A1" s="28" t="s">
        <v>1890</v>
      </c>
      <c r="B1" s="28" t="s">
        <v>1891</v>
      </c>
      <c r="C1" s="28" t="s">
        <v>1892</v>
      </c>
      <c r="D1" s="28" t="s">
        <v>1893</v>
      </c>
      <c r="E1" s="28" t="s">
        <v>1894</v>
      </c>
      <c r="F1" s="28" t="s">
        <v>1895</v>
      </c>
    </row>
    <row r="2" spans="1:6">
      <c r="A2" s="60" t="s">
        <v>15</v>
      </c>
      <c r="B2" s="24" t="s">
        <v>18</v>
      </c>
      <c r="C2" s="54">
        <v>16</v>
      </c>
      <c r="D2" s="25"/>
      <c r="E2" s="1" t="s">
        <v>1892</v>
      </c>
      <c r="F2" s="23" t="str">
        <f>"O Pokémon " &amp; A2 &amp;
" evolui para " &amp;
B2</f>
        <v>O Pokémon Bulbasaur evolui para Ivysaur</v>
      </c>
    </row>
    <row r="3" spans="1:6">
      <c r="A3" s="24" t="s">
        <v>18</v>
      </c>
      <c r="B3" s="24" t="s">
        <v>19</v>
      </c>
      <c r="C3" s="54">
        <v>32</v>
      </c>
      <c r="D3" s="25"/>
      <c r="E3" s="1" t="s">
        <v>1892</v>
      </c>
      <c r="F3" s="23" t="str">
        <f t="shared" ref="F3:F66" si="0">"O Pokémon " &amp; A3 &amp;
" evolui para " &amp;
B3</f>
        <v>O Pokémon Ivysaur evolui para Venusaur</v>
      </c>
    </row>
    <row r="4" spans="1:6">
      <c r="A4" s="26" t="s">
        <v>21</v>
      </c>
      <c r="B4" s="26" t="s">
        <v>23</v>
      </c>
      <c r="C4" s="55">
        <v>16</v>
      </c>
      <c r="D4" s="27"/>
      <c r="E4" s="1" t="s">
        <v>1892</v>
      </c>
      <c r="F4" s="23" t="str">
        <f t="shared" si="0"/>
        <v>O Pokémon Charmander evolui para Charmeleon</v>
      </c>
    </row>
    <row r="5" spans="1:6">
      <c r="A5" s="24" t="s">
        <v>23</v>
      </c>
      <c r="B5" s="24" t="s">
        <v>24</v>
      </c>
      <c r="C5" s="54">
        <v>36</v>
      </c>
      <c r="D5" s="25"/>
      <c r="E5" s="1" t="s">
        <v>1892</v>
      </c>
      <c r="F5" s="23" t="str">
        <f t="shared" si="0"/>
        <v>O Pokémon Charmeleon evolui para Charizard</v>
      </c>
    </row>
    <row r="6" spans="1:6">
      <c r="A6" s="24" t="s">
        <v>29</v>
      </c>
      <c r="B6" s="24" t="s">
        <v>31</v>
      </c>
      <c r="C6" s="54">
        <v>16</v>
      </c>
      <c r="D6" s="25"/>
      <c r="E6" s="1" t="s">
        <v>1892</v>
      </c>
      <c r="F6" s="23" t="str">
        <f t="shared" si="0"/>
        <v>O Pokémon Squirtle evolui para Wartortle</v>
      </c>
    </row>
    <row r="7" spans="1:6">
      <c r="A7" s="24" t="s">
        <v>31</v>
      </c>
      <c r="B7" s="24" t="s">
        <v>32</v>
      </c>
      <c r="C7" s="54">
        <v>36</v>
      </c>
      <c r="D7" s="25"/>
      <c r="E7" s="1" t="s">
        <v>1892</v>
      </c>
      <c r="F7" s="23" t="str">
        <f t="shared" si="0"/>
        <v>O Pokémon Wartortle evolui para Blastoise</v>
      </c>
    </row>
    <row r="8" spans="1:6">
      <c r="A8" s="24" t="s">
        <v>34</v>
      </c>
      <c r="B8" s="24" t="s">
        <v>36</v>
      </c>
      <c r="C8" s="54">
        <v>7</v>
      </c>
      <c r="D8" s="25"/>
      <c r="E8" s="1" t="s">
        <v>1892</v>
      </c>
      <c r="F8" s="23" t="str">
        <f t="shared" si="0"/>
        <v>O Pokémon Caterpie evolui para Metapod</v>
      </c>
    </row>
    <row r="9" spans="1:6">
      <c r="A9" s="24" t="s">
        <v>36</v>
      </c>
      <c r="B9" s="24" t="s">
        <v>37</v>
      </c>
      <c r="C9" s="54">
        <v>10</v>
      </c>
      <c r="D9" s="25"/>
      <c r="E9" s="1" t="s">
        <v>1892</v>
      </c>
      <c r="F9" s="23" t="str">
        <f t="shared" si="0"/>
        <v>O Pokémon Metapod evolui para Butterfree</v>
      </c>
    </row>
    <row r="10" spans="1:6">
      <c r="A10" s="24" t="s">
        <v>38</v>
      </c>
      <c r="B10" s="24" t="s">
        <v>39</v>
      </c>
      <c r="C10" s="54">
        <v>7</v>
      </c>
      <c r="D10" s="25"/>
      <c r="E10" s="1" t="s">
        <v>1892</v>
      </c>
      <c r="F10" s="23" t="str">
        <f t="shared" si="0"/>
        <v>O Pokémon Weedle evolui para Kakuna</v>
      </c>
    </row>
    <row r="11" spans="1:6">
      <c r="A11" s="24" t="s">
        <v>39</v>
      </c>
      <c r="B11" s="24" t="s">
        <v>40</v>
      </c>
      <c r="C11" s="54">
        <v>10</v>
      </c>
      <c r="D11" s="25"/>
      <c r="E11" s="1" t="s">
        <v>1892</v>
      </c>
      <c r="F11" s="23" t="str">
        <f t="shared" si="0"/>
        <v>O Pokémon Kakuna evolui para Beedrill</v>
      </c>
    </row>
    <row r="12" spans="1:6">
      <c r="A12" s="24" t="s">
        <v>41</v>
      </c>
      <c r="B12" s="24" t="s">
        <v>43</v>
      </c>
      <c r="C12" s="54">
        <v>18</v>
      </c>
      <c r="D12" s="25"/>
      <c r="E12" s="1" t="s">
        <v>1892</v>
      </c>
      <c r="F12" s="23" t="str">
        <f t="shared" si="0"/>
        <v>O Pokémon Pidgey evolui para Pidgeotto</v>
      </c>
    </row>
    <row r="13" spans="1:6">
      <c r="A13" s="24" t="s">
        <v>43</v>
      </c>
      <c r="B13" s="24" t="s">
        <v>44</v>
      </c>
      <c r="C13" s="54">
        <v>36</v>
      </c>
      <c r="D13" s="25"/>
      <c r="E13" s="1" t="s">
        <v>1892</v>
      </c>
      <c r="F13" s="23" t="str">
        <f t="shared" si="0"/>
        <v>O Pokémon Pidgeotto evolui para Pidgeot</v>
      </c>
    </row>
    <row r="14" spans="1:6">
      <c r="A14" s="24" t="s">
        <v>45</v>
      </c>
      <c r="B14" s="24" t="s">
        <v>46</v>
      </c>
      <c r="C14" s="54">
        <v>20</v>
      </c>
      <c r="D14" s="25"/>
      <c r="E14" s="1" t="s">
        <v>1892</v>
      </c>
      <c r="F14" s="23" t="str">
        <f t="shared" si="0"/>
        <v>O Pokémon Rattata evolui para Raticate</v>
      </c>
    </row>
    <row r="15" spans="1:6">
      <c r="A15" s="24" t="s">
        <v>47</v>
      </c>
      <c r="B15" s="24" t="s">
        <v>48</v>
      </c>
      <c r="C15" s="54">
        <v>20</v>
      </c>
      <c r="D15" s="25"/>
      <c r="E15" s="1" t="s">
        <v>1892</v>
      </c>
      <c r="F15" s="23" t="str">
        <f t="shared" si="0"/>
        <v>O Pokémon Spearow evolui para Fearow</v>
      </c>
    </row>
    <row r="16" spans="1:6">
      <c r="A16" s="26" t="s">
        <v>49</v>
      </c>
      <c r="B16" s="26" t="s">
        <v>50</v>
      </c>
      <c r="C16" s="55">
        <v>22</v>
      </c>
      <c r="D16" s="27"/>
      <c r="E16" s="1" t="s">
        <v>1892</v>
      </c>
      <c r="F16" s="23" t="str">
        <f t="shared" si="0"/>
        <v>O Pokémon Ekans evolui para Arbok</v>
      </c>
    </row>
    <row r="17" spans="1:6">
      <c r="A17" s="24" t="s">
        <v>54</v>
      </c>
      <c r="B17" s="24" t="s">
        <v>56</v>
      </c>
      <c r="C17" s="54">
        <v>22</v>
      </c>
      <c r="D17" s="25"/>
      <c r="E17" s="1" t="s">
        <v>1892</v>
      </c>
      <c r="F17" s="23" t="str">
        <f t="shared" si="0"/>
        <v>O Pokémon Sandshrew evolui para Sandslash</v>
      </c>
    </row>
    <row r="18" spans="1:6">
      <c r="A18" s="24" t="s">
        <v>57</v>
      </c>
      <c r="B18" s="24" t="s">
        <v>58</v>
      </c>
      <c r="C18" s="54">
        <v>16</v>
      </c>
      <c r="D18" s="25"/>
      <c r="E18" s="1" t="s">
        <v>1892</v>
      </c>
      <c r="F18" s="23" t="str">
        <f t="shared" si="0"/>
        <v>O Pokémon Nidoran♀ evolui para Nidorina</v>
      </c>
    </row>
    <row r="19" spans="1:6">
      <c r="A19" s="24" t="s">
        <v>60</v>
      </c>
      <c r="B19" s="24" t="s">
        <v>61</v>
      </c>
      <c r="C19" s="54">
        <v>16</v>
      </c>
      <c r="D19" s="25"/>
      <c r="E19" s="1" t="s">
        <v>1892</v>
      </c>
      <c r="F19" s="23" t="str">
        <f t="shared" si="0"/>
        <v>O Pokémon Nidoran♂ evolui para Nidorino</v>
      </c>
    </row>
    <row r="20" spans="1:6">
      <c r="A20" s="24" t="s">
        <v>70</v>
      </c>
      <c r="B20" s="24" t="s">
        <v>71</v>
      </c>
      <c r="C20" s="54">
        <v>22</v>
      </c>
      <c r="D20" s="25"/>
      <c r="E20" s="1" t="s">
        <v>1892</v>
      </c>
      <c r="F20" s="23" t="str">
        <f t="shared" si="0"/>
        <v>O Pokémon Zubat evolui para Golbat</v>
      </c>
    </row>
    <row r="21" spans="1:6">
      <c r="A21" s="24" t="s">
        <v>72</v>
      </c>
      <c r="B21" s="24" t="s">
        <v>73</v>
      </c>
      <c r="C21" s="54">
        <v>21</v>
      </c>
      <c r="D21" s="25"/>
      <c r="E21" s="1" t="s">
        <v>1892</v>
      </c>
      <c r="F21" s="23" t="str">
        <f t="shared" si="0"/>
        <v>O Pokémon Oddish evolui para Gloom</v>
      </c>
    </row>
    <row r="22" spans="1:6">
      <c r="A22" s="24" t="s">
        <v>75</v>
      </c>
      <c r="B22" s="24" t="s">
        <v>76</v>
      </c>
      <c r="C22" s="54">
        <v>24</v>
      </c>
      <c r="D22" s="25"/>
      <c r="E22" s="1" t="s">
        <v>1892</v>
      </c>
      <c r="F22" s="23" t="str">
        <f t="shared" si="0"/>
        <v>O Pokémon Paras evolui para Parasect</v>
      </c>
    </row>
    <row r="23" spans="1:6">
      <c r="A23" s="24" t="s">
        <v>77</v>
      </c>
      <c r="B23" s="24" t="s">
        <v>78</v>
      </c>
      <c r="C23" s="54">
        <v>31</v>
      </c>
      <c r="D23" s="25"/>
      <c r="E23" s="1" t="s">
        <v>1892</v>
      </c>
      <c r="F23" s="23" t="str">
        <f t="shared" si="0"/>
        <v>O Pokémon Venonat evolui para Venomoth</v>
      </c>
    </row>
    <row r="24" spans="1:6">
      <c r="A24" s="24" t="s">
        <v>79</v>
      </c>
      <c r="B24" s="24" t="s">
        <v>80</v>
      </c>
      <c r="C24" s="54">
        <v>26</v>
      </c>
      <c r="D24" s="25"/>
      <c r="E24" s="1" t="s">
        <v>1892</v>
      </c>
      <c r="F24" s="23" t="str">
        <f t="shared" si="0"/>
        <v>O Pokémon Diglett evolui para Dugtrio</v>
      </c>
    </row>
    <row r="25" spans="1:6">
      <c r="A25" s="24" t="s">
        <v>81</v>
      </c>
      <c r="B25" s="24" t="s">
        <v>82</v>
      </c>
      <c r="C25" s="54">
        <v>28</v>
      </c>
      <c r="D25" s="25"/>
      <c r="E25" s="1" t="s">
        <v>1892</v>
      </c>
      <c r="F25" s="23" t="str">
        <f t="shared" si="0"/>
        <v>O Pokémon Meowth evolui para Persian</v>
      </c>
    </row>
    <row r="26" spans="1:6">
      <c r="A26" s="24" t="s">
        <v>83</v>
      </c>
      <c r="B26" s="24" t="s">
        <v>84</v>
      </c>
      <c r="C26" s="54">
        <v>33</v>
      </c>
      <c r="D26" s="25"/>
      <c r="E26" s="1" t="s">
        <v>1892</v>
      </c>
      <c r="F26" s="23" t="str">
        <f t="shared" si="0"/>
        <v>O Pokémon Psyduck evolui para Golduck</v>
      </c>
    </row>
    <row r="27" spans="1:6">
      <c r="A27" s="24" t="s">
        <v>85</v>
      </c>
      <c r="B27" s="24" t="s">
        <v>87</v>
      </c>
      <c r="C27" s="54">
        <v>28</v>
      </c>
      <c r="D27" s="25"/>
      <c r="E27" s="1" t="s">
        <v>1892</v>
      </c>
      <c r="F27" s="23" t="str">
        <f t="shared" si="0"/>
        <v>O Pokémon Mankey evolui para Primeape</v>
      </c>
    </row>
    <row r="28" spans="1:6">
      <c r="A28" s="24" t="s">
        <v>90</v>
      </c>
      <c r="B28" s="24" t="s">
        <v>91</v>
      </c>
      <c r="C28" s="54">
        <v>25</v>
      </c>
      <c r="D28" s="25"/>
      <c r="E28" s="1" t="s">
        <v>1892</v>
      </c>
      <c r="F28" s="23" t="str">
        <f t="shared" si="0"/>
        <v>O Pokémon Poliwag evolui para Poliwhirl</v>
      </c>
    </row>
    <row r="29" spans="1:6">
      <c r="A29" s="24" t="s">
        <v>93</v>
      </c>
      <c r="B29" s="24" t="s">
        <v>95</v>
      </c>
      <c r="C29" s="54">
        <v>16</v>
      </c>
      <c r="D29" s="25"/>
      <c r="E29" s="1" t="s">
        <v>1892</v>
      </c>
      <c r="F29" s="23" t="str">
        <f t="shared" si="0"/>
        <v>O Pokémon Abra evolui para Kadabra</v>
      </c>
    </row>
    <row r="30" spans="1:6">
      <c r="A30" s="24" t="s">
        <v>98</v>
      </c>
      <c r="B30" s="24" t="s">
        <v>99</v>
      </c>
      <c r="C30" s="54">
        <v>28</v>
      </c>
      <c r="D30" s="25"/>
      <c r="E30" s="1" t="s">
        <v>1892</v>
      </c>
      <c r="F30" s="23" t="str">
        <f t="shared" si="0"/>
        <v>O Pokémon Machop evolui para Machoke</v>
      </c>
    </row>
    <row r="31" spans="1:6">
      <c r="A31" s="24" t="s">
        <v>101</v>
      </c>
      <c r="B31" s="24" t="s">
        <v>102</v>
      </c>
      <c r="C31" s="54">
        <v>21</v>
      </c>
      <c r="D31" s="25"/>
      <c r="E31" s="1" t="s">
        <v>1892</v>
      </c>
      <c r="F31" s="23" t="str">
        <f t="shared" si="0"/>
        <v>O Pokémon Bellsprout evolui para Weepinbell</v>
      </c>
    </row>
    <row r="32" spans="1:6">
      <c r="A32" s="24" t="s">
        <v>104</v>
      </c>
      <c r="B32" s="24" t="s">
        <v>105</v>
      </c>
      <c r="C32" s="54">
        <v>30</v>
      </c>
      <c r="D32" s="25"/>
      <c r="E32" s="1" t="s">
        <v>1892</v>
      </c>
      <c r="F32" s="23" t="str">
        <f t="shared" si="0"/>
        <v>O Pokémon Tentacool evolui para Tentacruel</v>
      </c>
    </row>
    <row r="33" spans="1:6">
      <c r="A33" s="24" t="s">
        <v>106</v>
      </c>
      <c r="B33" s="24" t="s">
        <v>108</v>
      </c>
      <c r="C33" s="54">
        <v>25</v>
      </c>
      <c r="D33" s="25"/>
      <c r="E33" s="1" t="s">
        <v>1892</v>
      </c>
      <c r="F33" s="23" t="str">
        <f t="shared" si="0"/>
        <v>O Pokémon Geodude evolui para Graveler</v>
      </c>
    </row>
    <row r="34" spans="1:6">
      <c r="A34" s="24" t="s">
        <v>110</v>
      </c>
      <c r="B34" s="24" t="s">
        <v>111</v>
      </c>
      <c r="C34" s="54">
        <v>40</v>
      </c>
      <c r="D34" s="25"/>
      <c r="E34" s="1" t="s">
        <v>1892</v>
      </c>
      <c r="F34" s="23" t="str">
        <f t="shared" si="0"/>
        <v>O Pokémon Ponyta evolui para Rapidash</v>
      </c>
    </row>
    <row r="35" spans="1:6">
      <c r="A35" s="24" t="s">
        <v>112</v>
      </c>
      <c r="B35" s="24" t="s">
        <v>113</v>
      </c>
      <c r="C35" s="54">
        <v>37</v>
      </c>
      <c r="D35" s="25"/>
      <c r="E35" s="1" t="s">
        <v>1892</v>
      </c>
      <c r="F35" s="23" t="str">
        <f t="shared" si="0"/>
        <v>O Pokémon Slowpoke evolui para Slowbro</v>
      </c>
    </row>
    <row r="36" spans="1:6">
      <c r="A36" s="24" t="s">
        <v>114</v>
      </c>
      <c r="B36" s="24" t="s">
        <v>116</v>
      </c>
      <c r="C36" s="54">
        <v>30</v>
      </c>
      <c r="D36" s="25"/>
      <c r="E36" s="1" t="s">
        <v>1892</v>
      </c>
      <c r="F36" s="23" t="str">
        <f t="shared" si="0"/>
        <v>O Pokémon Magnemite evolui para Magneton</v>
      </c>
    </row>
    <row r="37" spans="1:6">
      <c r="A37" s="24" t="s">
        <v>118</v>
      </c>
      <c r="B37" s="24" t="s">
        <v>119</v>
      </c>
      <c r="C37" s="54">
        <v>31</v>
      </c>
      <c r="D37" s="25"/>
      <c r="E37" s="1" t="s">
        <v>1892</v>
      </c>
      <c r="F37" s="23" t="str">
        <f t="shared" si="0"/>
        <v>O Pokémon Doduo evolui para Dodrio</v>
      </c>
    </row>
    <row r="38" spans="1:6">
      <c r="A38" s="24" t="s">
        <v>120</v>
      </c>
      <c r="B38" s="24" t="s">
        <v>121</v>
      </c>
      <c r="C38" s="54">
        <v>34</v>
      </c>
      <c r="D38" s="25"/>
      <c r="E38" s="1" t="s">
        <v>1892</v>
      </c>
      <c r="F38" s="23" t="str">
        <f t="shared" si="0"/>
        <v>O Pokémon Seel evolui para Dewgong</v>
      </c>
    </row>
    <row r="39" spans="1:6">
      <c r="A39" s="24" t="s">
        <v>123</v>
      </c>
      <c r="B39" s="24" t="s">
        <v>124</v>
      </c>
      <c r="C39" s="54">
        <v>38</v>
      </c>
      <c r="D39" s="25"/>
      <c r="E39" s="1" t="s">
        <v>1892</v>
      </c>
      <c r="F39" s="23" t="str">
        <f t="shared" si="0"/>
        <v>O Pokémon Grimer evolui para Muk</v>
      </c>
    </row>
    <row r="40" spans="1:6">
      <c r="A40" s="24" t="s">
        <v>127</v>
      </c>
      <c r="B40" s="24" t="s">
        <v>129</v>
      </c>
      <c r="C40" s="54">
        <v>25</v>
      </c>
      <c r="D40" s="25"/>
      <c r="E40" s="1" t="s">
        <v>1892</v>
      </c>
      <c r="F40" s="23" t="str">
        <f t="shared" si="0"/>
        <v>O Pokémon Gastly evolui para Haunter</v>
      </c>
    </row>
    <row r="41" spans="1:6">
      <c r="A41" s="24" t="s">
        <v>133</v>
      </c>
      <c r="B41" s="24" t="s">
        <v>134</v>
      </c>
      <c r="C41" s="54">
        <v>26</v>
      </c>
      <c r="D41" s="25"/>
      <c r="E41" s="1" t="s">
        <v>1892</v>
      </c>
      <c r="F41" s="23" t="str">
        <f t="shared" si="0"/>
        <v>O Pokémon Drowzee evolui para Hypno</v>
      </c>
    </row>
    <row r="42" spans="1:6">
      <c r="A42" s="24" t="s">
        <v>135</v>
      </c>
      <c r="B42" s="24" t="s">
        <v>136</v>
      </c>
      <c r="C42" s="54">
        <v>28</v>
      </c>
      <c r="D42" s="25"/>
      <c r="E42" s="1" t="s">
        <v>1892</v>
      </c>
      <c r="F42" s="23" t="str">
        <f t="shared" si="0"/>
        <v>O Pokémon Krabby evolui para Kingler</v>
      </c>
    </row>
    <row r="43" spans="1:6">
      <c r="A43" s="24" t="s">
        <v>137</v>
      </c>
      <c r="B43" s="24" t="s">
        <v>138</v>
      </c>
      <c r="C43" s="54">
        <v>30</v>
      </c>
      <c r="D43" s="25"/>
      <c r="E43" s="1" t="s">
        <v>1892</v>
      </c>
      <c r="F43" s="23" t="str">
        <f t="shared" si="0"/>
        <v>O Pokémon Voltorb evolui para Electrode</v>
      </c>
    </row>
    <row r="44" spans="1:6">
      <c r="A44" s="24" t="s">
        <v>141</v>
      </c>
      <c r="B44" s="24" t="s">
        <v>142</v>
      </c>
      <c r="C44" s="54">
        <v>28</v>
      </c>
      <c r="D44" s="25"/>
      <c r="E44" s="1" t="s">
        <v>1892</v>
      </c>
      <c r="F44" s="23" t="str">
        <f t="shared" si="0"/>
        <v>O Pokémon Cubone evolui para Marowak</v>
      </c>
    </row>
    <row r="45" spans="1:6">
      <c r="A45" s="24" t="s">
        <v>283</v>
      </c>
      <c r="B45" s="24" t="s">
        <v>143</v>
      </c>
      <c r="C45" s="54">
        <v>20</v>
      </c>
      <c r="D45" s="25" t="s">
        <v>1896</v>
      </c>
      <c r="E45" s="1" t="s">
        <v>1892</v>
      </c>
      <c r="F45" s="23" t="str">
        <f t="shared" si="0"/>
        <v>O Pokémon Tyrogue evolui para Hitmonlee</v>
      </c>
    </row>
    <row r="46" spans="1:6">
      <c r="A46" s="24" t="s">
        <v>283</v>
      </c>
      <c r="B46" s="24" t="s">
        <v>144</v>
      </c>
      <c r="C46" s="54">
        <v>20</v>
      </c>
      <c r="D46" s="25" t="s">
        <v>1897</v>
      </c>
      <c r="E46" s="1" t="s">
        <v>1892</v>
      </c>
      <c r="F46" s="23" t="str">
        <f t="shared" si="0"/>
        <v>O Pokémon Tyrogue evolui para Hitmonchan</v>
      </c>
    </row>
    <row r="47" spans="1:6">
      <c r="A47" s="24" t="s">
        <v>283</v>
      </c>
      <c r="B47" s="24" t="s">
        <v>284</v>
      </c>
      <c r="C47" s="54">
        <v>20</v>
      </c>
      <c r="D47" s="25" t="s">
        <v>1898</v>
      </c>
      <c r="E47" s="1" t="s">
        <v>1892</v>
      </c>
      <c r="F47" s="23" t="str">
        <f t="shared" si="0"/>
        <v>O Pokémon Tyrogue evolui para Hitmontop</v>
      </c>
    </row>
    <row r="48" spans="1:6">
      <c r="A48" s="24" t="s">
        <v>146</v>
      </c>
      <c r="B48" s="24" t="s">
        <v>147</v>
      </c>
      <c r="C48" s="54">
        <v>35</v>
      </c>
      <c r="D48" s="25"/>
      <c r="E48" s="1" t="s">
        <v>1892</v>
      </c>
      <c r="F48" s="23" t="str">
        <f t="shared" si="0"/>
        <v>O Pokémon Koffing evolui para Weezing</v>
      </c>
    </row>
    <row r="49" spans="1:6">
      <c r="A49" s="24" t="s">
        <v>148</v>
      </c>
      <c r="B49" s="24" t="s">
        <v>149</v>
      </c>
      <c r="C49" s="54">
        <v>42</v>
      </c>
      <c r="D49" s="25"/>
      <c r="E49" s="1" t="s">
        <v>1892</v>
      </c>
      <c r="F49" s="23" t="str">
        <f t="shared" si="0"/>
        <v>O Pokémon Rhyhorn evolui para Rhydon</v>
      </c>
    </row>
    <row r="50" spans="1:6">
      <c r="A50" s="24" t="s">
        <v>153</v>
      </c>
      <c r="B50" s="24" t="s">
        <v>154</v>
      </c>
      <c r="C50" s="54">
        <v>32</v>
      </c>
      <c r="D50" s="25"/>
      <c r="E50" s="1" t="s">
        <v>1892</v>
      </c>
      <c r="F50" s="23" t="str">
        <f t="shared" si="0"/>
        <v>O Pokémon Horsea evolui para Seadra</v>
      </c>
    </row>
    <row r="51" spans="1:6">
      <c r="A51" s="24" t="s">
        <v>155</v>
      </c>
      <c r="B51" s="24" t="s">
        <v>156</v>
      </c>
      <c r="C51" s="54">
        <v>33</v>
      </c>
      <c r="D51" s="25"/>
      <c r="E51" s="1" t="s">
        <v>1892</v>
      </c>
      <c r="F51" s="23" t="str">
        <f t="shared" si="0"/>
        <v>O Pokémon Goldeen evolui para Seaking</v>
      </c>
    </row>
    <row r="52" spans="1:6">
      <c r="A52" s="24" t="s">
        <v>285</v>
      </c>
      <c r="B52" s="24" t="s">
        <v>161</v>
      </c>
      <c r="C52" s="54">
        <v>30</v>
      </c>
      <c r="D52" s="25"/>
      <c r="E52" s="1" t="s">
        <v>1892</v>
      </c>
      <c r="F52" s="23" t="str">
        <f t="shared" si="0"/>
        <v>O Pokémon Smoochum evolui para Jynx</v>
      </c>
    </row>
    <row r="53" spans="1:6">
      <c r="A53" s="24" t="s">
        <v>286</v>
      </c>
      <c r="B53" s="24" t="s">
        <v>162</v>
      </c>
      <c r="C53" s="54">
        <v>30</v>
      </c>
      <c r="D53" s="25"/>
      <c r="E53" s="1" t="s">
        <v>1892</v>
      </c>
      <c r="F53" s="23" t="str">
        <f t="shared" si="0"/>
        <v>O Pokémon Elekid evolui para Electabuzz</v>
      </c>
    </row>
    <row r="54" spans="1:6">
      <c r="A54" s="24" t="s">
        <v>287</v>
      </c>
      <c r="B54" s="24" t="s">
        <v>163</v>
      </c>
      <c r="C54" s="54">
        <v>30</v>
      </c>
      <c r="D54" s="25"/>
      <c r="E54" s="1" t="s">
        <v>1892</v>
      </c>
      <c r="F54" s="23" t="str">
        <f t="shared" si="0"/>
        <v>O Pokémon Magby evolui para Magmar</v>
      </c>
    </row>
    <row r="55" spans="1:6">
      <c r="A55" s="24" t="s">
        <v>167</v>
      </c>
      <c r="B55" s="24" t="s">
        <v>168</v>
      </c>
      <c r="C55" s="54">
        <v>20</v>
      </c>
      <c r="D55" s="25"/>
      <c r="E55" s="1" t="s">
        <v>1892</v>
      </c>
      <c r="F55" s="23" t="str">
        <f t="shared" si="0"/>
        <v>O Pokémon Magikarp evolui para Gyarados</v>
      </c>
    </row>
    <row r="56" spans="1:6">
      <c r="A56" s="24" t="s">
        <v>178</v>
      </c>
      <c r="B56" s="24" t="s">
        <v>179</v>
      </c>
      <c r="C56" s="54">
        <v>40</v>
      </c>
      <c r="D56" s="25"/>
      <c r="E56" s="1" t="s">
        <v>1892</v>
      </c>
      <c r="F56" s="23" t="str">
        <f t="shared" si="0"/>
        <v>O Pokémon Omanyte evolui para Omastar</v>
      </c>
    </row>
    <row r="57" spans="1:6">
      <c r="A57" s="24" t="s">
        <v>180</v>
      </c>
      <c r="B57" s="24" t="s">
        <v>181</v>
      </c>
      <c r="C57" s="54">
        <v>40</v>
      </c>
      <c r="D57" s="25"/>
      <c r="E57" s="1" t="s">
        <v>1892</v>
      </c>
      <c r="F57" s="23" t="str">
        <f t="shared" si="0"/>
        <v>O Pokémon Kabuto evolui para Kabutops</v>
      </c>
    </row>
    <row r="58" spans="1:6">
      <c r="A58" s="24" t="s">
        <v>188</v>
      </c>
      <c r="B58" s="24" t="s">
        <v>189</v>
      </c>
      <c r="C58" s="54">
        <v>30</v>
      </c>
      <c r="D58" s="25"/>
      <c r="E58" s="1" t="s">
        <v>1892</v>
      </c>
      <c r="F58" s="23" t="str">
        <f t="shared" si="0"/>
        <v>O Pokémon Dratini evolui para Dragonair</v>
      </c>
    </row>
    <row r="59" spans="1:6">
      <c r="A59" s="24" t="s">
        <v>189</v>
      </c>
      <c r="B59" s="24" t="s">
        <v>190</v>
      </c>
      <c r="C59" s="54">
        <v>55</v>
      </c>
      <c r="D59" s="25"/>
      <c r="E59" s="1" t="s">
        <v>1892</v>
      </c>
      <c r="F59" s="23" t="str">
        <f t="shared" si="0"/>
        <v>O Pokémon Dragonair evolui para Dragonite</v>
      </c>
    </row>
    <row r="60" spans="1:6">
      <c r="A60" s="24" t="s">
        <v>195</v>
      </c>
      <c r="B60" s="24" t="s">
        <v>196</v>
      </c>
      <c r="C60" s="54">
        <v>16</v>
      </c>
      <c r="D60" s="25"/>
      <c r="E60" s="1" t="s">
        <v>1892</v>
      </c>
      <c r="F60" s="23" t="str">
        <f t="shared" si="0"/>
        <v>O Pokémon Chikorita evolui para Bayleef</v>
      </c>
    </row>
    <row r="61" spans="1:6">
      <c r="A61" s="24" t="s">
        <v>196</v>
      </c>
      <c r="B61" s="24" t="s">
        <v>197</v>
      </c>
      <c r="C61" s="54">
        <v>32</v>
      </c>
      <c r="D61" s="25"/>
      <c r="E61" s="1" t="s">
        <v>1892</v>
      </c>
      <c r="F61" s="23" t="str">
        <f t="shared" si="0"/>
        <v>O Pokémon Bayleef evolui para Meganium</v>
      </c>
    </row>
    <row r="62" spans="1:6">
      <c r="A62" s="24" t="s">
        <v>198</v>
      </c>
      <c r="B62" s="24" t="s">
        <v>199</v>
      </c>
      <c r="C62" s="54">
        <v>14</v>
      </c>
      <c r="D62" s="25"/>
      <c r="E62" s="1" t="s">
        <v>1892</v>
      </c>
      <c r="F62" s="23" t="str">
        <f t="shared" si="0"/>
        <v>O Pokémon Cyndaquil evolui para Quilava</v>
      </c>
    </row>
    <row r="63" spans="1:6">
      <c r="A63" s="24" t="s">
        <v>199</v>
      </c>
      <c r="B63" s="24" t="s">
        <v>200</v>
      </c>
      <c r="C63" s="54">
        <v>36</v>
      </c>
      <c r="D63" s="25"/>
      <c r="E63" s="1" t="s">
        <v>1892</v>
      </c>
      <c r="F63" s="23" t="str">
        <f t="shared" si="0"/>
        <v>O Pokémon Quilava evolui para Typhlosion</v>
      </c>
    </row>
    <row r="64" spans="1:6">
      <c r="A64" s="24" t="s">
        <v>201</v>
      </c>
      <c r="B64" s="24" t="s">
        <v>202</v>
      </c>
      <c r="C64" s="54">
        <v>18</v>
      </c>
      <c r="D64" s="25"/>
      <c r="E64" s="1" t="s">
        <v>1892</v>
      </c>
      <c r="F64" s="23" t="str">
        <f t="shared" si="0"/>
        <v>O Pokémon Totodile evolui para Croconaw</v>
      </c>
    </row>
    <row r="65" spans="1:6">
      <c r="A65" s="24" t="s">
        <v>202</v>
      </c>
      <c r="B65" s="24" t="s">
        <v>203</v>
      </c>
      <c r="C65" s="54">
        <v>30</v>
      </c>
      <c r="D65" s="25"/>
      <c r="E65" s="1" t="s">
        <v>1892</v>
      </c>
      <c r="F65" s="23" t="str">
        <f t="shared" si="0"/>
        <v>O Pokémon Croconaw evolui para Feraligatr</v>
      </c>
    </row>
    <row r="66" spans="1:6">
      <c r="A66" s="24" t="s">
        <v>204</v>
      </c>
      <c r="B66" s="24" t="s">
        <v>205</v>
      </c>
      <c r="C66" s="54">
        <v>15</v>
      </c>
      <c r="D66" s="25"/>
      <c r="E66" s="1" t="s">
        <v>1892</v>
      </c>
      <c r="F66" s="23" t="str">
        <f t="shared" si="0"/>
        <v>O Pokémon Sentret evolui para Furret</v>
      </c>
    </row>
    <row r="67" spans="1:6">
      <c r="A67" s="24" t="s">
        <v>206</v>
      </c>
      <c r="B67" s="24" t="s">
        <v>207</v>
      </c>
      <c r="C67" s="54">
        <v>20</v>
      </c>
      <c r="D67" s="25"/>
      <c r="E67" s="1" t="s">
        <v>1892</v>
      </c>
      <c r="F67" s="23" t="str">
        <f t="shared" ref="F67:F130" si="1">"O Pokémon " &amp; A67 &amp;
" evolui para " &amp;
B67</f>
        <v>O Pokémon Hoothoot evolui para Noctowl</v>
      </c>
    </row>
    <row r="68" spans="1:6">
      <c r="A68" s="24" t="s">
        <v>208</v>
      </c>
      <c r="B68" s="24" t="s">
        <v>209</v>
      </c>
      <c r="C68" s="54">
        <v>18</v>
      </c>
      <c r="D68" s="25"/>
      <c r="E68" s="1" t="s">
        <v>1892</v>
      </c>
      <c r="F68" s="23" t="str">
        <f t="shared" si="1"/>
        <v>O Pokémon Ledyba evolui para Ledian</v>
      </c>
    </row>
    <row r="69" spans="1:6">
      <c r="A69" s="24" t="s">
        <v>210</v>
      </c>
      <c r="B69" s="24" t="s">
        <v>211</v>
      </c>
      <c r="C69" s="54">
        <v>22</v>
      </c>
      <c r="D69" s="25"/>
      <c r="E69" s="1" t="s">
        <v>1892</v>
      </c>
      <c r="F69" s="23" t="str">
        <f t="shared" si="1"/>
        <v>O Pokémon Spinarak evolui para Ariados</v>
      </c>
    </row>
    <row r="70" spans="1:6">
      <c r="A70" s="24" t="s">
        <v>213</v>
      </c>
      <c r="B70" s="24" t="s">
        <v>214</v>
      </c>
      <c r="C70" s="54">
        <v>27</v>
      </c>
      <c r="D70" s="25"/>
      <c r="E70" s="1" t="s">
        <v>1892</v>
      </c>
      <c r="F70" s="23" t="str">
        <f t="shared" si="1"/>
        <v>O Pokémon Chinchou evolui para Lanturn</v>
      </c>
    </row>
    <row r="71" spans="1:6">
      <c r="A71" s="24" t="s">
        <v>220</v>
      </c>
      <c r="B71" s="24" t="s">
        <v>221</v>
      </c>
      <c r="C71" s="54">
        <v>25</v>
      </c>
      <c r="D71" s="25"/>
      <c r="E71" s="1" t="s">
        <v>1892</v>
      </c>
      <c r="F71" s="23" t="str">
        <f t="shared" si="1"/>
        <v>O Pokémon Natu evolui para Xatu</v>
      </c>
    </row>
    <row r="72" spans="1:6">
      <c r="A72" s="24" t="s">
        <v>222</v>
      </c>
      <c r="B72" s="24" t="s">
        <v>223</v>
      </c>
      <c r="C72" s="54">
        <v>15</v>
      </c>
      <c r="D72" s="25"/>
      <c r="E72" s="1" t="s">
        <v>1892</v>
      </c>
      <c r="F72" s="23" t="str">
        <f t="shared" si="1"/>
        <v>O Pokémon Mareep evolui para Flaaffy</v>
      </c>
    </row>
    <row r="73" spans="1:6">
      <c r="A73" s="24" t="s">
        <v>223</v>
      </c>
      <c r="B73" s="24" t="s">
        <v>224</v>
      </c>
      <c r="C73" s="54">
        <v>30</v>
      </c>
      <c r="D73" s="25"/>
      <c r="E73" s="1" t="s">
        <v>1892</v>
      </c>
      <c r="F73" s="23" t="str">
        <f t="shared" si="1"/>
        <v>O Pokémon Flaaffy evolui para Ampharos</v>
      </c>
    </row>
    <row r="74" spans="1:6">
      <c r="A74" s="24" t="s">
        <v>227</v>
      </c>
      <c r="B74" s="24" t="s">
        <v>228</v>
      </c>
      <c r="C74" s="54">
        <v>18</v>
      </c>
      <c r="D74" s="25"/>
      <c r="E74" s="1" t="s">
        <v>1892</v>
      </c>
      <c r="F74" s="23" t="str">
        <f t="shared" si="1"/>
        <v>O Pokémon Marill evolui para Azumarill</v>
      </c>
    </row>
    <row r="75" spans="1:6">
      <c r="A75" s="24" t="s">
        <v>231</v>
      </c>
      <c r="B75" s="24" t="s">
        <v>232</v>
      </c>
      <c r="C75" s="54">
        <v>18</v>
      </c>
      <c r="D75" s="25"/>
      <c r="E75" s="1" t="s">
        <v>1892</v>
      </c>
      <c r="F75" s="23" t="str">
        <f t="shared" si="1"/>
        <v>O Pokémon Hoppip evolui para Skiploom</v>
      </c>
    </row>
    <row r="76" spans="1:6">
      <c r="A76" s="24" t="s">
        <v>232</v>
      </c>
      <c r="B76" s="24" t="s">
        <v>233</v>
      </c>
      <c r="C76" s="54">
        <v>27</v>
      </c>
      <c r="D76" s="25"/>
      <c r="E76" s="1" t="s">
        <v>1892</v>
      </c>
      <c r="F76" s="23" t="str">
        <f t="shared" si="1"/>
        <v>O Pokémon Skiploom evolui para Jumpluff</v>
      </c>
    </row>
    <row r="77" spans="1:6">
      <c r="A77" s="24" t="s">
        <v>238</v>
      </c>
      <c r="B77" s="24" t="s">
        <v>239</v>
      </c>
      <c r="C77" s="54">
        <v>20</v>
      </c>
      <c r="D77" s="25"/>
      <c r="E77" s="1" t="s">
        <v>1892</v>
      </c>
      <c r="F77" s="23" t="str">
        <f t="shared" si="1"/>
        <v>O Pokémon Wooper evolui para Quagsire</v>
      </c>
    </row>
    <row r="78" spans="1:6">
      <c r="A78" s="24" t="s">
        <v>418</v>
      </c>
      <c r="B78" s="24" t="s">
        <v>246</v>
      </c>
      <c r="C78" s="54">
        <v>15</v>
      </c>
      <c r="D78" s="25"/>
      <c r="E78" s="1" t="s">
        <v>1892</v>
      </c>
      <c r="F78" s="23" t="str">
        <f t="shared" si="1"/>
        <v>O Pokémon Wynaut evolui para Wobbuffet</v>
      </c>
    </row>
    <row r="79" spans="1:6">
      <c r="A79" s="24" t="s">
        <v>248</v>
      </c>
      <c r="B79" s="24" t="s">
        <v>249</v>
      </c>
      <c r="C79" s="54">
        <v>31</v>
      </c>
      <c r="D79" s="25"/>
      <c r="E79" s="1" t="s">
        <v>1892</v>
      </c>
      <c r="F79" s="23" t="str">
        <f t="shared" si="1"/>
        <v>O Pokémon Pineco evolui para Forretress</v>
      </c>
    </row>
    <row r="80" spans="1:6">
      <c r="A80" s="24" t="s">
        <v>253</v>
      </c>
      <c r="B80" s="24" t="s">
        <v>254</v>
      </c>
      <c r="C80" s="54">
        <v>23</v>
      </c>
      <c r="D80" s="25"/>
      <c r="E80" s="1" t="s">
        <v>1892</v>
      </c>
      <c r="F80" s="23" t="str">
        <f t="shared" si="1"/>
        <v>O Pokémon Snubbull evolui para Granbull</v>
      </c>
    </row>
    <row r="81" spans="1:6">
      <c r="A81" s="24" t="s">
        <v>262</v>
      </c>
      <c r="B81" s="24" t="s">
        <v>263</v>
      </c>
      <c r="C81" s="54">
        <v>30</v>
      </c>
      <c r="D81" s="25"/>
      <c r="E81" s="1" t="s">
        <v>1892</v>
      </c>
      <c r="F81" s="23" t="str">
        <f t="shared" si="1"/>
        <v>O Pokémon Teddiursa evolui para Ursaring</v>
      </c>
    </row>
    <row r="82" spans="1:6">
      <c r="A82" s="24" t="s">
        <v>264</v>
      </c>
      <c r="B82" s="24" t="s">
        <v>265</v>
      </c>
      <c r="C82" s="54">
        <v>38</v>
      </c>
      <c r="D82" s="25"/>
      <c r="E82" s="1" t="s">
        <v>1892</v>
      </c>
      <c r="F82" s="23" t="str">
        <f t="shared" si="1"/>
        <v>O Pokémon Slugma evolui para Magcargo</v>
      </c>
    </row>
    <row r="83" spans="1:6">
      <c r="A83" s="24" t="s">
        <v>266</v>
      </c>
      <c r="B83" s="24" t="s">
        <v>267</v>
      </c>
      <c r="C83" s="54">
        <v>33</v>
      </c>
      <c r="D83" s="25"/>
      <c r="E83" s="1" t="s">
        <v>1892</v>
      </c>
      <c r="F83" s="23" t="str">
        <f t="shared" si="1"/>
        <v>O Pokémon Swinub evolui para Piloswine</v>
      </c>
    </row>
    <row r="84" spans="1:6">
      <c r="A84" s="24" t="s">
        <v>269</v>
      </c>
      <c r="B84" s="24" t="s">
        <v>270</v>
      </c>
      <c r="C84" s="54">
        <v>25</v>
      </c>
      <c r="D84" s="25"/>
      <c r="E84" s="1" t="s">
        <v>1892</v>
      </c>
      <c r="F84" s="23" t="str">
        <f t="shared" si="1"/>
        <v>O Pokémon Remoraid evolui para Octillery</v>
      </c>
    </row>
    <row r="85" spans="1:6">
      <c r="A85" s="24" t="s">
        <v>274</v>
      </c>
      <c r="B85" s="24" t="s">
        <v>275</v>
      </c>
      <c r="C85" s="54">
        <v>24</v>
      </c>
      <c r="D85" s="25"/>
      <c r="E85" s="1" t="s">
        <v>1892</v>
      </c>
      <c r="F85" s="23" t="str">
        <f t="shared" si="1"/>
        <v>O Pokémon Houndour evolui para Houndoom</v>
      </c>
    </row>
    <row r="86" spans="1:6">
      <c r="A86" s="24" t="s">
        <v>278</v>
      </c>
      <c r="B86" s="24" t="s">
        <v>279</v>
      </c>
      <c r="C86" s="54">
        <v>25</v>
      </c>
      <c r="D86" s="25"/>
      <c r="E86" s="1" t="s">
        <v>1892</v>
      </c>
      <c r="F86" s="23" t="str">
        <f t="shared" si="1"/>
        <v>O Pokémon Phanpy evolui para Donphan</v>
      </c>
    </row>
    <row r="87" spans="1:6">
      <c r="A87" s="24" t="s">
        <v>293</v>
      </c>
      <c r="B87" s="24" t="s">
        <v>294</v>
      </c>
      <c r="C87" s="54">
        <v>30</v>
      </c>
      <c r="D87" s="25"/>
      <c r="E87" s="1" t="s">
        <v>1892</v>
      </c>
      <c r="F87" s="23" t="str">
        <f t="shared" si="1"/>
        <v>O Pokémon Larvitar evolui para Pupitar</v>
      </c>
    </row>
    <row r="88" spans="1:6">
      <c r="A88" s="24" t="s">
        <v>294</v>
      </c>
      <c r="B88" s="24" t="s">
        <v>295</v>
      </c>
      <c r="C88" s="54">
        <v>55</v>
      </c>
      <c r="D88" s="25"/>
      <c r="E88" s="1" t="s">
        <v>1892</v>
      </c>
      <c r="F88" s="23" t="str">
        <f t="shared" si="1"/>
        <v>O Pokémon Pupitar evolui para Tyranitar</v>
      </c>
    </row>
    <row r="89" spans="1:6">
      <c r="A89" s="24" t="s">
        <v>300</v>
      </c>
      <c r="B89" s="24" t="s">
        <v>301</v>
      </c>
      <c r="C89" s="54">
        <v>16</v>
      </c>
      <c r="D89" s="25"/>
      <c r="E89" s="1" t="s">
        <v>1892</v>
      </c>
      <c r="F89" s="23" t="str">
        <f t="shared" si="1"/>
        <v>O Pokémon Treecko evolui para Grovyle</v>
      </c>
    </row>
    <row r="90" spans="1:6">
      <c r="A90" s="24" t="s">
        <v>301</v>
      </c>
      <c r="B90" s="24" t="s">
        <v>302</v>
      </c>
      <c r="C90" s="54">
        <v>36</v>
      </c>
      <c r="D90" s="25"/>
      <c r="E90" s="1" t="s">
        <v>1892</v>
      </c>
      <c r="F90" s="23" t="str">
        <f t="shared" si="1"/>
        <v>O Pokémon Grovyle evolui para Sceptile</v>
      </c>
    </row>
    <row r="91" spans="1:6">
      <c r="A91" s="24" t="s">
        <v>303</v>
      </c>
      <c r="B91" s="24" t="s">
        <v>304</v>
      </c>
      <c r="C91" s="54">
        <v>16</v>
      </c>
      <c r="D91" s="25"/>
      <c r="E91" s="1" t="s">
        <v>1892</v>
      </c>
      <c r="F91" s="23" t="str">
        <f t="shared" si="1"/>
        <v>O Pokémon Torchic evolui para Combusken</v>
      </c>
    </row>
    <row r="92" spans="1:6">
      <c r="A92" s="24" t="s">
        <v>304</v>
      </c>
      <c r="B92" s="24" t="s">
        <v>305</v>
      </c>
      <c r="C92" s="54">
        <v>36</v>
      </c>
      <c r="D92" s="25"/>
      <c r="E92" s="1" t="s">
        <v>1892</v>
      </c>
      <c r="F92" s="23" t="str">
        <f t="shared" si="1"/>
        <v>O Pokémon Combusken evolui para Blaziken</v>
      </c>
    </row>
    <row r="93" spans="1:6">
      <c r="A93" s="24" t="s">
        <v>307</v>
      </c>
      <c r="B93" s="24" t="s">
        <v>308</v>
      </c>
      <c r="C93" s="54">
        <v>16</v>
      </c>
      <c r="D93" s="25"/>
      <c r="E93" s="1" t="s">
        <v>1892</v>
      </c>
      <c r="F93" s="23" t="str">
        <f t="shared" si="1"/>
        <v>O Pokémon Mudkip evolui para Marshtomp</v>
      </c>
    </row>
    <row r="94" spans="1:6">
      <c r="A94" s="24" t="s">
        <v>308</v>
      </c>
      <c r="B94" s="24" t="s">
        <v>309</v>
      </c>
      <c r="C94" s="54">
        <v>36</v>
      </c>
      <c r="D94" s="25"/>
      <c r="E94" s="1" t="s">
        <v>1892</v>
      </c>
      <c r="F94" s="23" t="str">
        <f t="shared" si="1"/>
        <v>O Pokémon Marshtomp evolui para Swampert</v>
      </c>
    </row>
    <row r="95" spans="1:6">
      <c r="A95" s="24" t="s">
        <v>310</v>
      </c>
      <c r="B95" s="24" t="s">
        <v>311</v>
      </c>
      <c r="C95" s="54">
        <v>18</v>
      </c>
      <c r="D95" s="25"/>
      <c r="E95" s="1" t="s">
        <v>1892</v>
      </c>
      <c r="F95" s="23" t="str">
        <f t="shared" si="1"/>
        <v>O Pokémon Poochyena evolui para Mightyena</v>
      </c>
    </row>
    <row r="96" spans="1:6">
      <c r="A96" s="24" t="s">
        <v>312</v>
      </c>
      <c r="B96" s="24" t="s">
        <v>313</v>
      </c>
      <c r="C96" s="54">
        <v>20</v>
      </c>
      <c r="D96" s="25"/>
      <c r="E96" s="1" t="s">
        <v>1892</v>
      </c>
      <c r="F96" s="23" t="str">
        <f t="shared" si="1"/>
        <v>O Pokémon Zigzagoon evolui para Linoone</v>
      </c>
    </row>
    <row r="97" spans="1:6">
      <c r="A97" s="24" t="s">
        <v>314</v>
      </c>
      <c r="B97" s="24" t="s">
        <v>315</v>
      </c>
      <c r="C97" s="54">
        <v>7</v>
      </c>
      <c r="D97" s="25" t="s">
        <v>1899</v>
      </c>
      <c r="E97" s="1" t="s">
        <v>1892</v>
      </c>
      <c r="F97" s="23" t="str">
        <f t="shared" si="1"/>
        <v>O Pokémon Wurmple evolui para Silcoon</v>
      </c>
    </row>
    <row r="98" spans="1:6">
      <c r="A98" s="24" t="s">
        <v>315</v>
      </c>
      <c r="B98" s="24" t="s">
        <v>316</v>
      </c>
      <c r="C98" s="54">
        <v>10</v>
      </c>
      <c r="D98" s="25"/>
      <c r="E98" s="1" t="s">
        <v>1892</v>
      </c>
      <c r="F98" s="23" t="str">
        <f t="shared" si="1"/>
        <v>O Pokémon Silcoon evolui para Beautifly</v>
      </c>
    </row>
    <row r="99" spans="1:6">
      <c r="A99" s="24" t="s">
        <v>314</v>
      </c>
      <c r="B99" s="24" t="s">
        <v>317</v>
      </c>
      <c r="C99" s="54">
        <v>7</v>
      </c>
      <c r="D99" s="25" t="s">
        <v>1899</v>
      </c>
      <c r="E99" s="1" t="s">
        <v>1892</v>
      </c>
      <c r="F99" s="23" t="str">
        <f t="shared" si="1"/>
        <v>O Pokémon Wurmple evolui para Cascoon</v>
      </c>
    </row>
    <row r="100" spans="1:6">
      <c r="A100" s="24" t="s">
        <v>317</v>
      </c>
      <c r="B100" s="24" t="s">
        <v>318</v>
      </c>
      <c r="C100" s="54">
        <v>10</v>
      </c>
      <c r="D100" s="25"/>
      <c r="E100" s="1" t="s">
        <v>1892</v>
      </c>
      <c r="F100" s="23" t="str">
        <f t="shared" si="1"/>
        <v>O Pokémon Cascoon evolui para Dustox</v>
      </c>
    </row>
    <row r="101" spans="1:6">
      <c r="A101" s="24" t="s">
        <v>319</v>
      </c>
      <c r="B101" s="24" t="s">
        <v>320</v>
      </c>
      <c r="C101" s="54">
        <v>14</v>
      </c>
      <c r="D101" s="25"/>
      <c r="E101" s="1" t="s">
        <v>1892</v>
      </c>
      <c r="F101" s="23" t="str">
        <f t="shared" si="1"/>
        <v>O Pokémon Lotad evolui para Lombre</v>
      </c>
    </row>
    <row r="102" spans="1:6">
      <c r="A102" s="24" t="s">
        <v>322</v>
      </c>
      <c r="B102" s="24" t="s">
        <v>323</v>
      </c>
      <c r="C102" s="54">
        <v>14</v>
      </c>
      <c r="D102" s="25"/>
      <c r="E102" s="1" t="s">
        <v>1892</v>
      </c>
      <c r="F102" s="23" t="str">
        <f t="shared" si="1"/>
        <v>O Pokémon Seedot evolui para Nuzleaf</v>
      </c>
    </row>
    <row r="103" spans="1:6">
      <c r="A103" s="24" t="s">
        <v>325</v>
      </c>
      <c r="B103" s="24" t="s">
        <v>326</v>
      </c>
      <c r="C103" s="54">
        <v>22</v>
      </c>
      <c r="D103" s="25"/>
      <c r="E103" s="1" t="s">
        <v>1892</v>
      </c>
      <c r="F103" s="23" t="str">
        <f t="shared" si="1"/>
        <v>O Pokémon Taillow evolui para Swellow</v>
      </c>
    </row>
    <row r="104" spans="1:6">
      <c r="A104" s="24" t="s">
        <v>327</v>
      </c>
      <c r="B104" s="24" t="s">
        <v>328</v>
      </c>
      <c r="C104" s="54">
        <v>25</v>
      </c>
      <c r="D104" s="25"/>
      <c r="E104" s="1" t="s">
        <v>1892</v>
      </c>
      <c r="F104" s="23" t="str">
        <f t="shared" si="1"/>
        <v>O Pokémon Wingull evolui para Pelipper</v>
      </c>
    </row>
    <row r="105" spans="1:6">
      <c r="A105" s="24" t="s">
        <v>329</v>
      </c>
      <c r="B105" s="24" t="s">
        <v>330</v>
      </c>
      <c r="C105" s="54">
        <v>20</v>
      </c>
      <c r="D105" s="25"/>
      <c r="E105" s="1" t="s">
        <v>1892</v>
      </c>
      <c r="F105" s="23" t="str">
        <f t="shared" si="1"/>
        <v>O Pokémon Ralts evolui para Kirlia</v>
      </c>
    </row>
    <row r="106" spans="1:6">
      <c r="A106" s="24" t="s">
        <v>330</v>
      </c>
      <c r="B106" s="24" t="s">
        <v>331</v>
      </c>
      <c r="C106" s="54">
        <v>30</v>
      </c>
      <c r="D106" s="25"/>
      <c r="E106" s="1" t="s">
        <v>1892</v>
      </c>
      <c r="F106" s="23" t="str">
        <f t="shared" si="1"/>
        <v>O Pokémon Kirlia evolui para Gardevoir</v>
      </c>
    </row>
    <row r="107" spans="1:6">
      <c r="A107" s="24" t="s">
        <v>333</v>
      </c>
      <c r="B107" s="24" t="s">
        <v>334</v>
      </c>
      <c r="C107" s="54">
        <v>22</v>
      </c>
      <c r="D107" s="25"/>
      <c r="E107" s="1" t="s">
        <v>1892</v>
      </c>
      <c r="F107" s="23" t="str">
        <f t="shared" si="1"/>
        <v>O Pokémon Surskit evolui para Masquerain</v>
      </c>
    </row>
    <row r="108" spans="1:6">
      <c r="A108" s="24" t="s">
        <v>335</v>
      </c>
      <c r="B108" s="24" t="s">
        <v>336</v>
      </c>
      <c r="C108" s="54">
        <v>23</v>
      </c>
      <c r="D108" s="25"/>
      <c r="E108" s="1" t="s">
        <v>1892</v>
      </c>
      <c r="F108" s="23" t="str">
        <f t="shared" si="1"/>
        <v>O Pokémon Shroomish evolui para Breloom</v>
      </c>
    </row>
    <row r="109" spans="1:6">
      <c r="A109" s="24" t="s">
        <v>337</v>
      </c>
      <c r="B109" s="24" t="s">
        <v>338</v>
      </c>
      <c r="C109" s="54">
        <v>18</v>
      </c>
      <c r="D109" s="25"/>
      <c r="E109" s="1" t="s">
        <v>1892</v>
      </c>
      <c r="F109" s="23" t="str">
        <f t="shared" si="1"/>
        <v>O Pokémon Slakoth evolui para Vigoroth</v>
      </c>
    </row>
    <row r="110" spans="1:6">
      <c r="A110" s="24" t="s">
        <v>338</v>
      </c>
      <c r="B110" s="24" t="s">
        <v>339</v>
      </c>
      <c r="C110" s="54">
        <v>36</v>
      </c>
      <c r="D110" s="25"/>
      <c r="E110" s="1" t="s">
        <v>1892</v>
      </c>
      <c r="F110" s="23" t="str">
        <f t="shared" si="1"/>
        <v>O Pokémon Vigoroth evolui para Slaking</v>
      </c>
    </row>
    <row r="111" spans="1:6">
      <c r="A111" s="24" t="s">
        <v>340</v>
      </c>
      <c r="B111" s="24" t="s">
        <v>341</v>
      </c>
      <c r="C111" s="54">
        <v>20</v>
      </c>
      <c r="D111" s="25"/>
      <c r="E111" s="1" t="s">
        <v>1892</v>
      </c>
      <c r="F111" s="23" t="str">
        <f t="shared" si="1"/>
        <v>O Pokémon Nincada evolui para Ninjask</v>
      </c>
    </row>
    <row r="112" spans="1:6">
      <c r="A112" s="24" t="s">
        <v>340</v>
      </c>
      <c r="B112" s="24" t="s">
        <v>342</v>
      </c>
      <c r="C112" s="54">
        <v>20</v>
      </c>
      <c r="D112" s="25" t="s">
        <v>1900</v>
      </c>
      <c r="E112" s="1" t="s">
        <v>1892</v>
      </c>
      <c r="F112" s="23" t="str">
        <f t="shared" si="1"/>
        <v>O Pokémon Nincada evolui para Shedinja</v>
      </c>
    </row>
    <row r="113" spans="1:6">
      <c r="A113" s="24" t="s">
        <v>343</v>
      </c>
      <c r="B113" s="24" t="s">
        <v>344</v>
      </c>
      <c r="C113" s="54">
        <v>20</v>
      </c>
      <c r="D113" s="25"/>
      <c r="E113" s="1" t="s">
        <v>1892</v>
      </c>
      <c r="F113" s="23" t="str">
        <f t="shared" si="1"/>
        <v>O Pokémon Whismur evolui para Loudred</v>
      </c>
    </row>
    <row r="114" spans="1:6">
      <c r="A114" s="24" t="s">
        <v>344</v>
      </c>
      <c r="B114" s="24" t="s">
        <v>345</v>
      </c>
      <c r="C114" s="54">
        <v>40</v>
      </c>
      <c r="D114" s="25"/>
      <c r="E114" s="1" t="s">
        <v>1892</v>
      </c>
      <c r="F114" s="23" t="str">
        <f t="shared" si="1"/>
        <v>O Pokémon Loudred evolui para Exploud</v>
      </c>
    </row>
    <row r="115" spans="1:6">
      <c r="A115" s="24" t="s">
        <v>346</v>
      </c>
      <c r="B115" s="24" t="s">
        <v>347</v>
      </c>
      <c r="C115" s="54">
        <v>24</v>
      </c>
      <c r="D115" s="25"/>
      <c r="E115" s="1" t="s">
        <v>1892</v>
      </c>
      <c r="F115" s="23" t="str">
        <f t="shared" si="1"/>
        <v>O Pokémon Makuhita evolui para Hariyama</v>
      </c>
    </row>
    <row r="116" spans="1:6">
      <c r="A116" s="24" t="s">
        <v>356</v>
      </c>
      <c r="B116" s="24" t="s">
        <v>357</v>
      </c>
      <c r="C116" s="54">
        <v>32</v>
      </c>
      <c r="D116" s="25"/>
      <c r="E116" s="1" t="s">
        <v>1892</v>
      </c>
      <c r="F116" s="23" t="str">
        <f t="shared" si="1"/>
        <v>O Pokémon Aron evolui para Lairon</v>
      </c>
    </row>
    <row r="117" spans="1:6">
      <c r="A117" s="24" t="s">
        <v>357</v>
      </c>
      <c r="B117" s="24" t="s">
        <v>358</v>
      </c>
      <c r="C117" s="54">
        <v>42</v>
      </c>
      <c r="D117" s="25"/>
      <c r="E117" s="1" t="s">
        <v>1892</v>
      </c>
      <c r="F117" s="23" t="str">
        <f t="shared" si="1"/>
        <v>O Pokémon Lairon evolui para Aggron</v>
      </c>
    </row>
    <row r="118" spans="1:6">
      <c r="A118" s="24" t="s">
        <v>360</v>
      </c>
      <c r="B118" s="24" t="s">
        <v>361</v>
      </c>
      <c r="C118" s="54">
        <v>37</v>
      </c>
      <c r="D118" s="25"/>
      <c r="E118" s="1" t="s">
        <v>1892</v>
      </c>
      <c r="F118" s="23" t="str">
        <f t="shared" si="1"/>
        <v>O Pokémon Meditite evolui para Medicham</v>
      </c>
    </row>
    <row r="119" spans="1:6">
      <c r="A119" s="24" t="s">
        <v>363</v>
      </c>
      <c r="B119" s="24" t="s">
        <v>364</v>
      </c>
      <c r="C119" s="54">
        <v>26</v>
      </c>
      <c r="D119" s="25"/>
      <c r="E119" s="1" t="s">
        <v>1892</v>
      </c>
      <c r="F119" s="23" t="str">
        <f t="shared" si="1"/>
        <v>O Pokémon Electrike evolui para Manectric</v>
      </c>
    </row>
    <row r="120" spans="1:6">
      <c r="A120" s="24" t="s">
        <v>371</v>
      </c>
      <c r="B120" s="24" t="s">
        <v>372</v>
      </c>
      <c r="C120" s="54">
        <v>26</v>
      </c>
      <c r="D120" s="25"/>
      <c r="E120" s="1" t="s">
        <v>1892</v>
      </c>
      <c r="F120" s="23" t="str">
        <f t="shared" si="1"/>
        <v>O Pokémon Gulpin evolui para Swalot</v>
      </c>
    </row>
    <row r="121" spans="1:6">
      <c r="A121" s="24" t="s">
        <v>373</v>
      </c>
      <c r="B121" s="24" t="s">
        <v>374</v>
      </c>
      <c r="C121" s="54">
        <v>30</v>
      </c>
      <c r="D121" s="25"/>
      <c r="E121" s="1" t="s">
        <v>1892</v>
      </c>
      <c r="F121" s="23" t="str">
        <f t="shared" si="1"/>
        <v>O Pokémon Carvanha evolui para Sharpedo</v>
      </c>
    </row>
    <row r="122" spans="1:6">
      <c r="A122" s="24" t="s">
        <v>375</v>
      </c>
      <c r="B122" s="24" t="s">
        <v>376</v>
      </c>
      <c r="C122" s="54">
        <v>40</v>
      </c>
      <c r="D122" s="25"/>
      <c r="E122" s="1" t="s">
        <v>1892</v>
      </c>
      <c r="F122" s="23" t="str">
        <f t="shared" si="1"/>
        <v>O Pokémon Wailmer evolui para Wailord</v>
      </c>
    </row>
    <row r="123" spans="1:6">
      <c r="A123" s="24" t="s">
        <v>377</v>
      </c>
      <c r="B123" s="24" t="s">
        <v>378</v>
      </c>
      <c r="C123" s="54">
        <v>33</v>
      </c>
      <c r="D123" s="25"/>
      <c r="E123" s="1" t="s">
        <v>1892</v>
      </c>
      <c r="F123" s="23" t="str">
        <f t="shared" si="1"/>
        <v>O Pokémon Numel evolui para Camerupt</v>
      </c>
    </row>
    <row r="124" spans="1:6">
      <c r="A124" s="24" t="s">
        <v>380</v>
      </c>
      <c r="B124" s="24" t="s">
        <v>381</v>
      </c>
      <c r="C124" s="54">
        <v>32</v>
      </c>
      <c r="D124" s="25"/>
      <c r="E124" s="1" t="s">
        <v>1892</v>
      </c>
      <c r="F124" s="23" t="str">
        <f t="shared" si="1"/>
        <v>O Pokémon Spoink evolui para Grumpig</v>
      </c>
    </row>
    <row r="125" spans="1:6">
      <c r="A125" s="24" t="s">
        <v>383</v>
      </c>
      <c r="B125" s="24" t="s">
        <v>384</v>
      </c>
      <c r="C125" s="54">
        <v>35</v>
      </c>
      <c r="D125" s="25"/>
      <c r="E125" s="1" t="s">
        <v>1892</v>
      </c>
      <c r="F125" s="23" t="str">
        <f t="shared" si="1"/>
        <v>O Pokémon Trapinch evolui para Vibrava</v>
      </c>
    </row>
    <row r="126" spans="1:6">
      <c r="A126" s="24" t="s">
        <v>384</v>
      </c>
      <c r="B126" s="24" t="s">
        <v>385</v>
      </c>
      <c r="C126" s="54">
        <v>45</v>
      </c>
      <c r="D126" s="25"/>
      <c r="E126" s="1" t="s">
        <v>1892</v>
      </c>
      <c r="F126" s="23" t="str">
        <f t="shared" si="1"/>
        <v>O Pokémon Vibrava evolui para Flygon</v>
      </c>
    </row>
    <row r="127" spans="1:6">
      <c r="A127" s="26" t="s">
        <v>386</v>
      </c>
      <c r="B127" s="26" t="s">
        <v>387</v>
      </c>
      <c r="C127" s="55">
        <v>32</v>
      </c>
      <c r="D127" s="27"/>
      <c r="E127" s="1" t="s">
        <v>1892</v>
      </c>
      <c r="F127" s="23" t="str">
        <f t="shared" si="1"/>
        <v>O Pokémon Cacnea evolui para Cacturne</v>
      </c>
    </row>
    <row r="128" spans="1:6">
      <c r="A128" s="24" t="s">
        <v>388</v>
      </c>
      <c r="B128" s="24" t="s">
        <v>390</v>
      </c>
      <c r="C128" s="54">
        <v>35</v>
      </c>
      <c r="D128" s="25"/>
      <c r="E128" s="1" t="s">
        <v>1892</v>
      </c>
      <c r="F128" s="23" t="str">
        <f t="shared" si="1"/>
        <v>O Pokémon Swablu evolui para Altaria</v>
      </c>
    </row>
    <row r="129" spans="1:6">
      <c r="A129" s="24" t="s">
        <v>395</v>
      </c>
      <c r="B129" s="24" t="s">
        <v>396</v>
      </c>
      <c r="C129" s="54">
        <v>30</v>
      </c>
      <c r="D129" s="25"/>
      <c r="E129" s="1" t="s">
        <v>1892</v>
      </c>
      <c r="F129" s="23" t="str">
        <f t="shared" si="1"/>
        <v>O Pokémon Barboach evolui para Whiscash</v>
      </c>
    </row>
    <row r="130" spans="1:6">
      <c r="A130" s="24" t="s">
        <v>397</v>
      </c>
      <c r="B130" s="24" t="s">
        <v>398</v>
      </c>
      <c r="C130" s="54">
        <v>30</v>
      </c>
      <c r="D130" s="25"/>
      <c r="E130" s="1" t="s">
        <v>1892</v>
      </c>
      <c r="F130" s="23" t="str">
        <f t="shared" si="1"/>
        <v>O Pokémon Corphish evolui para Crawdaunt</v>
      </c>
    </row>
    <row r="131" spans="1:6">
      <c r="A131" s="24" t="s">
        <v>399</v>
      </c>
      <c r="B131" s="24" t="s">
        <v>400</v>
      </c>
      <c r="C131" s="54">
        <v>36</v>
      </c>
      <c r="D131" s="25"/>
      <c r="E131" s="1" t="s">
        <v>1892</v>
      </c>
      <c r="F131" s="23" t="str">
        <f t="shared" ref="F131:F194" si="2">"O Pokémon " &amp; A131 &amp;
" evolui para " &amp;
B131</f>
        <v>O Pokémon Baltoy evolui para Claydol</v>
      </c>
    </row>
    <row r="132" spans="1:6">
      <c r="A132" s="24" t="s">
        <v>401</v>
      </c>
      <c r="B132" s="24" t="s">
        <v>402</v>
      </c>
      <c r="C132" s="54">
        <v>40</v>
      </c>
      <c r="D132" s="25"/>
      <c r="E132" s="1" t="s">
        <v>1892</v>
      </c>
      <c r="F132" s="23" t="str">
        <f t="shared" si="2"/>
        <v>O Pokémon Lileep evolui para Cradily</v>
      </c>
    </row>
    <row r="133" spans="1:6">
      <c r="A133" s="24" t="s">
        <v>403</v>
      </c>
      <c r="B133" s="24" t="s">
        <v>404</v>
      </c>
      <c r="C133" s="54">
        <v>40</v>
      </c>
      <c r="D133" s="25"/>
      <c r="E133" s="1" t="s">
        <v>1892</v>
      </c>
      <c r="F133" s="23" t="str">
        <f t="shared" si="2"/>
        <v>O Pokémon Anorith evolui para Armaldo</v>
      </c>
    </row>
    <row r="134" spans="1:6">
      <c r="A134" s="24" t="s">
        <v>409</v>
      </c>
      <c r="B134" s="24" t="s">
        <v>410</v>
      </c>
      <c r="C134" s="54">
        <v>37</v>
      </c>
      <c r="D134" s="25"/>
      <c r="E134" s="1" t="s">
        <v>1892</v>
      </c>
      <c r="F134" s="23" t="str">
        <f t="shared" si="2"/>
        <v>O Pokémon Shuppet evolui para Banette</v>
      </c>
    </row>
    <row r="135" spans="1:6">
      <c r="A135" s="24" t="s">
        <v>412</v>
      </c>
      <c r="B135" s="24" t="s">
        <v>413</v>
      </c>
      <c r="C135" s="54">
        <v>37</v>
      </c>
      <c r="D135" s="25"/>
      <c r="E135" s="1" t="s">
        <v>1892</v>
      </c>
      <c r="F135" s="23" t="str">
        <f t="shared" si="2"/>
        <v>O Pokémon Duskull evolui para Dusclops</v>
      </c>
    </row>
    <row r="136" spans="1:6">
      <c r="A136" s="24" t="s">
        <v>419</v>
      </c>
      <c r="B136" s="24" t="s">
        <v>420</v>
      </c>
      <c r="C136" s="54">
        <v>42</v>
      </c>
      <c r="D136" s="25"/>
      <c r="E136" s="1" t="s">
        <v>1892</v>
      </c>
      <c r="F136" s="23" t="str">
        <f t="shared" si="2"/>
        <v>O Pokémon Snorunt evolui para Glalie</v>
      </c>
    </row>
    <row r="137" spans="1:6">
      <c r="A137" s="26" t="s">
        <v>421</v>
      </c>
      <c r="B137" s="26" t="s">
        <v>422</v>
      </c>
      <c r="C137" s="55">
        <v>32</v>
      </c>
      <c r="D137" s="27"/>
      <c r="E137" s="1" t="s">
        <v>1892</v>
      </c>
      <c r="F137" s="23" t="str">
        <f t="shared" si="2"/>
        <v>O Pokémon Spheal evolui para Sealeo</v>
      </c>
    </row>
    <row r="138" spans="1:6">
      <c r="A138" s="24" t="s">
        <v>422</v>
      </c>
      <c r="B138" s="24" t="s">
        <v>423</v>
      </c>
      <c r="C138" s="54">
        <v>44</v>
      </c>
      <c r="D138" s="25"/>
      <c r="E138" s="1" t="s">
        <v>1892</v>
      </c>
      <c r="F138" s="23" t="str">
        <f t="shared" si="2"/>
        <v>O Pokémon Sealeo evolui para Walrein</v>
      </c>
    </row>
    <row r="139" spans="1:6">
      <c r="A139" s="24" t="s">
        <v>429</v>
      </c>
      <c r="B139" s="24" t="s">
        <v>430</v>
      </c>
      <c r="C139" s="54">
        <v>30</v>
      </c>
      <c r="D139" s="25"/>
      <c r="E139" s="1" t="s">
        <v>1892</v>
      </c>
      <c r="F139" s="23" t="str">
        <f t="shared" si="2"/>
        <v>O Pokémon Bagon evolui para Shelgon</v>
      </c>
    </row>
    <row r="140" spans="1:6">
      <c r="A140" s="24" t="s">
        <v>430</v>
      </c>
      <c r="B140" s="24" t="s">
        <v>431</v>
      </c>
      <c r="C140" s="54">
        <v>50</v>
      </c>
      <c r="D140" s="25"/>
      <c r="E140" s="1" t="s">
        <v>1892</v>
      </c>
      <c r="F140" s="23" t="str">
        <f t="shared" si="2"/>
        <v>O Pokémon Shelgon evolui para Salamence</v>
      </c>
    </row>
    <row r="141" spans="1:6">
      <c r="A141" s="24" t="s">
        <v>432</v>
      </c>
      <c r="B141" s="24" t="s">
        <v>433</v>
      </c>
      <c r="C141" s="54">
        <v>20</v>
      </c>
      <c r="D141" s="25"/>
      <c r="E141" s="1" t="s">
        <v>1892</v>
      </c>
      <c r="F141" s="23" t="str">
        <f t="shared" si="2"/>
        <v>O Pokémon Beldum evolui para Metang</v>
      </c>
    </row>
    <row r="142" spans="1:6">
      <c r="A142" s="24" t="s">
        <v>433</v>
      </c>
      <c r="B142" s="24" t="s">
        <v>434</v>
      </c>
      <c r="C142" s="54">
        <v>45</v>
      </c>
      <c r="D142" s="25"/>
      <c r="E142" s="1" t="s">
        <v>1892</v>
      </c>
      <c r="F142" s="23" t="str">
        <f t="shared" si="2"/>
        <v>O Pokémon Metang evolui para Metagross</v>
      </c>
    </row>
    <row r="143" spans="1:6">
      <c r="A143" s="24" t="s">
        <v>448</v>
      </c>
      <c r="B143" s="24" t="s">
        <v>449</v>
      </c>
      <c r="C143" s="54">
        <v>18</v>
      </c>
      <c r="D143" s="25"/>
      <c r="E143" s="1" t="s">
        <v>1892</v>
      </c>
      <c r="F143" s="23" t="str">
        <f t="shared" si="2"/>
        <v>O Pokémon Turtwig evolui para Grotle</v>
      </c>
    </row>
    <row r="144" spans="1:6">
      <c r="A144" s="24" t="s">
        <v>449</v>
      </c>
      <c r="B144" s="24" t="s">
        <v>450</v>
      </c>
      <c r="C144" s="54">
        <v>32</v>
      </c>
      <c r="D144" s="25"/>
      <c r="E144" s="1" t="s">
        <v>1892</v>
      </c>
      <c r="F144" s="23" t="str">
        <f t="shared" si="2"/>
        <v>O Pokémon Grotle evolui para Torterra</v>
      </c>
    </row>
    <row r="145" spans="1:6">
      <c r="A145" s="24" t="s">
        <v>451</v>
      </c>
      <c r="B145" s="24" t="s">
        <v>452</v>
      </c>
      <c r="C145" s="54">
        <v>14</v>
      </c>
      <c r="D145" s="25"/>
      <c r="E145" s="1" t="s">
        <v>1892</v>
      </c>
      <c r="F145" s="23" t="str">
        <f t="shared" si="2"/>
        <v>O Pokémon Chimchar evolui para Monferno</v>
      </c>
    </row>
    <row r="146" spans="1:6">
      <c r="A146" s="24" t="s">
        <v>452</v>
      </c>
      <c r="B146" s="24" t="s">
        <v>453</v>
      </c>
      <c r="C146" s="54">
        <v>36</v>
      </c>
      <c r="D146" s="25"/>
      <c r="E146" s="1" t="s">
        <v>1892</v>
      </c>
      <c r="F146" s="23" t="str">
        <f t="shared" si="2"/>
        <v>O Pokémon Monferno evolui para Infernape</v>
      </c>
    </row>
    <row r="147" spans="1:6">
      <c r="A147" s="24" t="s">
        <v>454</v>
      </c>
      <c r="B147" s="24" t="s">
        <v>455</v>
      </c>
      <c r="C147" s="54">
        <v>16</v>
      </c>
      <c r="D147" s="25"/>
      <c r="E147" s="1" t="s">
        <v>1892</v>
      </c>
      <c r="F147" s="23" t="str">
        <f t="shared" si="2"/>
        <v>O Pokémon Piplup evolui para Prinplup</v>
      </c>
    </row>
    <row r="148" spans="1:6">
      <c r="A148" s="26" t="s">
        <v>455</v>
      </c>
      <c r="B148" s="26" t="s">
        <v>456</v>
      </c>
      <c r="C148" s="55">
        <v>36</v>
      </c>
      <c r="D148" s="27"/>
      <c r="E148" s="1" t="s">
        <v>1892</v>
      </c>
      <c r="F148" s="23" t="str">
        <f t="shared" si="2"/>
        <v>O Pokémon Prinplup evolui para Empoleon</v>
      </c>
    </row>
    <row r="149" spans="1:6">
      <c r="A149" s="24" t="s">
        <v>457</v>
      </c>
      <c r="B149" s="24" t="s">
        <v>458</v>
      </c>
      <c r="C149" s="54">
        <v>14</v>
      </c>
      <c r="D149" s="25"/>
      <c r="E149" s="1" t="s">
        <v>1892</v>
      </c>
      <c r="F149" s="23" t="str">
        <f t="shared" si="2"/>
        <v>O Pokémon Starly evolui para Staravia</v>
      </c>
    </row>
    <row r="150" spans="1:6">
      <c r="A150" s="24" t="s">
        <v>458</v>
      </c>
      <c r="B150" s="24" t="s">
        <v>459</v>
      </c>
      <c r="C150" s="54">
        <v>34</v>
      </c>
      <c r="D150" s="25"/>
      <c r="E150" s="1" t="s">
        <v>1892</v>
      </c>
      <c r="F150" s="23" t="str">
        <f t="shared" si="2"/>
        <v>O Pokémon Staravia evolui para Staraptor</v>
      </c>
    </row>
    <row r="151" spans="1:6">
      <c r="A151" s="24" t="s">
        <v>460</v>
      </c>
      <c r="B151" s="24" t="s">
        <v>461</v>
      </c>
      <c r="C151" s="54">
        <v>15</v>
      </c>
      <c r="D151" s="25"/>
      <c r="E151" s="1" t="s">
        <v>1892</v>
      </c>
      <c r="F151" s="23" t="str">
        <f t="shared" si="2"/>
        <v>O Pokémon Bidoof evolui para Bibarel</v>
      </c>
    </row>
    <row r="152" spans="1:6">
      <c r="A152" s="26" t="s">
        <v>462</v>
      </c>
      <c r="B152" s="26" t="s">
        <v>463</v>
      </c>
      <c r="C152" s="55">
        <v>10</v>
      </c>
      <c r="D152" s="27"/>
      <c r="E152" s="1" t="s">
        <v>1892</v>
      </c>
      <c r="F152" s="23" t="str">
        <f t="shared" si="2"/>
        <v>O Pokémon Kricketot evolui para Kricketune</v>
      </c>
    </row>
    <row r="153" spans="1:6">
      <c r="A153" s="34" t="s">
        <v>464</v>
      </c>
      <c r="B153" s="35" t="s">
        <v>465</v>
      </c>
      <c r="C153" s="36">
        <v>15</v>
      </c>
      <c r="D153" s="37"/>
      <c r="E153" s="61" t="s">
        <v>1892</v>
      </c>
      <c r="F153" s="23" t="str">
        <f t="shared" si="2"/>
        <v>O Pokémon Shinx evolui para Luxio</v>
      </c>
    </row>
    <row r="154" spans="1:6">
      <c r="A154" s="34" t="s">
        <v>465</v>
      </c>
      <c r="B154" s="35" t="s">
        <v>466</v>
      </c>
      <c r="C154" s="36">
        <v>30</v>
      </c>
      <c r="D154" s="37"/>
      <c r="E154" s="61" t="s">
        <v>1892</v>
      </c>
      <c r="F154" s="23" t="str">
        <f t="shared" si="2"/>
        <v>O Pokémon Luxio evolui para Luxray</v>
      </c>
    </row>
    <row r="155" spans="1:6">
      <c r="A155" s="34" t="s">
        <v>469</v>
      </c>
      <c r="B155" s="35" t="s">
        <v>470</v>
      </c>
      <c r="C155" s="36">
        <v>30</v>
      </c>
      <c r="D155" s="37"/>
      <c r="E155" s="61" t="s">
        <v>1892</v>
      </c>
      <c r="F155" s="23" t="str">
        <f t="shared" si="2"/>
        <v>O Pokémon Cranidos evolui para Rampardos</v>
      </c>
    </row>
    <row r="156" spans="1:6">
      <c r="A156" s="34" t="s">
        <v>471</v>
      </c>
      <c r="B156" s="35" t="s">
        <v>472</v>
      </c>
      <c r="C156" s="36">
        <v>30</v>
      </c>
      <c r="D156" s="37"/>
      <c r="E156" s="61" t="s">
        <v>1892</v>
      </c>
      <c r="F156" s="23" t="str">
        <f t="shared" si="2"/>
        <v>O Pokémon Shieldon evolui para Bastiodon</v>
      </c>
    </row>
    <row r="157" spans="1:6">
      <c r="A157" s="34" t="s">
        <v>473</v>
      </c>
      <c r="B157" s="35" t="s">
        <v>477</v>
      </c>
      <c r="C157" s="36">
        <v>20</v>
      </c>
      <c r="D157" s="37" t="s">
        <v>1901</v>
      </c>
      <c r="E157" s="61" t="s">
        <v>1892</v>
      </c>
      <c r="F157" s="23" t="str">
        <f t="shared" si="2"/>
        <v>O Pokémon Burmy evolui para Mothim</v>
      </c>
    </row>
    <row r="158" spans="1:6">
      <c r="A158" s="38" t="s">
        <v>473</v>
      </c>
      <c r="B158" s="39" t="s">
        <v>1902</v>
      </c>
      <c r="C158" s="40">
        <v>20</v>
      </c>
      <c r="D158" s="41" t="s">
        <v>1903</v>
      </c>
      <c r="E158" s="61" t="s">
        <v>1892</v>
      </c>
      <c r="F158" s="23" t="str">
        <f t="shared" si="2"/>
        <v>O Pokémon Burmy evolui para Wormadam</v>
      </c>
    </row>
    <row r="159" spans="1:6">
      <c r="A159" s="42"/>
      <c r="B159" s="43" t="s">
        <v>1904</v>
      </c>
      <c r="C159" s="44"/>
      <c r="D159" s="45"/>
      <c r="E159" s="61" t="s">
        <v>1892</v>
      </c>
      <c r="F159" s="23" t="str">
        <f t="shared" si="2"/>
        <v>O Pokémon  evolui para Plant Cloak</v>
      </c>
    </row>
    <row r="160" spans="1:6">
      <c r="A160" s="38" t="s">
        <v>473</v>
      </c>
      <c r="B160" s="39" t="s">
        <v>1902</v>
      </c>
      <c r="C160" s="40">
        <v>20</v>
      </c>
      <c r="D160" s="41" t="s">
        <v>1905</v>
      </c>
      <c r="E160" s="61" t="s">
        <v>1892</v>
      </c>
      <c r="F160" s="23" t="str">
        <f t="shared" si="2"/>
        <v>O Pokémon Burmy evolui para Wormadam</v>
      </c>
    </row>
    <row r="161" spans="1:6">
      <c r="A161" s="42"/>
      <c r="B161" s="43" t="s">
        <v>1906</v>
      </c>
      <c r="C161" s="44"/>
      <c r="D161" s="45"/>
      <c r="E161" s="61" t="s">
        <v>1892</v>
      </c>
      <c r="F161" s="23" t="str">
        <f t="shared" si="2"/>
        <v>O Pokémon  evolui para Sandy Cloak</v>
      </c>
    </row>
    <row r="162" spans="1:6">
      <c r="A162" s="38" t="s">
        <v>473</v>
      </c>
      <c r="B162" s="39" t="s">
        <v>1902</v>
      </c>
      <c r="C162" s="40">
        <v>20</v>
      </c>
      <c r="D162" s="41" t="s">
        <v>1907</v>
      </c>
      <c r="E162" s="61" t="s">
        <v>1892</v>
      </c>
      <c r="F162" s="23" t="str">
        <f t="shared" si="2"/>
        <v>O Pokémon Burmy evolui para Wormadam</v>
      </c>
    </row>
    <row r="163" spans="1:6">
      <c r="A163" s="42"/>
      <c r="B163" s="43" t="s">
        <v>1908</v>
      </c>
      <c r="C163" s="44"/>
      <c r="D163" s="45"/>
      <c r="E163" s="61" t="s">
        <v>1892</v>
      </c>
      <c r="F163" s="23" t="str">
        <f t="shared" si="2"/>
        <v>O Pokémon  evolui para Trash Cloak</v>
      </c>
    </row>
    <row r="164" spans="1:6">
      <c r="A164" s="34" t="s">
        <v>478</v>
      </c>
      <c r="B164" s="35" t="s">
        <v>479</v>
      </c>
      <c r="C164" s="36">
        <v>21</v>
      </c>
      <c r="D164" s="37" t="s">
        <v>1909</v>
      </c>
      <c r="E164" s="61" t="s">
        <v>1892</v>
      </c>
      <c r="F164" s="23" t="str">
        <f t="shared" si="2"/>
        <v>O Pokémon Combee evolui para Vespiquen</v>
      </c>
    </row>
    <row r="165" spans="1:6">
      <c r="A165" s="34" t="s">
        <v>481</v>
      </c>
      <c r="B165" s="35" t="s">
        <v>482</v>
      </c>
      <c r="C165" s="36">
        <v>26</v>
      </c>
      <c r="D165" s="37"/>
      <c r="E165" s="61" t="s">
        <v>1892</v>
      </c>
      <c r="F165" s="23" t="str">
        <f t="shared" si="2"/>
        <v>O Pokémon Buizel evolui para Floatzel</v>
      </c>
    </row>
    <row r="166" spans="1:6">
      <c r="A166" s="34" t="s">
        <v>483</v>
      </c>
      <c r="B166" s="35" t="s">
        <v>484</v>
      </c>
      <c r="C166" s="36">
        <v>25</v>
      </c>
      <c r="D166" s="37"/>
      <c r="E166" s="61" t="s">
        <v>1892</v>
      </c>
      <c r="F166" s="23" t="str">
        <f t="shared" si="2"/>
        <v>O Pokémon Cherubi evolui para Cherrim</v>
      </c>
    </row>
    <row r="167" spans="1:6">
      <c r="A167" s="34" t="s">
        <v>485</v>
      </c>
      <c r="B167" s="35" t="s">
        <v>486</v>
      </c>
      <c r="C167" s="36">
        <v>30</v>
      </c>
      <c r="D167" s="37"/>
      <c r="E167" s="61" t="s">
        <v>1892</v>
      </c>
      <c r="F167" s="23" t="str">
        <f t="shared" si="2"/>
        <v>O Pokémon Shellos evolui para Gastrodon</v>
      </c>
    </row>
    <row r="168" spans="1:6">
      <c r="A168" s="34" t="s">
        <v>488</v>
      </c>
      <c r="B168" s="35" t="s">
        <v>489</v>
      </c>
      <c r="C168" s="36">
        <v>28</v>
      </c>
      <c r="D168" s="37"/>
      <c r="E168" s="61" t="s">
        <v>1892</v>
      </c>
      <c r="F168" s="23" t="str">
        <f t="shared" si="2"/>
        <v>O Pokémon Drifloon evolui para Drifblim</v>
      </c>
    </row>
    <row r="169" spans="1:6">
      <c r="A169" s="34" t="s">
        <v>494</v>
      </c>
      <c r="B169" s="35" t="s">
        <v>495</v>
      </c>
      <c r="C169" s="36">
        <v>38</v>
      </c>
      <c r="D169" s="37"/>
      <c r="E169" s="61" t="s">
        <v>1892</v>
      </c>
      <c r="F169" s="23" t="str">
        <f t="shared" si="2"/>
        <v>O Pokémon Glameow evolui para Purugly</v>
      </c>
    </row>
    <row r="170" spans="1:6">
      <c r="A170" s="34" t="s">
        <v>497</v>
      </c>
      <c r="B170" s="35" t="s">
        <v>498</v>
      </c>
      <c r="C170" s="36">
        <v>34</v>
      </c>
      <c r="D170" s="37"/>
      <c r="E170" s="61" t="s">
        <v>1892</v>
      </c>
      <c r="F170" s="23" t="str">
        <f t="shared" si="2"/>
        <v>O Pokémon Stunky evolui para Skuntank</v>
      </c>
    </row>
    <row r="171" spans="1:6">
      <c r="A171" s="34" t="s">
        <v>499</v>
      </c>
      <c r="B171" s="35" t="s">
        <v>500</v>
      </c>
      <c r="C171" s="36">
        <v>33</v>
      </c>
      <c r="D171" s="37"/>
      <c r="E171" s="61" t="s">
        <v>1892</v>
      </c>
      <c r="F171" s="23" t="str">
        <f t="shared" si="2"/>
        <v>O Pokémon Bronzor evolui para Bronzong</v>
      </c>
    </row>
    <row r="172" spans="1:6">
      <c r="A172" s="34" t="s">
        <v>506</v>
      </c>
      <c r="B172" s="35" t="s">
        <v>507</v>
      </c>
      <c r="C172" s="36">
        <v>24</v>
      </c>
      <c r="D172" s="37"/>
      <c r="E172" s="61" t="s">
        <v>1892</v>
      </c>
      <c r="F172" s="23" t="str">
        <f t="shared" si="2"/>
        <v>O Pokémon Gible evolui para Gabite</v>
      </c>
    </row>
    <row r="173" spans="1:6">
      <c r="A173" s="34" t="s">
        <v>507</v>
      </c>
      <c r="B173" s="35" t="s">
        <v>508</v>
      </c>
      <c r="C173" s="36">
        <v>48</v>
      </c>
      <c r="D173" s="37"/>
      <c r="E173" s="61" t="s">
        <v>1892</v>
      </c>
      <c r="F173" s="23" t="str">
        <f t="shared" si="2"/>
        <v>O Pokémon Gabite evolui para Garchomp</v>
      </c>
    </row>
    <row r="174" spans="1:6">
      <c r="A174" s="34" t="s">
        <v>514</v>
      </c>
      <c r="B174" s="35" t="s">
        <v>515</v>
      </c>
      <c r="C174" s="36">
        <v>34</v>
      </c>
      <c r="D174" s="37"/>
      <c r="E174" s="61" t="s">
        <v>1892</v>
      </c>
      <c r="F174" s="23" t="str">
        <f t="shared" si="2"/>
        <v>O Pokémon Hippopotas evolui para Hippowdon</v>
      </c>
    </row>
    <row r="175" spans="1:6">
      <c r="A175" s="34" t="s">
        <v>516</v>
      </c>
      <c r="B175" s="35" t="s">
        <v>517</v>
      </c>
      <c r="C175" s="36">
        <v>40</v>
      </c>
      <c r="D175" s="37"/>
      <c r="E175" s="61" t="s">
        <v>1892</v>
      </c>
      <c r="F175" s="23" t="str">
        <f t="shared" si="2"/>
        <v>O Pokémon Skorupi evolui para Drapion</v>
      </c>
    </row>
    <row r="176" spans="1:6">
      <c r="A176" s="34" t="s">
        <v>518</v>
      </c>
      <c r="B176" s="35" t="s">
        <v>519</v>
      </c>
      <c r="C176" s="36">
        <v>37</v>
      </c>
      <c r="D176" s="37"/>
      <c r="E176" s="61" t="s">
        <v>1892</v>
      </c>
      <c r="F176" s="23" t="str">
        <f t="shared" si="2"/>
        <v>O Pokémon Croagunk evolui para Toxicroak</v>
      </c>
    </row>
    <row r="177" spans="1:6">
      <c r="A177" s="34" t="s">
        <v>521</v>
      </c>
      <c r="B177" s="35" t="s">
        <v>522</v>
      </c>
      <c r="C177" s="36">
        <v>31</v>
      </c>
      <c r="D177" s="37"/>
      <c r="E177" s="61" t="s">
        <v>1892</v>
      </c>
      <c r="F177" s="23" t="str">
        <f t="shared" si="2"/>
        <v>O Pokémon Finneon evolui para Lumineon</v>
      </c>
    </row>
    <row r="178" spans="1:6">
      <c r="A178" s="34" t="s">
        <v>524</v>
      </c>
      <c r="B178" s="35" t="s">
        <v>525</v>
      </c>
      <c r="C178" s="36">
        <v>40</v>
      </c>
      <c r="D178" s="37"/>
      <c r="E178" s="61" t="s">
        <v>1892</v>
      </c>
      <c r="F178" s="23" t="str">
        <f t="shared" si="2"/>
        <v>O Pokémon Snover evolui para Abomasnow</v>
      </c>
    </row>
    <row r="179" spans="1:6">
      <c r="A179" s="34" t="s">
        <v>568</v>
      </c>
      <c r="B179" s="35" t="s">
        <v>569</v>
      </c>
      <c r="C179" s="36">
        <v>17</v>
      </c>
      <c r="D179" s="37"/>
      <c r="E179" s="61" t="s">
        <v>1892</v>
      </c>
      <c r="F179" s="23" t="str">
        <f t="shared" si="2"/>
        <v>O Pokémon Snivy evolui para Servine</v>
      </c>
    </row>
    <row r="180" spans="1:6">
      <c r="A180" s="34" t="s">
        <v>569</v>
      </c>
      <c r="B180" s="35" t="s">
        <v>570</v>
      </c>
      <c r="C180" s="36">
        <v>36</v>
      </c>
      <c r="D180" s="37"/>
      <c r="E180" s="61" t="s">
        <v>1892</v>
      </c>
      <c r="F180" s="23" t="str">
        <f t="shared" si="2"/>
        <v>O Pokémon Servine evolui para Serperior</v>
      </c>
    </row>
    <row r="181" spans="1:6">
      <c r="A181" s="34" t="s">
        <v>571</v>
      </c>
      <c r="B181" s="35" t="s">
        <v>572</v>
      </c>
      <c r="C181" s="36">
        <v>17</v>
      </c>
      <c r="D181" s="37"/>
      <c r="E181" s="61" t="s">
        <v>1892</v>
      </c>
      <c r="F181" s="23" t="str">
        <f t="shared" si="2"/>
        <v>O Pokémon Tepig evolui para Pignite</v>
      </c>
    </row>
    <row r="182" spans="1:6">
      <c r="A182" s="34" t="s">
        <v>572</v>
      </c>
      <c r="B182" s="35" t="s">
        <v>573</v>
      </c>
      <c r="C182" s="36">
        <v>36</v>
      </c>
      <c r="D182" s="37"/>
      <c r="E182" s="61" t="s">
        <v>1892</v>
      </c>
      <c r="F182" s="23" t="str">
        <f t="shared" si="2"/>
        <v>O Pokémon Pignite evolui para Emboar</v>
      </c>
    </row>
    <row r="183" spans="1:6">
      <c r="A183" s="34" t="s">
        <v>574</v>
      </c>
      <c r="B183" s="35" t="s">
        <v>575</v>
      </c>
      <c r="C183" s="36">
        <v>17</v>
      </c>
      <c r="D183" s="37"/>
      <c r="E183" s="61" t="s">
        <v>1892</v>
      </c>
      <c r="F183" s="23" t="str">
        <f t="shared" si="2"/>
        <v>O Pokémon Oshawott evolui para Dewott</v>
      </c>
    </row>
    <row r="184" spans="1:6">
      <c r="A184" s="34" t="s">
        <v>575</v>
      </c>
      <c r="B184" s="35" t="s">
        <v>576</v>
      </c>
      <c r="C184" s="36">
        <v>36</v>
      </c>
      <c r="D184" s="37"/>
      <c r="E184" s="61" t="s">
        <v>1892</v>
      </c>
      <c r="F184" s="23" t="str">
        <f t="shared" si="2"/>
        <v>O Pokémon Dewott evolui para Samurott</v>
      </c>
    </row>
    <row r="185" spans="1:6">
      <c r="A185" s="34" t="s">
        <v>577</v>
      </c>
      <c r="B185" s="35" t="s">
        <v>578</v>
      </c>
      <c r="C185" s="36">
        <v>20</v>
      </c>
      <c r="D185" s="37"/>
      <c r="E185" s="61" t="s">
        <v>1892</v>
      </c>
      <c r="F185" s="23" t="str">
        <f t="shared" si="2"/>
        <v>O Pokémon Patrat evolui para Watchog</v>
      </c>
    </row>
    <row r="186" spans="1:6">
      <c r="A186" s="34" t="s">
        <v>579</v>
      </c>
      <c r="B186" s="35" t="s">
        <v>580</v>
      </c>
      <c r="C186" s="36">
        <v>16</v>
      </c>
      <c r="D186" s="37"/>
      <c r="E186" s="61" t="s">
        <v>1892</v>
      </c>
      <c r="F186" s="23" t="str">
        <f t="shared" si="2"/>
        <v>O Pokémon Lillipup evolui para Herdier</v>
      </c>
    </row>
    <row r="187" spans="1:6">
      <c r="A187" s="34" t="s">
        <v>580</v>
      </c>
      <c r="B187" s="35" t="s">
        <v>581</v>
      </c>
      <c r="C187" s="36">
        <v>32</v>
      </c>
      <c r="D187" s="37"/>
      <c r="E187" s="61" t="s">
        <v>1892</v>
      </c>
      <c r="F187" s="23" t="str">
        <f t="shared" si="2"/>
        <v>O Pokémon Herdier evolui para Stoutland</v>
      </c>
    </row>
    <row r="188" spans="1:6">
      <c r="A188" s="34" t="s">
        <v>583</v>
      </c>
      <c r="B188" s="35" t="s">
        <v>584</v>
      </c>
      <c r="C188" s="36">
        <v>20</v>
      </c>
      <c r="D188" s="37"/>
      <c r="E188" s="61" t="s">
        <v>1892</v>
      </c>
      <c r="F188" s="23" t="str">
        <f t="shared" si="2"/>
        <v>O Pokémon Purrloin evolui para Liepard</v>
      </c>
    </row>
    <row r="189" spans="1:6">
      <c r="A189" s="34" t="s">
        <v>593</v>
      </c>
      <c r="B189" s="35" t="s">
        <v>594</v>
      </c>
      <c r="C189" s="36">
        <v>21</v>
      </c>
      <c r="D189" s="37"/>
      <c r="E189" s="61" t="s">
        <v>1892</v>
      </c>
      <c r="F189" s="23" t="str">
        <f t="shared" si="2"/>
        <v>O Pokémon Pidove evolui para Tranquill</v>
      </c>
    </row>
    <row r="190" spans="1:6">
      <c r="A190" s="34" t="s">
        <v>594</v>
      </c>
      <c r="B190" s="35" t="s">
        <v>595</v>
      </c>
      <c r="C190" s="36">
        <v>32</v>
      </c>
      <c r="D190" s="37"/>
      <c r="E190" s="61" t="s">
        <v>1892</v>
      </c>
      <c r="F190" s="23" t="str">
        <f t="shared" si="2"/>
        <v>O Pokémon Tranquill evolui para Unfezant</v>
      </c>
    </row>
    <row r="191" spans="1:6">
      <c r="A191" s="34" t="s">
        <v>596</v>
      </c>
      <c r="B191" s="35" t="s">
        <v>597</v>
      </c>
      <c r="C191" s="36">
        <v>27</v>
      </c>
      <c r="D191" s="37"/>
      <c r="E191" s="61" t="s">
        <v>1892</v>
      </c>
      <c r="F191" s="23" t="str">
        <f t="shared" si="2"/>
        <v>O Pokémon Blitzle evolui para Zebstrika</v>
      </c>
    </row>
    <row r="192" spans="1:6">
      <c r="A192" s="34" t="s">
        <v>598</v>
      </c>
      <c r="B192" s="35" t="s">
        <v>599</v>
      </c>
      <c r="C192" s="36">
        <v>25</v>
      </c>
      <c r="D192" s="37"/>
      <c r="E192" s="61" t="s">
        <v>1892</v>
      </c>
      <c r="F192" s="23" t="str">
        <f t="shared" si="2"/>
        <v>O Pokémon Roggenrola evolui para Boldore</v>
      </c>
    </row>
    <row r="193" spans="1:6">
      <c r="A193" s="34" t="s">
        <v>603</v>
      </c>
      <c r="B193" s="35" t="s">
        <v>604</v>
      </c>
      <c r="C193" s="36">
        <v>31</v>
      </c>
      <c r="D193" s="37"/>
      <c r="E193" s="61" t="s">
        <v>1892</v>
      </c>
      <c r="F193" s="23" t="str">
        <f t="shared" si="2"/>
        <v>O Pokémon Drilbur evolui para Excadrill</v>
      </c>
    </row>
    <row r="194" spans="1:6">
      <c r="A194" s="34" t="s">
        <v>606</v>
      </c>
      <c r="B194" s="35" t="s">
        <v>607</v>
      </c>
      <c r="C194" s="36">
        <v>25</v>
      </c>
      <c r="D194" s="37"/>
      <c r="E194" s="61" t="s">
        <v>1892</v>
      </c>
      <c r="F194" s="23" t="str">
        <f t="shared" si="2"/>
        <v>O Pokémon Timburr evolui para Gurdurr</v>
      </c>
    </row>
    <row r="195" spans="1:6">
      <c r="A195" s="34" t="s">
        <v>609</v>
      </c>
      <c r="B195" s="35" t="s">
        <v>610</v>
      </c>
      <c r="C195" s="36">
        <v>25</v>
      </c>
      <c r="D195" s="37"/>
      <c r="E195" s="61" t="s">
        <v>1892</v>
      </c>
      <c r="F195" s="23" t="str">
        <f t="shared" ref="F195:F258" si="3">"O Pokémon " &amp; A195 &amp;
" evolui para " &amp;
B195</f>
        <v>O Pokémon Tympole evolui para Palpitoad</v>
      </c>
    </row>
    <row r="196" spans="1:6">
      <c r="A196" s="34" t="s">
        <v>610</v>
      </c>
      <c r="B196" s="35" t="s">
        <v>611</v>
      </c>
      <c r="C196" s="36">
        <v>36</v>
      </c>
      <c r="D196" s="37"/>
      <c r="E196" s="61" t="s">
        <v>1892</v>
      </c>
      <c r="F196" s="23" t="str">
        <f t="shared" si="3"/>
        <v>O Pokémon Palpitoad evolui para Seismitoad</v>
      </c>
    </row>
    <row r="197" spans="1:6">
      <c r="A197" s="34" t="s">
        <v>614</v>
      </c>
      <c r="B197" s="35" t="s">
        <v>615</v>
      </c>
      <c r="C197" s="36">
        <v>20</v>
      </c>
      <c r="D197" s="37"/>
      <c r="E197" s="61" t="s">
        <v>1892</v>
      </c>
      <c r="F197" s="23" t="str">
        <f t="shared" si="3"/>
        <v>O Pokémon Sewaddle evolui para Swadloon</v>
      </c>
    </row>
    <row r="198" spans="1:6">
      <c r="A198" s="34" t="s">
        <v>617</v>
      </c>
      <c r="B198" s="35" t="s">
        <v>618</v>
      </c>
      <c r="C198" s="36">
        <v>22</v>
      </c>
      <c r="D198" s="37"/>
      <c r="E198" s="61" t="s">
        <v>1892</v>
      </c>
      <c r="F198" s="23" t="str">
        <f t="shared" si="3"/>
        <v>O Pokémon Venipede evolui para Whirlipede</v>
      </c>
    </row>
    <row r="199" spans="1:6">
      <c r="A199" s="34" t="s">
        <v>618</v>
      </c>
      <c r="B199" s="35" t="s">
        <v>619</v>
      </c>
      <c r="C199" s="36">
        <v>30</v>
      </c>
      <c r="D199" s="37"/>
      <c r="E199" s="61" t="s">
        <v>1892</v>
      </c>
      <c r="F199" s="23" t="str">
        <f t="shared" si="3"/>
        <v>O Pokémon Whirlipede evolui para Scolipede</v>
      </c>
    </row>
    <row r="200" spans="1:6">
      <c r="A200" s="34" t="s">
        <v>625</v>
      </c>
      <c r="B200" s="35" t="s">
        <v>626</v>
      </c>
      <c r="C200" s="36">
        <v>29</v>
      </c>
      <c r="D200" s="37"/>
      <c r="E200" s="61" t="s">
        <v>1892</v>
      </c>
      <c r="F200" s="23" t="str">
        <f t="shared" si="3"/>
        <v>O Pokémon Sandile evolui para Krokorok</v>
      </c>
    </row>
    <row r="201" spans="1:6">
      <c r="A201" s="34" t="s">
        <v>626</v>
      </c>
      <c r="B201" s="35" t="s">
        <v>627</v>
      </c>
      <c r="C201" s="36">
        <v>40</v>
      </c>
      <c r="D201" s="37"/>
      <c r="E201" s="61" t="s">
        <v>1892</v>
      </c>
      <c r="F201" s="23" t="str">
        <f t="shared" si="3"/>
        <v>O Pokémon Krokorok evolui para Krookodile</v>
      </c>
    </row>
    <row r="202" spans="1:6">
      <c r="A202" s="38" t="s">
        <v>628</v>
      </c>
      <c r="B202" s="39" t="s">
        <v>1910</v>
      </c>
      <c r="C202" s="40">
        <v>35</v>
      </c>
      <c r="D202" s="41"/>
      <c r="E202" s="61" t="s">
        <v>1892</v>
      </c>
      <c r="F202" s="23" t="str">
        <f t="shared" si="3"/>
        <v>O Pokémon Darumaka evolui para Darmanitan</v>
      </c>
    </row>
    <row r="203" spans="1:6">
      <c r="A203" s="42"/>
      <c r="B203" s="43" t="s">
        <v>1911</v>
      </c>
      <c r="C203" s="44"/>
      <c r="D203" s="45"/>
      <c r="E203" s="61" t="s">
        <v>1892</v>
      </c>
      <c r="F203" s="23" t="str">
        <f t="shared" si="3"/>
        <v>O Pokémon  evolui para Standard Mode</v>
      </c>
    </row>
    <row r="204" spans="1:6">
      <c r="A204" s="34" t="s">
        <v>632</v>
      </c>
      <c r="B204" s="35" t="s">
        <v>633</v>
      </c>
      <c r="C204" s="36">
        <v>34</v>
      </c>
      <c r="D204" s="37"/>
      <c r="E204" s="61" t="s">
        <v>1892</v>
      </c>
      <c r="F204" s="23" t="str">
        <f t="shared" si="3"/>
        <v>O Pokémon Dwebble evolui para Crustle</v>
      </c>
    </row>
    <row r="205" spans="1:6">
      <c r="A205" s="34" t="s">
        <v>634</v>
      </c>
      <c r="B205" s="35" t="s">
        <v>635</v>
      </c>
      <c r="C205" s="36">
        <v>39</v>
      </c>
      <c r="D205" s="37"/>
      <c r="E205" s="61" t="s">
        <v>1892</v>
      </c>
      <c r="F205" s="23" t="str">
        <f t="shared" si="3"/>
        <v>O Pokémon Scraggy evolui para Scrafty</v>
      </c>
    </row>
    <row r="206" spans="1:6">
      <c r="A206" s="34" t="s">
        <v>637</v>
      </c>
      <c r="B206" s="35" t="s">
        <v>638</v>
      </c>
      <c r="C206" s="36">
        <v>34</v>
      </c>
      <c r="D206" s="37"/>
      <c r="E206" s="61" t="s">
        <v>1892</v>
      </c>
      <c r="F206" s="23" t="str">
        <f t="shared" si="3"/>
        <v>O Pokémon Yamask evolui para Cofagrigus</v>
      </c>
    </row>
    <row r="207" spans="1:6">
      <c r="A207" s="34" t="s">
        <v>639</v>
      </c>
      <c r="B207" s="35" t="s">
        <v>640</v>
      </c>
      <c r="C207" s="36">
        <v>37</v>
      </c>
      <c r="D207" s="37"/>
      <c r="E207" s="61" t="s">
        <v>1892</v>
      </c>
      <c r="F207" s="23" t="str">
        <f t="shared" si="3"/>
        <v>O Pokémon Tirtouga evolui para Carracosta</v>
      </c>
    </row>
    <row r="208" spans="1:6">
      <c r="A208" s="34" t="s">
        <v>641</v>
      </c>
      <c r="B208" s="35" t="s">
        <v>642</v>
      </c>
      <c r="C208" s="36">
        <v>37</v>
      </c>
      <c r="D208" s="37"/>
      <c r="E208" s="61" t="s">
        <v>1892</v>
      </c>
      <c r="F208" s="23" t="str">
        <f t="shared" si="3"/>
        <v>O Pokémon Archen evolui para Archeops</v>
      </c>
    </row>
    <row r="209" spans="1:6">
      <c r="A209" s="34" t="s">
        <v>643</v>
      </c>
      <c r="B209" s="35" t="s">
        <v>644</v>
      </c>
      <c r="C209" s="36">
        <v>36</v>
      </c>
      <c r="D209" s="37"/>
      <c r="E209" s="61" t="s">
        <v>1892</v>
      </c>
      <c r="F209" s="23" t="str">
        <f t="shared" si="3"/>
        <v>O Pokémon Trubbish evolui para Garbodor</v>
      </c>
    </row>
    <row r="210" spans="1:6">
      <c r="A210" s="34" t="s">
        <v>645</v>
      </c>
      <c r="B210" s="35" t="s">
        <v>646</v>
      </c>
      <c r="C210" s="36">
        <v>30</v>
      </c>
      <c r="D210" s="37"/>
      <c r="E210" s="61" t="s">
        <v>1892</v>
      </c>
      <c r="F210" s="23" t="str">
        <f t="shared" si="3"/>
        <v>O Pokémon Zorua evolui para Zoroark</v>
      </c>
    </row>
    <row r="211" spans="1:6">
      <c r="A211" s="34" t="s">
        <v>649</v>
      </c>
      <c r="B211" s="35" t="s">
        <v>650</v>
      </c>
      <c r="C211" s="36">
        <v>32</v>
      </c>
      <c r="D211" s="37"/>
      <c r="E211" s="61" t="s">
        <v>1892</v>
      </c>
      <c r="F211" s="23" t="str">
        <f t="shared" si="3"/>
        <v>O Pokémon Gothita evolui para Gothorita</v>
      </c>
    </row>
    <row r="212" spans="1:6">
      <c r="A212" s="34" t="s">
        <v>650</v>
      </c>
      <c r="B212" s="35" t="s">
        <v>651</v>
      </c>
      <c r="C212" s="36">
        <v>41</v>
      </c>
      <c r="D212" s="37"/>
      <c r="E212" s="61" t="s">
        <v>1892</v>
      </c>
      <c r="F212" s="23" t="str">
        <f t="shared" si="3"/>
        <v>O Pokémon Gothorita evolui para Gothitelle</v>
      </c>
    </row>
    <row r="213" spans="1:6">
      <c r="A213" s="34" t="s">
        <v>652</v>
      </c>
      <c r="B213" s="35" t="s">
        <v>653</v>
      </c>
      <c r="C213" s="36">
        <v>32</v>
      </c>
      <c r="D213" s="37"/>
      <c r="E213" s="61" t="s">
        <v>1892</v>
      </c>
      <c r="F213" s="23" t="str">
        <f t="shared" si="3"/>
        <v>O Pokémon Solosis evolui para Duosion</v>
      </c>
    </row>
    <row r="214" spans="1:6">
      <c r="A214" s="34" t="s">
        <v>653</v>
      </c>
      <c r="B214" s="35" t="s">
        <v>654</v>
      </c>
      <c r="C214" s="36">
        <v>41</v>
      </c>
      <c r="D214" s="37"/>
      <c r="E214" s="61" t="s">
        <v>1892</v>
      </c>
      <c r="F214" s="23" t="str">
        <f t="shared" si="3"/>
        <v>O Pokémon Duosion evolui para Reuniclus</v>
      </c>
    </row>
    <row r="215" spans="1:6">
      <c r="A215" s="34" t="s">
        <v>655</v>
      </c>
      <c r="B215" s="35" t="s">
        <v>656</v>
      </c>
      <c r="C215" s="36">
        <v>35</v>
      </c>
      <c r="D215" s="37"/>
      <c r="E215" s="61" t="s">
        <v>1892</v>
      </c>
      <c r="F215" s="23" t="str">
        <f t="shared" si="3"/>
        <v>O Pokémon Ducklett evolui para Swanna</v>
      </c>
    </row>
    <row r="216" spans="1:6">
      <c r="A216" s="34" t="s">
        <v>657</v>
      </c>
      <c r="B216" s="35" t="s">
        <v>658</v>
      </c>
      <c r="C216" s="36">
        <v>35</v>
      </c>
      <c r="D216" s="37"/>
      <c r="E216" s="61" t="s">
        <v>1892</v>
      </c>
      <c r="F216" s="23" t="str">
        <f t="shared" si="3"/>
        <v>O Pokémon Vanillite evolui para Vanillish</v>
      </c>
    </row>
    <row r="217" spans="1:6">
      <c r="A217" s="34" t="s">
        <v>658</v>
      </c>
      <c r="B217" s="35" t="s">
        <v>659</v>
      </c>
      <c r="C217" s="36">
        <v>47</v>
      </c>
      <c r="D217" s="37"/>
      <c r="E217" s="61" t="s">
        <v>1892</v>
      </c>
      <c r="F217" s="23" t="str">
        <f t="shared" si="3"/>
        <v>O Pokémon Vanillish evolui para Vanilluxe</v>
      </c>
    </row>
    <row r="218" spans="1:6">
      <c r="A218" s="34" t="s">
        <v>660</v>
      </c>
      <c r="B218" s="35" t="s">
        <v>661</v>
      </c>
      <c r="C218" s="36">
        <v>34</v>
      </c>
      <c r="D218" s="37"/>
      <c r="E218" s="61" t="s">
        <v>1892</v>
      </c>
      <c r="F218" s="23" t="str">
        <f t="shared" si="3"/>
        <v>O Pokémon Deerling evolui para Sawsbuck</v>
      </c>
    </row>
    <row r="219" spans="1:6">
      <c r="A219" s="34" t="s">
        <v>665</v>
      </c>
      <c r="B219" s="35" t="s">
        <v>666</v>
      </c>
      <c r="C219" s="36">
        <v>39</v>
      </c>
      <c r="D219" s="37"/>
      <c r="E219" s="61" t="s">
        <v>1892</v>
      </c>
      <c r="F219" s="23" t="str">
        <f t="shared" si="3"/>
        <v>O Pokémon Foongus evolui para Amoonguss</v>
      </c>
    </row>
    <row r="220" spans="1:6">
      <c r="A220" s="34" t="s">
        <v>667</v>
      </c>
      <c r="B220" s="35" t="s">
        <v>668</v>
      </c>
      <c r="C220" s="36">
        <v>40</v>
      </c>
      <c r="D220" s="37"/>
      <c r="E220" s="61" t="s">
        <v>1892</v>
      </c>
      <c r="F220" s="23" t="str">
        <f t="shared" si="3"/>
        <v>O Pokémon Frillish evolui para Jellicent</v>
      </c>
    </row>
    <row r="221" spans="1:6">
      <c r="A221" s="34" t="s">
        <v>670</v>
      </c>
      <c r="B221" s="35" t="s">
        <v>671</v>
      </c>
      <c r="C221" s="36">
        <v>36</v>
      </c>
      <c r="D221" s="37"/>
      <c r="E221" s="61" t="s">
        <v>1892</v>
      </c>
      <c r="F221" s="23" t="str">
        <f t="shared" si="3"/>
        <v>O Pokémon Joltik evolui para Galvantula</v>
      </c>
    </row>
    <row r="222" spans="1:6">
      <c r="A222" s="34" t="s">
        <v>672</v>
      </c>
      <c r="B222" s="35" t="s">
        <v>673</v>
      </c>
      <c r="C222" s="36">
        <v>40</v>
      </c>
      <c r="D222" s="37"/>
      <c r="E222" s="61" t="s">
        <v>1892</v>
      </c>
      <c r="F222" s="23" t="str">
        <f t="shared" si="3"/>
        <v>O Pokémon Ferroseed evolui para Ferrothorn</v>
      </c>
    </row>
    <row r="223" spans="1:6">
      <c r="A223" s="34" t="s">
        <v>674</v>
      </c>
      <c r="B223" s="35" t="s">
        <v>675</v>
      </c>
      <c r="C223" s="36">
        <v>38</v>
      </c>
      <c r="D223" s="37"/>
      <c r="E223" s="61" t="s">
        <v>1892</v>
      </c>
      <c r="F223" s="23" t="str">
        <f t="shared" si="3"/>
        <v>O Pokémon Klink evolui para Klang</v>
      </c>
    </row>
    <row r="224" spans="1:6">
      <c r="A224" s="34" t="s">
        <v>675</v>
      </c>
      <c r="B224" s="35" t="s">
        <v>676</v>
      </c>
      <c r="C224" s="36">
        <v>49</v>
      </c>
      <c r="D224" s="37"/>
      <c r="E224" s="61" t="s">
        <v>1892</v>
      </c>
      <c r="F224" s="23" t="str">
        <f t="shared" si="3"/>
        <v>O Pokémon Klang evolui para Klinklang</v>
      </c>
    </row>
    <row r="225" spans="1:6">
      <c r="A225" s="34" t="s">
        <v>677</v>
      </c>
      <c r="B225" s="35" t="s">
        <v>678</v>
      </c>
      <c r="C225" s="36">
        <v>39</v>
      </c>
      <c r="D225" s="37"/>
      <c r="E225" s="61" t="s">
        <v>1892</v>
      </c>
      <c r="F225" s="23" t="str">
        <f t="shared" si="3"/>
        <v>O Pokémon Tynamo evolui para Eelektrik</v>
      </c>
    </row>
    <row r="226" spans="1:6">
      <c r="A226" s="34" t="s">
        <v>680</v>
      </c>
      <c r="B226" s="35" t="s">
        <v>681</v>
      </c>
      <c r="C226" s="36">
        <v>42</v>
      </c>
      <c r="D226" s="37"/>
      <c r="E226" s="61" t="s">
        <v>1892</v>
      </c>
      <c r="F226" s="23" t="str">
        <f t="shared" si="3"/>
        <v>O Pokémon Elgyem evolui para Beheeyem</v>
      </c>
    </row>
    <row r="227" spans="1:6">
      <c r="A227" s="34" t="s">
        <v>682</v>
      </c>
      <c r="B227" s="35" t="s">
        <v>683</v>
      </c>
      <c r="C227" s="36">
        <v>41</v>
      </c>
      <c r="D227" s="37"/>
      <c r="E227" s="61" t="s">
        <v>1892</v>
      </c>
      <c r="F227" s="23" t="str">
        <f t="shared" si="3"/>
        <v>O Pokémon Litwick evolui para Lampent</v>
      </c>
    </row>
    <row r="228" spans="1:6">
      <c r="A228" s="34" t="s">
        <v>685</v>
      </c>
      <c r="B228" s="35" t="s">
        <v>686</v>
      </c>
      <c r="C228" s="36">
        <v>38</v>
      </c>
      <c r="D228" s="37"/>
      <c r="E228" s="61" t="s">
        <v>1892</v>
      </c>
      <c r="F228" s="23" t="str">
        <f t="shared" si="3"/>
        <v>O Pokémon Axew evolui para Fraxure</v>
      </c>
    </row>
    <row r="229" spans="1:6">
      <c r="A229" s="34" t="s">
        <v>686</v>
      </c>
      <c r="B229" s="35" t="s">
        <v>687</v>
      </c>
      <c r="C229" s="36">
        <v>48</v>
      </c>
      <c r="D229" s="37"/>
      <c r="E229" s="61" t="s">
        <v>1892</v>
      </c>
      <c r="F229" s="23" t="str">
        <f t="shared" si="3"/>
        <v>O Pokémon Fraxure evolui para Haxorus</v>
      </c>
    </row>
    <row r="230" spans="1:6">
      <c r="A230" s="34" t="s">
        <v>688</v>
      </c>
      <c r="B230" s="35" t="s">
        <v>689</v>
      </c>
      <c r="C230" s="36">
        <v>37</v>
      </c>
      <c r="D230" s="37"/>
      <c r="E230" s="61" t="s">
        <v>1892</v>
      </c>
      <c r="F230" s="23" t="str">
        <f t="shared" si="3"/>
        <v>O Pokémon Cubchoo evolui para Beartic</v>
      </c>
    </row>
    <row r="231" spans="1:6">
      <c r="A231" s="34" t="s">
        <v>694</v>
      </c>
      <c r="B231" s="35" t="s">
        <v>695</v>
      </c>
      <c r="C231" s="36">
        <v>50</v>
      </c>
      <c r="D231" s="37"/>
      <c r="E231" s="61" t="s">
        <v>1892</v>
      </c>
      <c r="F231" s="23" t="str">
        <f t="shared" si="3"/>
        <v>O Pokémon Mienfoo evolui para Mienshao</v>
      </c>
    </row>
    <row r="232" spans="1:6">
      <c r="A232" s="34" t="s">
        <v>697</v>
      </c>
      <c r="B232" s="35" t="s">
        <v>698</v>
      </c>
      <c r="C232" s="36">
        <v>43</v>
      </c>
      <c r="D232" s="37"/>
      <c r="E232" s="61" t="s">
        <v>1892</v>
      </c>
      <c r="F232" s="23" t="str">
        <f t="shared" si="3"/>
        <v>O Pokémon Golett evolui para Golurk</v>
      </c>
    </row>
    <row r="233" spans="1:6">
      <c r="A233" s="34" t="s">
        <v>699</v>
      </c>
      <c r="B233" s="35" t="s">
        <v>700</v>
      </c>
      <c r="C233" s="36">
        <v>52</v>
      </c>
      <c r="D233" s="37"/>
      <c r="E233" s="61" t="s">
        <v>1892</v>
      </c>
      <c r="F233" s="23" t="str">
        <f t="shared" si="3"/>
        <v>O Pokémon Pawniard evolui para Bisharp</v>
      </c>
    </row>
    <row r="234" spans="1:6">
      <c r="A234" s="34" t="s">
        <v>702</v>
      </c>
      <c r="B234" s="35" t="s">
        <v>703</v>
      </c>
      <c r="C234" s="36">
        <v>54</v>
      </c>
      <c r="D234" s="37"/>
      <c r="E234" s="61" t="s">
        <v>1892</v>
      </c>
      <c r="F234" s="23" t="str">
        <f t="shared" si="3"/>
        <v>O Pokémon Rufflet evolui para Braviary</v>
      </c>
    </row>
    <row r="235" spans="1:6">
      <c r="A235" s="34" t="s">
        <v>704</v>
      </c>
      <c r="B235" s="35" t="s">
        <v>705</v>
      </c>
      <c r="C235" s="36">
        <v>54</v>
      </c>
      <c r="D235" s="37"/>
      <c r="E235" s="61" t="s">
        <v>1892</v>
      </c>
      <c r="F235" s="23" t="str">
        <f t="shared" si="3"/>
        <v>O Pokémon Vullaby evolui para Mandibuzz</v>
      </c>
    </row>
    <row r="236" spans="1:6">
      <c r="A236" s="34" t="s">
        <v>708</v>
      </c>
      <c r="B236" s="35" t="s">
        <v>709</v>
      </c>
      <c r="C236" s="36">
        <v>50</v>
      </c>
      <c r="D236" s="37"/>
      <c r="E236" s="61" t="s">
        <v>1892</v>
      </c>
      <c r="F236" s="23" t="str">
        <f t="shared" si="3"/>
        <v>O Pokémon Deino evolui para Zweilous</v>
      </c>
    </row>
    <row r="237" spans="1:6">
      <c r="A237" s="34" t="s">
        <v>709</v>
      </c>
      <c r="B237" s="35" t="s">
        <v>710</v>
      </c>
      <c r="C237" s="36">
        <v>64</v>
      </c>
      <c r="D237" s="37"/>
      <c r="E237" s="61" t="s">
        <v>1892</v>
      </c>
      <c r="F237" s="23" t="str">
        <f t="shared" si="3"/>
        <v>O Pokémon Zweilous evolui para Hydreigon</v>
      </c>
    </row>
    <row r="238" spans="1:6">
      <c r="A238" s="34" t="s">
        <v>711</v>
      </c>
      <c r="B238" s="35" t="s">
        <v>712</v>
      </c>
      <c r="C238" s="36">
        <v>59</v>
      </c>
      <c r="D238" s="37"/>
      <c r="E238" s="61" t="s">
        <v>1892</v>
      </c>
      <c r="F238" s="23" t="str">
        <f t="shared" si="3"/>
        <v>O Pokémon Larvesta evolui para Volcarona</v>
      </c>
    </row>
    <row r="239" spans="1:6">
      <c r="A239" s="34" t="s">
        <v>730</v>
      </c>
      <c r="B239" s="35" t="s">
        <v>731</v>
      </c>
      <c r="C239" s="36">
        <v>16</v>
      </c>
      <c r="D239" s="37"/>
      <c r="E239" s="61" t="s">
        <v>1892</v>
      </c>
      <c r="F239" s="23" t="str">
        <f t="shared" si="3"/>
        <v>O Pokémon Chespin evolui para Quilladin</v>
      </c>
    </row>
    <row r="240" spans="1:6">
      <c r="A240" s="34" t="s">
        <v>731</v>
      </c>
      <c r="B240" s="35" t="s">
        <v>732</v>
      </c>
      <c r="C240" s="36">
        <v>36</v>
      </c>
      <c r="D240" s="37"/>
      <c r="E240" s="61" t="s">
        <v>1892</v>
      </c>
      <c r="F240" s="23" t="str">
        <f t="shared" si="3"/>
        <v>O Pokémon Quilladin evolui para Chesnaught</v>
      </c>
    </row>
    <row r="241" spans="1:6">
      <c r="A241" s="34" t="s">
        <v>733</v>
      </c>
      <c r="B241" s="35" t="s">
        <v>734</v>
      </c>
      <c r="C241" s="36">
        <v>16</v>
      </c>
      <c r="D241" s="37"/>
      <c r="E241" s="61" t="s">
        <v>1892</v>
      </c>
      <c r="F241" s="23" t="str">
        <f t="shared" si="3"/>
        <v>O Pokémon Fennekin evolui para Braixen</v>
      </c>
    </row>
    <row r="242" spans="1:6">
      <c r="A242" s="34" t="s">
        <v>734</v>
      </c>
      <c r="B242" s="35" t="s">
        <v>735</v>
      </c>
      <c r="C242" s="36">
        <v>36</v>
      </c>
      <c r="D242" s="37"/>
      <c r="E242" s="61" t="s">
        <v>1892</v>
      </c>
      <c r="F242" s="23" t="str">
        <f t="shared" si="3"/>
        <v>O Pokémon Braixen evolui para Delphox</v>
      </c>
    </row>
    <row r="243" spans="1:6">
      <c r="A243" s="34" t="s">
        <v>736</v>
      </c>
      <c r="B243" s="35" t="s">
        <v>737</v>
      </c>
      <c r="C243" s="36">
        <v>16</v>
      </c>
      <c r="D243" s="37"/>
      <c r="E243" s="61" t="s">
        <v>1892</v>
      </c>
      <c r="F243" s="23" t="str">
        <f t="shared" si="3"/>
        <v>O Pokémon Froakie evolui para Frogadier</v>
      </c>
    </row>
    <row r="244" spans="1:6">
      <c r="A244" s="34" t="s">
        <v>737</v>
      </c>
      <c r="B244" s="35" t="s">
        <v>738</v>
      </c>
      <c r="C244" s="36">
        <v>36</v>
      </c>
      <c r="D244" s="37"/>
      <c r="E244" s="61" t="s">
        <v>1892</v>
      </c>
      <c r="F244" s="23" t="str">
        <f t="shared" si="3"/>
        <v>O Pokémon Frogadier evolui para Greninja</v>
      </c>
    </row>
    <row r="245" spans="1:6">
      <c r="A245" s="34" t="s">
        <v>739</v>
      </c>
      <c r="B245" s="35" t="s">
        <v>740</v>
      </c>
      <c r="C245" s="36">
        <v>20</v>
      </c>
      <c r="D245" s="37"/>
      <c r="E245" s="61" t="s">
        <v>1892</v>
      </c>
      <c r="F245" s="23" t="str">
        <f t="shared" si="3"/>
        <v>O Pokémon Bunnelby evolui para Diggersby</v>
      </c>
    </row>
    <row r="246" spans="1:6">
      <c r="A246" s="34" t="s">
        <v>741</v>
      </c>
      <c r="B246" s="35" t="s">
        <v>742</v>
      </c>
      <c r="C246" s="36">
        <v>17</v>
      </c>
      <c r="D246" s="37"/>
      <c r="E246" s="61" t="s">
        <v>1892</v>
      </c>
      <c r="F246" s="23" t="str">
        <f t="shared" si="3"/>
        <v>O Pokémon Fletchling evolui para Fletchinder</v>
      </c>
    </row>
    <row r="247" spans="1:6">
      <c r="A247" s="34" t="s">
        <v>742</v>
      </c>
      <c r="B247" s="35" t="s">
        <v>743</v>
      </c>
      <c r="C247" s="36">
        <v>35</v>
      </c>
      <c r="D247" s="37"/>
      <c r="E247" s="61" t="s">
        <v>1892</v>
      </c>
      <c r="F247" s="23" t="str">
        <f t="shared" si="3"/>
        <v>O Pokémon Fletchinder evolui para Talonflame</v>
      </c>
    </row>
    <row r="248" spans="1:6">
      <c r="A248" s="34" t="s">
        <v>744</v>
      </c>
      <c r="B248" s="35" t="s">
        <v>745</v>
      </c>
      <c r="C248" s="36">
        <v>9</v>
      </c>
      <c r="D248" s="37"/>
      <c r="E248" s="61" t="s">
        <v>1892</v>
      </c>
      <c r="F248" s="23" t="str">
        <f t="shared" si="3"/>
        <v>O Pokémon Scatterbug evolui para Spewpa</v>
      </c>
    </row>
    <row r="249" spans="1:6">
      <c r="A249" s="34" t="s">
        <v>745</v>
      </c>
      <c r="B249" s="35" t="s">
        <v>746</v>
      </c>
      <c r="C249" s="36">
        <v>12</v>
      </c>
      <c r="D249" s="37"/>
      <c r="E249" s="61" t="s">
        <v>1892</v>
      </c>
      <c r="F249" s="23" t="str">
        <f t="shared" si="3"/>
        <v>O Pokémon Spewpa evolui para Vivillon</v>
      </c>
    </row>
    <row r="250" spans="1:6">
      <c r="A250" s="34" t="s">
        <v>747</v>
      </c>
      <c r="B250" s="35" t="s">
        <v>748</v>
      </c>
      <c r="C250" s="36">
        <v>35</v>
      </c>
      <c r="D250" s="37"/>
      <c r="E250" s="61" t="s">
        <v>1892</v>
      </c>
      <c r="F250" s="23" t="str">
        <f t="shared" si="3"/>
        <v>O Pokémon Litleo evolui para Pyroar</v>
      </c>
    </row>
    <row r="251" spans="1:6">
      <c r="A251" s="34" t="s">
        <v>749</v>
      </c>
      <c r="B251" s="35" t="s">
        <v>750</v>
      </c>
      <c r="C251" s="36">
        <v>19</v>
      </c>
      <c r="D251" s="37"/>
      <c r="E251" s="61" t="s">
        <v>1892</v>
      </c>
      <c r="F251" s="23" t="str">
        <f t="shared" si="3"/>
        <v>O Pokémon Flabébé evolui para Floette</v>
      </c>
    </row>
    <row r="252" spans="1:6">
      <c r="A252" s="34" t="s">
        <v>752</v>
      </c>
      <c r="B252" s="35" t="s">
        <v>753</v>
      </c>
      <c r="C252" s="36">
        <v>32</v>
      </c>
      <c r="D252" s="37"/>
      <c r="E252" s="61" t="s">
        <v>1892</v>
      </c>
      <c r="F252" s="23" t="str">
        <f t="shared" si="3"/>
        <v>O Pokémon Skiddo evolui para Gogoat</v>
      </c>
    </row>
    <row r="253" spans="1:6">
      <c r="A253" s="34" t="s">
        <v>754</v>
      </c>
      <c r="B253" s="35" t="s">
        <v>755</v>
      </c>
      <c r="C253" s="36">
        <v>32</v>
      </c>
      <c r="D253" s="37" t="s">
        <v>1912</v>
      </c>
      <c r="E253" s="61" t="s">
        <v>1892</v>
      </c>
      <c r="F253" s="23" t="str">
        <f t="shared" si="3"/>
        <v>O Pokémon Pancham evolui para Pangoro</v>
      </c>
    </row>
    <row r="254" spans="1:6">
      <c r="A254" s="38" t="s">
        <v>757</v>
      </c>
      <c r="B254" s="39" t="s">
        <v>758</v>
      </c>
      <c r="C254" s="40">
        <v>25</v>
      </c>
      <c r="D254" s="41"/>
      <c r="E254" s="61" t="s">
        <v>1892</v>
      </c>
      <c r="F254" s="23" t="str">
        <f t="shared" si="3"/>
        <v>O Pokémon Espurr evolui para Meowstic</v>
      </c>
    </row>
    <row r="255" spans="1:6">
      <c r="A255" s="42"/>
      <c r="B255" s="43" t="s">
        <v>1901</v>
      </c>
      <c r="C255" s="44"/>
      <c r="D255" s="45"/>
      <c r="E255" s="61" t="s">
        <v>1892</v>
      </c>
      <c r="F255" s="23" t="str">
        <f t="shared" si="3"/>
        <v>O Pokémon  evolui para Male</v>
      </c>
    </row>
    <row r="256" spans="1:6">
      <c r="A256" s="34" t="s">
        <v>759</v>
      </c>
      <c r="B256" s="35" t="s">
        <v>760</v>
      </c>
      <c r="C256" s="36">
        <v>35</v>
      </c>
      <c r="D256" s="37"/>
      <c r="E256" s="61" t="s">
        <v>1892</v>
      </c>
      <c r="F256" s="23" t="str">
        <f t="shared" si="3"/>
        <v>O Pokémon Honedge evolui para Doublade</v>
      </c>
    </row>
    <row r="257" spans="1:6">
      <c r="A257" s="34" t="s">
        <v>767</v>
      </c>
      <c r="B257" s="35" t="s">
        <v>768</v>
      </c>
      <c r="C257" s="36">
        <v>30</v>
      </c>
      <c r="D257" s="37" t="s">
        <v>1913</v>
      </c>
      <c r="E257" s="61" t="s">
        <v>1892</v>
      </c>
      <c r="F257" s="23" t="str">
        <f t="shared" si="3"/>
        <v>O Pokémon Inkay evolui para Malamar</v>
      </c>
    </row>
    <row r="258" spans="1:6">
      <c r="A258" s="34" t="s">
        <v>769</v>
      </c>
      <c r="B258" s="35" t="s">
        <v>770</v>
      </c>
      <c r="C258" s="36">
        <v>39</v>
      </c>
      <c r="D258" s="37"/>
      <c r="E258" s="61" t="s">
        <v>1892</v>
      </c>
      <c r="F258" s="23" t="str">
        <f t="shared" si="3"/>
        <v>O Pokémon Binacle evolui para Barbaracle</v>
      </c>
    </row>
    <row r="259" spans="1:6">
      <c r="A259" s="34" t="s">
        <v>771</v>
      </c>
      <c r="B259" s="35" t="s">
        <v>772</v>
      </c>
      <c r="C259" s="36">
        <v>48</v>
      </c>
      <c r="D259" s="37"/>
      <c r="E259" s="61" t="s">
        <v>1892</v>
      </c>
      <c r="F259" s="23" t="str">
        <f t="shared" ref="F259:F320" si="4">"O Pokémon " &amp; A259 &amp;
" evolui para " &amp;
B259</f>
        <v>O Pokémon Skrelp evolui para Dragalge</v>
      </c>
    </row>
    <row r="260" spans="1:6">
      <c r="A260" s="34" t="s">
        <v>773</v>
      </c>
      <c r="B260" s="35" t="s">
        <v>774</v>
      </c>
      <c r="C260" s="36">
        <v>37</v>
      </c>
      <c r="D260" s="37"/>
      <c r="E260" s="61" t="s">
        <v>1892</v>
      </c>
      <c r="F260" s="23" t="str">
        <f t="shared" si="4"/>
        <v>O Pokémon Clauncher evolui para Clawitzer</v>
      </c>
    </row>
    <row r="261" spans="1:6">
      <c r="A261" s="34" t="s">
        <v>777</v>
      </c>
      <c r="B261" s="35" t="s">
        <v>778</v>
      </c>
      <c r="C261" s="36">
        <v>39</v>
      </c>
      <c r="D261" s="37" t="s">
        <v>1914</v>
      </c>
      <c r="E261" s="61" t="s">
        <v>1892</v>
      </c>
      <c r="F261" s="23" t="str">
        <f t="shared" si="4"/>
        <v>O Pokémon Tyrunt evolui para Tyrantrum</v>
      </c>
    </row>
    <row r="262" spans="1:6">
      <c r="A262" s="34" t="s">
        <v>779</v>
      </c>
      <c r="B262" s="35" t="s">
        <v>780</v>
      </c>
      <c r="C262" s="36">
        <v>39</v>
      </c>
      <c r="D262" s="37" t="s">
        <v>1915</v>
      </c>
      <c r="E262" s="61" t="s">
        <v>1892</v>
      </c>
      <c r="F262" s="23" t="str">
        <f t="shared" si="4"/>
        <v>O Pokémon Amaura evolui para Aurorus</v>
      </c>
    </row>
    <row r="263" spans="1:6">
      <c r="A263" s="34" t="s">
        <v>785</v>
      </c>
      <c r="B263" s="35" t="s">
        <v>786</v>
      </c>
      <c r="C263" s="36">
        <v>40</v>
      </c>
      <c r="D263" s="37"/>
      <c r="E263" s="61" t="s">
        <v>1892</v>
      </c>
      <c r="F263" s="23" t="str">
        <f t="shared" si="4"/>
        <v>O Pokémon Goomy evolui para Sliggoo</v>
      </c>
    </row>
    <row r="264" spans="1:6">
      <c r="A264" s="34" t="s">
        <v>786</v>
      </c>
      <c r="B264" s="35" t="s">
        <v>787</v>
      </c>
      <c r="C264" s="36">
        <v>55</v>
      </c>
      <c r="D264" s="37" t="s">
        <v>1916</v>
      </c>
      <c r="E264" s="61" t="s">
        <v>1892</v>
      </c>
      <c r="F264" s="23" t="str">
        <f t="shared" si="4"/>
        <v>O Pokémon Sliggoo evolui para Goodra</v>
      </c>
    </row>
    <row r="265" spans="1:6">
      <c r="A265" s="34" t="s">
        <v>799</v>
      </c>
      <c r="B265" s="35" t="s">
        <v>800</v>
      </c>
      <c r="C265" s="36">
        <v>37</v>
      </c>
      <c r="D265" s="37"/>
      <c r="E265" s="61" t="s">
        <v>1892</v>
      </c>
      <c r="F265" s="23" t="str">
        <f t="shared" si="4"/>
        <v>O Pokémon Bergmite evolui para Avalugg</v>
      </c>
    </row>
    <row r="266" spans="1:6" ht="16.5">
      <c r="A266" s="34" t="s">
        <v>801</v>
      </c>
      <c r="B266" s="35" t="s">
        <v>802</v>
      </c>
      <c r="C266" s="46">
        <v>48</v>
      </c>
      <c r="D266" s="60"/>
      <c r="E266" s="61" t="s">
        <v>1892</v>
      </c>
      <c r="F266" s="23" t="str">
        <f t="shared" si="4"/>
        <v>O Pokémon Noibat evolui para Noivern</v>
      </c>
    </row>
    <row r="267" spans="1:6">
      <c r="A267" s="34" t="s">
        <v>51</v>
      </c>
      <c r="B267" s="35" t="s">
        <v>53</v>
      </c>
      <c r="C267" s="56"/>
      <c r="D267" s="47" t="s">
        <v>1917</v>
      </c>
      <c r="E267" s="61" t="s">
        <v>1918</v>
      </c>
      <c r="F267" s="23" t="str">
        <f t="shared" si="4"/>
        <v>O Pokémon Pikachu evolui para Raichu</v>
      </c>
    </row>
    <row r="268" spans="1:6">
      <c r="A268" s="34" t="s">
        <v>58</v>
      </c>
      <c r="B268" s="35" t="s">
        <v>59</v>
      </c>
      <c r="C268" s="56"/>
      <c r="D268" s="47" t="s">
        <v>1919</v>
      </c>
      <c r="E268" s="61" t="s">
        <v>1918</v>
      </c>
      <c r="F268" s="23" t="str">
        <f t="shared" si="4"/>
        <v>O Pokémon Nidorina evolui para Nidoqueen</v>
      </c>
    </row>
    <row r="269" spans="1:6">
      <c r="A269" s="34" t="s">
        <v>61</v>
      </c>
      <c r="B269" s="35" t="s">
        <v>62</v>
      </c>
      <c r="C269" s="56"/>
      <c r="D269" s="47" t="s">
        <v>1919</v>
      </c>
      <c r="E269" s="61" t="s">
        <v>1918</v>
      </c>
      <c r="F269" s="23" t="str">
        <f t="shared" si="4"/>
        <v>O Pokémon Nidorino evolui para Nidoking</v>
      </c>
    </row>
    <row r="270" spans="1:6">
      <c r="A270" s="34" t="s">
        <v>63</v>
      </c>
      <c r="B270" s="35" t="s">
        <v>65</v>
      </c>
      <c r="C270" s="56"/>
      <c r="D270" s="47" t="s">
        <v>1919</v>
      </c>
      <c r="E270" s="61" t="s">
        <v>1918</v>
      </c>
      <c r="F270" s="23" t="str">
        <f t="shared" si="4"/>
        <v>O Pokémon Clefairy evolui para Clefable</v>
      </c>
    </row>
    <row r="271" spans="1:6">
      <c r="A271" s="34" t="s">
        <v>66</v>
      </c>
      <c r="B271" s="35" t="s">
        <v>67</v>
      </c>
      <c r="C271" s="56"/>
      <c r="D271" s="47" t="s">
        <v>1920</v>
      </c>
      <c r="E271" s="61" t="s">
        <v>1918</v>
      </c>
      <c r="F271" s="23" t="str">
        <f t="shared" si="4"/>
        <v>O Pokémon Vulpix evolui para Ninetales</v>
      </c>
    </row>
    <row r="272" spans="1:6">
      <c r="A272" s="34" t="s">
        <v>68</v>
      </c>
      <c r="B272" s="35" t="s">
        <v>69</v>
      </c>
      <c r="C272" s="56"/>
      <c r="D272" s="47" t="s">
        <v>1919</v>
      </c>
      <c r="E272" s="61" t="s">
        <v>1918</v>
      </c>
      <c r="F272" s="23" t="str">
        <f t="shared" si="4"/>
        <v>O Pokémon Jigglypuff evolui para Wigglytuff</v>
      </c>
    </row>
    <row r="273" spans="1:6">
      <c r="A273" s="34" t="s">
        <v>73</v>
      </c>
      <c r="B273" s="35" t="s">
        <v>74</v>
      </c>
      <c r="C273" s="56"/>
      <c r="D273" s="47" t="s">
        <v>1921</v>
      </c>
      <c r="E273" s="61" t="s">
        <v>1918</v>
      </c>
      <c r="F273" s="23" t="str">
        <f t="shared" si="4"/>
        <v>O Pokémon Gloom evolui para Vileplume</v>
      </c>
    </row>
    <row r="274" spans="1:6">
      <c r="A274" s="34" t="s">
        <v>73</v>
      </c>
      <c r="B274" s="35" t="s">
        <v>226</v>
      </c>
      <c r="C274" s="56"/>
      <c r="D274" s="47" t="s">
        <v>1922</v>
      </c>
      <c r="E274" s="61" t="s">
        <v>1918</v>
      </c>
      <c r="F274" s="23" t="str">
        <f t="shared" si="4"/>
        <v>O Pokémon Gloom evolui para Bellossom</v>
      </c>
    </row>
    <row r="275" spans="1:6">
      <c r="A275" s="34" t="s">
        <v>88</v>
      </c>
      <c r="B275" s="35" t="s">
        <v>89</v>
      </c>
      <c r="C275" s="56"/>
      <c r="D275" s="47" t="s">
        <v>1920</v>
      </c>
      <c r="E275" s="61" t="s">
        <v>1918</v>
      </c>
      <c r="F275" s="23" t="str">
        <f t="shared" si="4"/>
        <v>O Pokémon Growlithe evolui para Arcanine</v>
      </c>
    </row>
    <row r="276" spans="1:6">
      <c r="A276" s="34" t="s">
        <v>91</v>
      </c>
      <c r="B276" s="35" t="s">
        <v>92</v>
      </c>
      <c r="C276" s="56"/>
      <c r="D276" s="47" t="s">
        <v>1923</v>
      </c>
      <c r="E276" s="61" t="s">
        <v>1918</v>
      </c>
      <c r="F276" s="23" t="str">
        <f t="shared" si="4"/>
        <v>O Pokémon Poliwhirl evolui para Poliwrath</v>
      </c>
    </row>
    <row r="277" spans="1:6">
      <c r="A277" s="34" t="s">
        <v>102</v>
      </c>
      <c r="B277" s="35" t="s">
        <v>103</v>
      </c>
      <c r="C277" s="56"/>
      <c r="D277" s="47" t="s">
        <v>1921</v>
      </c>
      <c r="E277" s="61" t="s">
        <v>1918</v>
      </c>
      <c r="F277" s="23" t="str">
        <f t="shared" si="4"/>
        <v>O Pokémon Weepinbell evolui para Victreebel</v>
      </c>
    </row>
    <row r="278" spans="1:6">
      <c r="A278" s="34" t="s">
        <v>125</v>
      </c>
      <c r="B278" s="35" t="s">
        <v>126</v>
      </c>
      <c r="C278" s="56"/>
      <c r="D278" s="47" t="s">
        <v>1923</v>
      </c>
      <c r="E278" s="61" t="s">
        <v>1918</v>
      </c>
      <c r="F278" s="23" t="str">
        <f t="shared" si="4"/>
        <v>O Pokémon Shellder evolui para Cloyster</v>
      </c>
    </row>
    <row r="279" spans="1:6">
      <c r="A279" s="34" t="s">
        <v>139</v>
      </c>
      <c r="B279" s="35" t="s">
        <v>140</v>
      </c>
      <c r="C279" s="56"/>
      <c r="D279" s="47" t="s">
        <v>1921</v>
      </c>
      <c r="E279" s="61" t="s">
        <v>1918</v>
      </c>
      <c r="F279" s="23" t="str">
        <f t="shared" si="4"/>
        <v>O Pokémon Exeggcute evolui para Exeggutor</v>
      </c>
    </row>
    <row r="280" spans="1:6">
      <c r="A280" s="34" t="s">
        <v>157</v>
      </c>
      <c r="B280" s="35" t="s">
        <v>158</v>
      </c>
      <c r="C280" s="56"/>
      <c r="D280" s="47" t="s">
        <v>1923</v>
      </c>
      <c r="E280" s="61" t="s">
        <v>1918</v>
      </c>
      <c r="F280" s="23" t="str">
        <f t="shared" si="4"/>
        <v>O Pokémon Staryu evolui para Starmie</v>
      </c>
    </row>
    <row r="281" spans="1:6">
      <c r="A281" s="34" t="s">
        <v>173</v>
      </c>
      <c r="B281" s="35" t="s">
        <v>174</v>
      </c>
      <c r="C281" s="56"/>
      <c r="D281" s="47" t="s">
        <v>1923</v>
      </c>
      <c r="E281" s="61" t="s">
        <v>1918</v>
      </c>
      <c r="F281" s="23" t="str">
        <f t="shared" si="4"/>
        <v>O Pokémon Eevee evolui para Vaporeon</v>
      </c>
    </row>
    <row r="282" spans="1:6">
      <c r="A282" s="34" t="s">
        <v>173</v>
      </c>
      <c r="B282" s="35" t="s">
        <v>175</v>
      </c>
      <c r="C282" s="56"/>
      <c r="D282" s="47" t="s">
        <v>1917</v>
      </c>
      <c r="E282" s="61" t="s">
        <v>1918</v>
      </c>
      <c r="F282" s="23" t="str">
        <f t="shared" si="4"/>
        <v>O Pokémon Eevee evolui para Jolteon</v>
      </c>
    </row>
    <row r="283" spans="1:6">
      <c r="A283" s="34" t="s">
        <v>173</v>
      </c>
      <c r="B283" s="35" t="s">
        <v>176</v>
      </c>
      <c r="C283" s="56"/>
      <c r="D283" s="47" t="s">
        <v>1920</v>
      </c>
      <c r="E283" s="61" t="s">
        <v>1918</v>
      </c>
      <c r="F283" s="23" t="str">
        <f t="shared" si="4"/>
        <v>O Pokémon Eevee evolui para Flareon</v>
      </c>
    </row>
    <row r="284" spans="1:6">
      <c r="A284" s="34" t="s">
        <v>219</v>
      </c>
      <c r="B284" s="35" t="s">
        <v>534</v>
      </c>
      <c r="C284" s="56"/>
      <c r="D284" s="47" t="s">
        <v>1924</v>
      </c>
      <c r="E284" s="61" t="s">
        <v>1918</v>
      </c>
      <c r="F284" s="23" t="str">
        <f t="shared" si="4"/>
        <v>O Pokémon Togetic evolui para Togekiss</v>
      </c>
    </row>
    <row r="285" spans="1:6">
      <c r="A285" s="34" t="s">
        <v>235</v>
      </c>
      <c r="B285" s="35" t="s">
        <v>236</v>
      </c>
      <c r="C285" s="56"/>
      <c r="D285" s="47" t="s">
        <v>1922</v>
      </c>
      <c r="E285" s="61" t="s">
        <v>1918</v>
      </c>
      <c r="F285" s="23" t="str">
        <f t="shared" si="4"/>
        <v>O Pokémon Sunkern evolui para Sunflora</v>
      </c>
    </row>
    <row r="286" spans="1:6">
      <c r="A286" s="34" t="s">
        <v>242</v>
      </c>
      <c r="B286" s="35" t="s">
        <v>493</v>
      </c>
      <c r="C286" s="56"/>
      <c r="D286" s="47" t="s">
        <v>1925</v>
      </c>
      <c r="E286" s="61" t="s">
        <v>1918</v>
      </c>
      <c r="F286" s="23" t="str">
        <f t="shared" si="4"/>
        <v>O Pokémon Murkrow evolui para Honchkrow</v>
      </c>
    </row>
    <row r="287" spans="1:6">
      <c r="A287" s="34" t="s">
        <v>244</v>
      </c>
      <c r="B287" s="35" t="s">
        <v>492</v>
      </c>
      <c r="C287" s="56"/>
      <c r="D287" s="47" t="s">
        <v>1925</v>
      </c>
      <c r="E287" s="61" t="s">
        <v>1918</v>
      </c>
      <c r="F287" s="23" t="str">
        <f t="shared" si="4"/>
        <v>O Pokémon Misdreavus evolui para Mismagius</v>
      </c>
    </row>
    <row r="288" spans="1:6">
      <c r="A288" s="34" t="s">
        <v>320</v>
      </c>
      <c r="B288" s="35" t="s">
        <v>321</v>
      </c>
      <c r="C288" s="56"/>
      <c r="D288" s="47" t="s">
        <v>1923</v>
      </c>
      <c r="E288" s="61" t="s">
        <v>1918</v>
      </c>
      <c r="F288" s="23" t="str">
        <f t="shared" si="4"/>
        <v>O Pokémon Lombre evolui para Ludicolo</v>
      </c>
    </row>
    <row r="289" spans="1:6">
      <c r="A289" s="34" t="s">
        <v>323</v>
      </c>
      <c r="B289" s="35" t="s">
        <v>324</v>
      </c>
      <c r="C289" s="56"/>
      <c r="D289" s="47" t="s">
        <v>1921</v>
      </c>
      <c r="E289" s="61" t="s">
        <v>1918</v>
      </c>
      <c r="F289" s="23" t="str">
        <f t="shared" si="4"/>
        <v>O Pokémon Nuzleaf evolui para Shiftry</v>
      </c>
    </row>
    <row r="290" spans="1:6">
      <c r="A290" s="34" t="s">
        <v>330</v>
      </c>
      <c r="B290" s="35" t="s">
        <v>541</v>
      </c>
      <c r="C290" s="56"/>
      <c r="D290" s="47" t="s">
        <v>1926</v>
      </c>
      <c r="E290" s="61" t="s">
        <v>1918</v>
      </c>
      <c r="F290" s="23" t="str">
        <f t="shared" si="4"/>
        <v>O Pokémon Kirlia evolui para Gallade</v>
      </c>
    </row>
    <row r="291" spans="1:6">
      <c r="A291" s="34" t="s">
        <v>350</v>
      </c>
      <c r="B291" s="35" t="s">
        <v>351</v>
      </c>
      <c r="C291" s="56"/>
      <c r="D291" s="47" t="s">
        <v>1919</v>
      </c>
      <c r="E291" s="61" t="s">
        <v>1918</v>
      </c>
      <c r="F291" s="23" t="str">
        <f t="shared" si="4"/>
        <v>O Pokémon Skitty evolui para Delcatty</v>
      </c>
    </row>
    <row r="292" spans="1:6">
      <c r="A292" s="34" t="s">
        <v>370</v>
      </c>
      <c r="B292" s="35" t="s">
        <v>468</v>
      </c>
      <c r="C292" s="56"/>
      <c r="D292" s="47" t="s">
        <v>1924</v>
      </c>
      <c r="E292" s="61" t="s">
        <v>1918</v>
      </c>
      <c r="F292" s="23" t="str">
        <f t="shared" si="4"/>
        <v>O Pokémon Roselia evolui para Roserade</v>
      </c>
    </row>
    <row r="293" spans="1:6">
      <c r="A293" s="34" t="s">
        <v>419</v>
      </c>
      <c r="B293" s="35" t="s">
        <v>544</v>
      </c>
      <c r="C293" s="56"/>
      <c r="D293" s="47" t="s">
        <v>1927</v>
      </c>
      <c r="E293" s="61" t="s">
        <v>1918</v>
      </c>
      <c r="F293" s="23" t="str">
        <f t="shared" si="4"/>
        <v>O Pokémon Snorunt evolui para Froslass</v>
      </c>
    </row>
    <row r="294" spans="1:6">
      <c r="A294" s="34" t="s">
        <v>585</v>
      </c>
      <c r="B294" s="35" t="s">
        <v>586</v>
      </c>
      <c r="C294" s="56"/>
      <c r="D294" s="47" t="s">
        <v>1921</v>
      </c>
      <c r="E294" s="61" t="s">
        <v>1918</v>
      </c>
      <c r="F294" s="23" t="str">
        <f t="shared" si="4"/>
        <v>O Pokémon Pansage evolui para Simisage</v>
      </c>
    </row>
    <row r="295" spans="1:6">
      <c r="A295" s="34" t="s">
        <v>587</v>
      </c>
      <c r="B295" s="35" t="s">
        <v>588</v>
      </c>
      <c r="C295" s="56"/>
      <c r="D295" s="47" t="s">
        <v>1920</v>
      </c>
      <c r="E295" s="61" t="s">
        <v>1918</v>
      </c>
      <c r="F295" s="23" t="str">
        <f t="shared" si="4"/>
        <v>O Pokémon Pansear evolui para Simisear</v>
      </c>
    </row>
    <row r="296" spans="1:6">
      <c r="A296" s="34" t="s">
        <v>589</v>
      </c>
      <c r="B296" s="35" t="s">
        <v>590</v>
      </c>
      <c r="C296" s="56"/>
      <c r="D296" s="47" t="s">
        <v>1923</v>
      </c>
      <c r="E296" s="61" t="s">
        <v>1918</v>
      </c>
      <c r="F296" s="23" t="str">
        <f t="shared" si="4"/>
        <v>O Pokémon Panpour evolui para Simipour</v>
      </c>
    </row>
    <row r="297" spans="1:6">
      <c r="A297" s="34" t="s">
        <v>591</v>
      </c>
      <c r="B297" s="35" t="s">
        <v>592</v>
      </c>
      <c r="C297" s="56"/>
      <c r="D297" s="47" t="s">
        <v>1919</v>
      </c>
      <c r="E297" s="61" t="s">
        <v>1918</v>
      </c>
      <c r="F297" s="23" t="str">
        <f t="shared" si="4"/>
        <v>O Pokémon Munna evolui para Musharna</v>
      </c>
    </row>
    <row r="298" spans="1:6">
      <c r="A298" s="34" t="s">
        <v>620</v>
      </c>
      <c r="B298" s="35" t="s">
        <v>621</v>
      </c>
      <c r="C298" s="56"/>
      <c r="D298" s="47" t="s">
        <v>1922</v>
      </c>
      <c r="E298" s="61" t="s">
        <v>1918</v>
      </c>
      <c r="F298" s="23" t="str">
        <f t="shared" si="4"/>
        <v>O Pokémon Cottonee evolui para Whimsicott</v>
      </c>
    </row>
    <row r="299" spans="1:6">
      <c r="A299" s="34" t="s">
        <v>622</v>
      </c>
      <c r="B299" s="35" t="s">
        <v>623</v>
      </c>
      <c r="C299" s="56"/>
      <c r="D299" s="47" t="s">
        <v>1922</v>
      </c>
      <c r="E299" s="61" t="s">
        <v>1918</v>
      </c>
      <c r="F299" s="23" t="str">
        <f t="shared" si="4"/>
        <v>O Pokémon Petilil evolui para Lilligant</v>
      </c>
    </row>
    <row r="300" spans="1:6">
      <c r="A300" s="34" t="s">
        <v>647</v>
      </c>
      <c r="B300" s="35" t="s">
        <v>648</v>
      </c>
      <c r="C300" s="56"/>
      <c r="D300" s="47" t="s">
        <v>1924</v>
      </c>
      <c r="E300" s="61" t="s">
        <v>1918</v>
      </c>
      <c r="F300" s="23" t="str">
        <f t="shared" si="4"/>
        <v>O Pokémon Minccino evolui para Cinccino</v>
      </c>
    </row>
    <row r="301" spans="1:6">
      <c r="A301" s="34" t="s">
        <v>678</v>
      </c>
      <c r="B301" s="35" t="s">
        <v>679</v>
      </c>
      <c r="C301" s="56"/>
      <c r="D301" s="47" t="s">
        <v>1917</v>
      </c>
      <c r="E301" s="61" t="s">
        <v>1918</v>
      </c>
      <c r="F301" s="23" t="str">
        <f t="shared" si="4"/>
        <v>O Pokémon Eelektrik evolui para Eelektross</v>
      </c>
    </row>
    <row r="302" spans="1:6">
      <c r="A302" s="34" t="s">
        <v>683</v>
      </c>
      <c r="B302" s="35" t="s">
        <v>684</v>
      </c>
      <c r="C302" s="56"/>
      <c r="D302" s="47" t="s">
        <v>1925</v>
      </c>
      <c r="E302" s="61" t="s">
        <v>1918</v>
      </c>
      <c r="F302" s="23" t="str">
        <f t="shared" si="4"/>
        <v>O Pokémon Lampent evolui para Chandelure</v>
      </c>
    </row>
    <row r="303" spans="1:6">
      <c r="A303" s="34" t="s">
        <v>750</v>
      </c>
      <c r="B303" s="35" t="s">
        <v>751</v>
      </c>
      <c r="C303" s="56"/>
      <c r="D303" s="47" t="s">
        <v>1924</v>
      </c>
      <c r="E303" s="61" t="s">
        <v>1918</v>
      </c>
      <c r="F303" s="23" t="str">
        <f t="shared" si="4"/>
        <v>O Pokémon Floette evolui para Florges</v>
      </c>
    </row>
    <row r="304" spans="1:6">
      <c r="A304" s="38" t="s">
        <v>760</v>
      </c>
      <c r="B304" s="39" t="s">
        <v>1928</v>
      </c>
      <c r="C304" s="57"/>
      <c r="D304" s="48" t="s">
        <v>1925</v>
      </c>
      <c r="E304" s="61" t="s">
        <v>1918</v>
      </c>
      <c r="F304" s="23" t="str">
        <f t="shared" si="4"/>
        <v>O Pokémon Doublade evolui para Aegislash(Blade Forme)</v>
      </c>
    </row>
    <row r="305" spans="1:6">
      <c r="A305" s="38" t="s">
        <v>760</v>
      </c>
      <c r="B305" s="39" t="s">
        <v>1929</v>
      </c>
      <c r="C305" s="57"/>
      <c r="D305" s="48" t="s">
        <v>1925</v>
      </c>
      <c r="E305" s="61" t="s">
        <v>1918</v>
      </c>
      <c r="F305" s="23" t="str">
        <f t="shared" si="4"/>
        <v>O Pokémon Doublade evolui para Aegislash(Shield Forme)</v>
      </c>
    </row>
    <row r="306" spans="1:6">
      <c r="A306" s="34" t="s">
        <v>775</v>
      </c>
      <c r="B306" s="35" t="s">
        <v>776</v>
      </c>
      <c r="C306" s="56"/>
      <c r="D306" s="47" t="s">
        <v>1922</v>
      </c>
      <c r="E306" s="61" t="s">
        <v>1918</v>
      </c>
      <c r="F306" s="23" t="str">
        <f t="shared" si="4"/>
        <v>O Pokémon Helioptile evolui para Heliolisk</v>
      </c>
    </row>
    <row r="307" spans="1:6">
      <c r="A307" s="34" t="s">
        <v>91</v>
      </c>
      <c r="B307" s="35" t="s">
        <v>230</v>
      </c>
      <c r="C307" s="56"/>
      <c r="D307" s="37" t="s">
        <v>1930</v>
      </c>
      <c r="E307" s="61" t="s">
        <v>1931</v>
      </c>
      <c r="F307" s="23" t="str">
        <f t="shared" si="4"/>
        <v>O Pokémon Poliwhirl evolui para Politoed</v>
      </c>
    </row>
    <row r="308" spans="1:6">
      <c r="A308" s="34" t="s">
        <v>95</v>
      </c>
      <c r="B308" s="35" t="s">
        <v>96</v>
      </c>
      <c r="C308" s="56"/>
      <c r="D308" s="37"/>
      <c r="E308" s="61" t="s">
        <v>1931</v>
      </c>
      <c r="F308" s="23" t="str">
        <f t="shared" si="4"/>
        <v>O Pokémon Kadabra evolui para Alakazam</v>
      </c>
    </row>
    <row r="309" spans="1:6">
      <c r="A309" s="34" t="s">
        <v>99</v>
      </c>
      <c r="B309" s="35" t="s">
        <v>100</v>
      </c>
      <c r="C309" s="56"/>
      <c r="D309" s="37"/>
      <c r="E309" s="61" t="s">
        <v>1931</v>
      </c>
      <c r="F309" s="23" t="str">
        <f t="shared" si="4"/>
        <v>O Pokémon Machoke evolui para Machamp</v>
      </c>
    </row>
    <row r="310" spans="1:6">
      <c r="A310" s="34" t="s">
        <v>108</v>
      </c>
      <c r="B310" s="35" t="s">
        <v>109</v>
      </c>
      <c r="C310" s="56"/>
      <c r="D310" s="37"/>
      <c r="E310" s="61" t="s">
        <v>1931</v>
      </c>
      <c r="F310" s="23" t="str">
        <f t="shared" si="4"/>
        <v>O Pokémon Graveler evolui para Golem</v>
      </c>
    </row>
    <row r="311" spans="1:6">
      <c r="A311" s="34" t="s">
        <v>112</v>
      </c>
      <c r="B311" s="35" t="s">
        <v>243</v>
      </c>
      <c r="C311" s="56"/>
      <c r="D311" s="37" t="s">
        <v>1930</v>
      </c>
      <c r="E311" s="61" t="s">
        <v>1931</v>
      </c>
      <c r="F311" s="23" t="str">
        <f t="shared" si="4"/>
        <v>O Pokémon Slowpoke evolui para Slowking</v>
      </c>
    </row>
    <row r="312" spans="1:6">
      <c r="A312" s="34" t="s">
        <v>129</v>
      </c>
      <c r="B312" s="35" t="s">
        <v>130</v>
      </c>
      <c r="C312" s="56"/>
      <c r="D312" s="37"/>
      <c r="E312" s="61" t="s">
        <v>1931</v>
      </c>
      <c r="F312" s="23" t="str">
        <f t="shared" si="4"/>
        <v>O Pokémon Haunter evolui para Gengar</v>
      </c>
    </row>
    <row r="313" spans="1:6">
      <c r="A313" s="34" t="s">
        <v>132</v>
      </c>
      <c r="B313" s="35" t="s">
        <v>252</v>
      </c>
      <c r="C313" s="56"/>
      <c r="D313" s="37" t="s">
        <v>1932</v>
      </c>
      <c r="E313" s="61" t="s">
        <v>1931</v>
      </c>
      <c r="F313" s="23" t="str">
        <f t="shared" si="4"/>
        <v>O Pokémon Onix evolui para Steelix</v>
      </c>
    </row>
    <row r="314" spans="1:6">
      <c r="A314" s="34" t="s">
        <v>149</v>
      </c>
      <c r="B314" s="35" t="s">
        <v>530</v>
      </c>
      <c r="C314" s="56"/>
      <c r="D314" s="37" t="s">
        <v>1933</v>
      </c>
      <c r="E314" s="61" t="s">
        <v>1931</v>
      </c>
      <c r="F314" s="23" t="str">
        <f t="shared" si="4"/>
        <v>O Pokémon Rhydon evolui para Rhyperior</v>
      </c>
    </row>
    <row r="315" spans="1:6">
      <c r="A315" s="34" t="s">
        <v>154</v>
      </c>
      <c r="B315" s="35" t="s">
        <v>277</v>
      </c>
      <c r="C315" s="56"/>
      <c r="D315" s="37" t="s">
        <v>1934</v>
      </c>
      <c r="E315" s="61" t="s">
        <v>1931</v>
      </c>
      <c r="F315" s="23" t="str">
        <f t="shared" si="4"/>
        <v>O Pokémon Seadra evolui para Kingdra</v>
      </c>
    </row>
    <row r="316" spans="1:6">
      <c r="A316" s="34" t="s">
        <v>160</v>
      </c>
      <c r="B316" s="35" t="s">
        <v>256</v>
      </c>
      <c r="C316" s="56"/>
      <c r="D316" s="37" t="s">
        <v>1932</v>
      </c>
      <c r="E316" s="61" t="s">
        <v>1931</v>
      </c>
      <c r="F316" s="23" t="str">
        <f t="shared" si="4"/>
        <v>O Pokémon Scyther evolui para Scizor</v>
      </c>
    </row>
    <row r="317" spans="1:6">
      <c r="A317" s="34" t="s">
        <v>162</v>
      </c>
      <c r="B317" s="35" t="s">
        <v>532</v>
      </c>
      <c r="C317" s="56"/>
      <c r="D317" s="37" t="s">
        <v>1935</v>
      </c>
      <c r="E317" s="61" t="s">
        <v>1931</v>
      </c>
      <c r="F317" s="23" t="str">
        <f t="shared" si="4"/>
        <v>O Pokémon Electabuzz evolui para Electivire</v>
      </c>
    </row>
    <row r="318" spans="1:6">
      <c r="A318" s="34" t="s">
        <v>163</v>
      </c>
      <c r="B318" s="35" t="s">
        <v>533</v>
      </c>
      <c r="C318" s="56"/>
      <c r="D318" s="37" t="s">
        <v>1936</v>
      </c>
      <c r="E318" s="61" t="s">
        <v>1931</v>
      </c>
      <c r="F318" s="23" t="str">
        <f t="shared" si="4"/>
        <v>O Pokémon Magmar evolui para Magmortar</v>
      </c>
    </row>
    <row r="319" spans="1:6">
      <c r="A319" s="34" t="s">
        <v>177</v>
      </c>
      <c r="B319" s="35" t="s">
        <v>280</v>
      </c>
      <c r="C319" s="56"/>
      <c r="D319" s="37" t="s">
        <v>1937</v>
      </c>
      <c r="E319" s="61" t="s">
        <v>1931</v>
      </c>
      <c r="F319" s="23" t="str">
        <f t="shared" si="4"/>
        <v>O Pokémon Porygon evolui para Porygon2</v>
      </c>
    </row>
    <row r="320" spans="1:6">
      <c r="A320" s="34" t="s">
        <v>280</v>
      </c>
      <c r="B320" s="35" t="s">
        <v>540</v>
      </c>
      <c r="C320" s="56"/>
      <c r="D320" s="37" t="s">
        <v>1938</v>
      </c>
      <c r="E320" s="61" t="s">
        <v>1931</v>
      </c>
      <c r="F320" s="23" t="str">
        <f t="shared" si="4"/>
        <v>O Pokémon Porygon2 evolui para Porygon-Z</v>
      </c>
    </row>
    <row r="321" spans="1:6">
      <c r="A321" s="34" t="s">
        <v>405</v>
      </c>
      <c r="B321" s="35" t="s">
        <v>406</v>
      </c>
      <c r="C321" s="56"/>
      <c r="D321" s="37" t="s">
        <v>1939</v>
      </c>
      <c r="E321" s="61" t="s">
        <v>1931</v>
      </c>
      <c r="F321" s="23" t="str">
        <f t="shared" ref="F321:F384" si="5">"O Pokémon " &amp; A321 &amp;
" evolui para " &amp;
B321</f>
        <v>O Pokémon Feebas evolui para Milotic</v>
      </c>
    </row>
    <row r="322" spans="1:6">
      <c r="A322" s="34" t="s">
        <v>413</v>
      </c>
      <c r="B322" s="35" t="s">
        <v>543</v>
      </c>
      <c r="C322" s="56"/>
      <c r="D322" s="37" t="s">
        <v>1940</v>
      </c>
      <c r="E322" s="61" t="s">
        <v>1931</v>
      </c>
      <c r="F322" s="23" t="str">
        <f t="shared" si="5"/>
        <v>O Pokémon Dusclops evolui para Dusknoir</v>
      </c>
    </row>
    <row r="323" spans="1:6">
      <c r="A323" s="34" t="s">
        <v>424</v>
      </c>
      <c r="B323" s="35" t="s">
        <v>425</v>
      </c>
      <c r="C323" s="56"/>
      <c r="D323" s="37" t="s">
        <v>1941</v>
      </c>
      <c r="E323" s="61" t="s">
        <v>1931</v>
      </c>
      <c r="F323" s="23" t="str">
        <f t="shared" si="5"/>
        <v>O Pokémon Clamperl evolui para Huntail</v>
      </c>
    </row>
    <row r="324" spans="1:6">
      <c r="A324" s="34" t="s">
        <v>424</v>
      </c>
      <c r="B324" s="35" t="s">
        <v>426</v>
      </c>
      <c r="C324" s="56"/>
      <c r="D324" s="37" t="s">
        <v>1942</v>
      </c>
      <c r="E324" s="61" t="s">
        <v>1931</v>
      </c>
      <c r="F324" s="23" t="str">
        <f t="shared" si="5"/>
        <v>O Pokémon Clamperl evolui para Gorebyss</v>
      </c>
    </row>
    <row r="325" spans="1:6">
      <c r="A325" s="34" t="s">
        <v>599</v>
      </c>
      <c r="B325" s="35" t="s">
        <v>600</v>
      </c>
      <c r="C325" s="56"/>
      <c r="D325" s="37"/>
      <c r="E325" s="61" t="s">
        <v>1931</v>
      </c>
      <c r="F325" s="23" t="str">
        <f t="shared" si="5"/>
        <v>O Pokémon Boldore evolui para Gigalith</v>
      </c>
    </row>
    <row r="326" spans="1:6">
      <c r="A326" s="34" t="s">
        <v>607</v>
      </c>
      <c r="B326" s="35" t="s">
        <v>608</v>
      </c>
      <c r="C326" s="56"/>
      <c r="D326" s="37"/>
      <c r="E326" s="61" t="s">
        <v>1931</v>
      </c>
      <c r="F326" s="23" t="str">
        <f t="shared" si="5"/>
        <v>O Pokémon Gurdurr evolui para Conkeldurr</v>
      </c>
    </row>
    <row r="327" spans="1:6">
      <c r="A327" s="34" t="s">
        <v>663</v>
      </c>
      <c r="B327" s="35" t="s">
        <v>664</v>
      </c>
      <c r="C327" s="56"/>
      <c r="D327" s="37" t="s">
        <v>1943</v>
      </c>
      <c r="E327" s="61" t="s">
        <v>1931</v>
      </c>
      <c r="F327" s="23" t="str">
        <f t="shared" si="5"/>
        <v>O Pokémon Karrablast evolui para Escavalier</v>
      </c>
    </row>
    <row r="328" spans="1:6">
      <c r="A328" s="34" t="s">
        <v>691</v>
      </c>
      <c r="B328" s="35" t="s">
        <v>692</v>
      </c>
      <c r="C328" s="56"/>
      <c r="D328" s="37" t="s">
        <v>1944</v>
      </c>
      <c r="E328" s="61" t="s">
        <v>1931</v>
      </c>
      <c r="F328" s="23" t="str">
        <f t="shared" si="5"/>
        <v>O Pokémon Shelmet evolui para Accelgor</v>
      </c>
    </row>
    <row r="329" spans="1:6">
      <c r="A329" s="34" t="s">
        <v>763</v>
      </c>
      <c r="B329" s="35" t="s">
        <v>764</v>
      </c>
      <c r="C329" s="56"/>
      <c r="D329" s="37" t="s">
        <v>1945</v>
      </c>
      <c r="E329" s="61" t="s">
        <v>1931</v>
      </c>
      <c r="F329" s="23" t="str">
        <f t="shared" si="5"/>
        <v>O Pokémon Spritzee evolui para Aromatisse</v>
      </c>
    </row>
    <row r="330" spans="1:6">
      <c r="A330" s="34" t="s">
        <v>765</v>
      </c>
      <c r="B330" s="35" t="s">
        <v>766</v>
      </c>
      <c r="C330" s="56"/>
      <c r="D330" s="37" t="s">
        <v>1946</v>
      </c>
      <c r="E330" s="61" t="s">
        <v>1931</v>
      </c>
      <c r="F330" s="23" t="str">
        <f t="shared" si="5"/>
        <v>O Pokémon Swirlix evolui para Slurpuff</v>
      </c>
    </row>
    <row r="331" spans="1:6">
      <c r="A331" s="34" t="s">
        <v>789</v>
      </c>
      <c r="B331" s="35" t="s">
        <v>790</v>
      </c>
      <c r="C331" s="56"/>
      <c r="D331" s="37"/>
      <c r="E331" s="61" t="s">
        <v>1931</v>
      </c>
      <c r="F331" s="23" t="str">
        <f t="shared" si="5"/>
        <v>O Pokémon Phantump evolui para Trevenant</v>
      </c>
    </row>
    <row r="332" spans="1:6">
      <c r="A332" s="38" t="s">
        <v>1947</v>
      </c>
      <c r="B332" s="39" t="s">
        <v>1948</v>
      </c>
      <c r="C332" s="58"/>
      <c r="D332" s="60"/>
      <c r="E332" s="61" t="s">
        <v>1931</v>
      </c>
      <c r="F332" s="23" t="str">
        <f t="shared" si="5"/>
        <v>O Pokémon Pumpkaboo evolui para Gourgeist</v>
      </c>
    </row>
    <row r="333" spans="1:6">
      <c r="A333" s="49" t="s">
        <v>1949</v>
      </c>
      <c r="B333" s="50" t="s">
        <v>1949</v>
      </c>
      <c r="C333" s="59"/>
      <c r="D333" s="60"/>
      <c r="E333" s="61" t="s">
        <v>1931</v>
      </c>
      <c r="F333" s="23" t="str">
        <f t="shared" si="5"/>
        <v>O Pokémon Average Size evolui para Average Size</v>
      </c>
    </row>
    <row r="334" spans="1:6" ht="24.75">
      <c r="A334" s="34" t="s">
        <v>116</v>
      </c>
      <c r="B334" s="35" t="s">
        <v>528</v>
      </c>
      <c r="C334" s="46"/>
      <c r="D334" s="47" t="s">
        <v>1950</v>
      </c>
      <c r="E334" s="61" t="s">
        <v>1951</v>
      </c>
      <c r="F334" s="23" t="str">
        <f t="shared" si="5"/>
        <v>O Pokémon Magneton evolui para Magnezone</v>
      </c>
    </row>
    <row r="335" spans="1:6" ht="16.5">
      <c r="A335" s="34" t="s">
        <v>283</v>
      </c>
      <c r="B335" s="35" t="s">
        <v>143</v>
      </c>
      <c r="C335" s="46">
        <v>20</v>
      </c>
      <c r="D335" s="47" t="s">
        <v>1896</v>
      </c>
      <c r="E335" s="61" t="s">
        <v>1951</v>
      </c>
      <c r="F335" s="23" t="str">
        <f t="shared" si="5"/>
        <v>O Pokémon Tyrogue evolui para Hitmonlee</v>
      </c>
    </row>
    <row r="336" spans="1:6" ht="16.5">
      <c r="A336" s="34" t="s">
        <v>283</v>
      </c>
      <c r="B336" s="35" t="s">
        <v>144</v>
      </c>
      <c r="C336" s="46">
        <v>20</v>
      </c>
      <c r="D336" s="47" t="s">
        <v>1897</v>
      </c>
      <c r="E336" s="61" t="s">
        <v>1951</v>
      </c>
      <c r="F336" s="23" t="str">
        <f t="shared" si="5"/>
        <v>O Pokémon Tyrogue evolui para Hitmonchan</v>
      </c>
    </row>
    <row r="337" spans="1:6" ht="16.5">
      <c r="A337" s="34" t="s">
        <v>283</v>
      </c>
      <c r="B337" s="35" t="s">
        <v>284</v>
      </c>
      <c r="C337" s="46">
        <v>20</v>
      </c>
      <c r="D337" s="47" t="s">
        <v>1898</v>
      </c>
      <c r="E337" s="61" t="s">
        <v>1951</v>
      </c>
      <c r="F337" s="23" t="str">
        <f t="shared" si="5"/>
        <v>O Pokémon Tyrogue evolui para Hitmontop</v>
      </c>
    </row>
    <row r="338" spans="1:6" ht="16.5">
      <c r="A338" s="34" t="s">
        <v>145</v>
      </c>
      <c r="B338" s="35" t="s">
        <v>529</v>
      </c>
      <c r="C338" s="46"/>
      <c r="D338" s="47" t="s">
        <v>1952</v>
      </c>
      <c r="E338" s="61" t="s">
        <v>1951</v>
      </c>
      <c r="F338" s="23" t="str">
        <f t="shared" si="5"/>
        <v>O Pokémon Lickitung evolui para Lickilicky</v>
      </c>
    </row>
    <row r="339" spans="1:6" ht="16.5">
      <c r="A339" s="34" t="s">
        <v>503</v>
      </c>
      <c r="B339" s="35" t="s">
        <v>150</v>
      </c>
      <c r="C339" s="46"/>
      <c r="D339" s="47" t="s">
        <v>1953</v>
      </c>
      <c r="E339" s="61" t="s">
        <v>1951</v>
      </c>
      <c r="F339" s="23" t="str">
        <f t="shared" si="5"/>
        <v>O Pokémon Happiny evolui para Chansey</v>
      </c>
    </row>
    <row r="340" spans="1:6" ht="16.5">
      <c r="A340" s="34" t="s">
        <v>151</v>
      </c>
      <c r="B340" s="35" t="s">
        <v>531</v>
      </c>
      <c r="C340" s="46"/>
      <c r="D340" s="47" t="s">
        <v>1954</v>
      </c>
      <c r="E340" s="61" t="s">
        <v>1951</v>
      </c>
      <c r="F340" s="23" t="str">
        <f t="shared" si="5"/>
        <v>O Pokémon Tangela evolui para Tangrowth</v>
      </c>
    </row>
    <row r="341" spans="1:6" ht="16.5">
      <c r="A341" s="34" t="s">
        <v>502</v>
      </c>
      <c r="B341" s="35" t="s">
        <v>159</v>
      </c>
      <c r="C341" s="46"/>
      <c r="D341" s="47" t="s">
        <v>1955</v>
      </c>
      <c r="E341" s="61" t="s">
        <v>1951</v>
      </c>
      <c r="F341" s="23" t="str">
        <f t="shared" si="5"/>
        <v>O Pokémon Mime Jr. evolui para Mr. Mime</v>
      </c>
    </row>
    <row r="342" spans="1:6" ht="24.75">
      <c r="A342" s="34" t="s">
        <v>173</v>
      </c>
      <c r="B342" s="35" t="s">
        <v>536</v>
      </c>
      <c r="C342" s="46"/>
      <c r="D342" s="47" t="s">
        <v>1956</v>
      </c>
      <c r="E342" s="61" t="s">
        <v>1951</v>
      </c>
      <c r="F342" s="23" t="str">
        <f t="shared" si="5"/>
        <v>O Pokémon Eevee evolui para Leafeon</v>
      </c>
    </row>
    <row r="343" spans="1:6" ht="24.75">
      <c r="A343" s="34" t="s">
        <v>173</v>
      </c>
      <c r="B343" s="35" t="s">
        <v>537</v>
      </c>
      <c r="C343" s="46"/>
      <c r="D343" s="47" t="s">
        <v>1957</v>
      </c>
      <c r="E343" s="61" t="s">
        <v>1951</v>
      </c>
      <c r="F343" s="23" t="str">
        <f t="shared" si="5"/>
        <v>O Pokémon Eevee evolui para Glaceon</v>
      </c>
    </row>
    <row r="344" spans="1:6" ht="37.5">
      <c r="A344" s="34" t="s">
        <v>173</v>
      </c>
      <c r="B344" s="35" t="s">
        <v>781</v>
      </c>
      <c r="C344" s="46"/>
      <c r="D344" s="47" t="s">
        <v>1958</v>
      </c>
      <c r="E344" s="61" t="s">
        <v>1951</v>
      </c>
      <c r="F344" s="23" t="str">
        <f t="shared" si="5"/>
        <v>O Pokémon Eevee evolui para Sylveon</v>
      </c>
    </row>
    <row r="345" spans="1:6" ht="16.5">
      <c r="A345" s="34" t="s">
        <v>501</v>
      </c>
      <c r="B345" s="35" t="s">
        <v>229</v>
      </c>
      <c r="C345" s="46"/>
      <c r="D345" s="47" t="s">
        <v>1955</v>
      </c>
      <c r="E345" s="61" t="s">
        <v>1951</v>
      </c>
      <c r="F345" s="23" t="str">
        <f t="shared" si="5"/>
        <v>O Pokémon Bonsly evolui para Sudowoodo</v>
      </c>
    </row>
    <row r="346" spans="1:6" ht="16.5">
      <c r="A346" s="34" t="s">
        <v>234</v>
      </c>
      <c r="B346" s="35" t="s">
        <v>487</v>
      </c>
      <c r="C346" s="46"/>
      <c r="D346" s="47" t="s">
        <v>1959</v>
      </c>
      <c r="E346" s="61" t="s">
        <v>1951</v>
      </c>
      <c r="F346" s="23" t="str">
        <f t="shared" si="5"/>
        <v>O Pokémon Aipom evolui para Ambipom</v>
      </c>
    </row>
    <row r="347" spans="1:6" ht="16.5">
      <c r="A347" s="34" t="s">
        <v>237</v>
      </c>
      <c r="B347" s="35" t="s">
        <v>535</v>
      </c>
      <c r="C347" s="46"/>
      <c r="D347" s="47" t="s">
        <v>1954</v>
      </c>
      <c r="E347" s="61" t="s">
        <v>1951</v>
      </c>
      <c r="F347" s="23" t="str">
        <f t="shared" si="5"/>
        <v>O Pokémon Yanma evolui para Yanmega</v>
      </c>
    </row>
    <row r="348" spans="1:6" ht="16.5">
      <c r="A348" s="34" t="s">
        <v>251</v>
      </c>
      <c r="B348" s="35" t="s">
        <v>538</v>
      </c>
      <c r="C348" s="46"/>
      <c r="D348" s="47" t="s">
        <v>1960</v>
      </c>
      <c r="E348" s="61" t="s">
        <v>1951</v>
      </c>
      <c r="F348" s="23" t="str">
        <f t="shared" si="5"/>
        <v>O Pokémon Gligar evolui para Gliscor</v>
      </c>
    </row>
    <row r="349" spans="1:6" ht="16.5">
      <c r="A349" s="34" t="s">
        <v>261</v>
      </c>
      <c r="B349" s="35" t="s">
        <v>527</v>
      </c>
      <c r="C349" s="46"/>
      <c r="D349" s="47" t="s">
        <v>1961</v>
      </c>
      <c r="E349" s="61" t="s">
        <v>1951</v>
      </c>
      <c r="F349" s="23" t="str">
        <f t="shared" si="5"/>
        <v>O Pokémon Sneasel evolui para Weavile</v>
      </c>
    </row>
    <row r="350" spans="1:6" ht="16.5">
      <c r="A350" s="34" t="s">
        <v>267</v>
      </c>
      <c r="B350" s="35" t="s">
        <v>539</v>
      </c>
      <c r="C350" s="46"/>
      <c r="D350" s="47" t="s">
        <v>1954</v>
      </c>
      <c r="E350" s="61" t="s">
        <v>1951</v>
      </c>
      <c r="F350" s="23" t="str">
        <f t="shared" si="5"/>
        <v>O Pokémon Piloswine evolui para Mamoswine</v>
      </c>
    </row>
    <row r="351" spans="1:6" ht="16.5">
      <c r="A351" s="34" t="s">
        <v>523</v>
      </c>
      <c r="B351" s="35" t="s">
        <v>272</v>
      </c>
      <c r="C351" s="46"/>
      <c r="D351" s="47" t="s">
        <v>1962</v>
      </c>
      <c r="E351" s="61" t="s">
        <v>1951</v>
      </c>
      <c r="F351" s="23" t="str">
        <f t="shared" si="5"/>
        <v>O Pokémon Mantyke evolui para Mantine</v>
      </c>
    </row>
    <row r="352" spans="1:6" ht="16.5">
      <c r="A352" s="34" t="s">
        <v>314</v>
      </c>
      <c r="B352" s="35" t="s">
        <v>315</v>
      </c>
      <c r="C352" s="46">
        <v>7</v>
      </c>
      <c r="D352" s="47" t="s">
        <v>1899</v>
      </c>
      <c r="E352" s="61" t="s">
        <v>1951</v>
      </c>
      <c r="F352" s="23" t="str">
        <f t="shared" si="5"/>
        <v>O Pokémon Wurmple evolui para Silcoon</v>
      </c>
    </row>
    <row r="353" spans="1:6" ht="16.5">
      <c r="A353" s="34" t="s">
        <v>314</v>
      </c>
      <c r="B353" s="35" t="s">
        <v>317</v>
      </c>
      <c r="C353" s="46">
        <v>7</v>
      </c>
      <c r="D353" s="47" t="s">
        <v>1899</v>
      </c>
      <c r="E353" s="61" t="s">
        <v>1951</v>
      </c>
      <c r="F353" s="23" t="str">
        <f t="shared" si="5"/>
        <v>O Pokémon Wurmple evolui para Cascoon</v>
      </c>
    </row>
    <row r="354" spans="1:6" ht="16.5">
      <c r="A354" s="34" t="s">
        <v>340</v>
      </c>
      <c r="B354" s="35" t="s">
        <v>342</v>
      </c>
      <c r="C354" s="46">
        <v>20</v>
      </c>
      <c r="D354" s="47" t="s">
        <v>1900</v>
      </c>
      <c r="E354" s="61" t="s">
        <v>1951</v>
      </c>
      <c r="F354" s="23" t="str">
        <f t="shared" si="5"/>
        <v>O Pokémon Nincada evolui para Shedinja</v>
      </c>
    </row>
    <row r="355" spans="1:6" ht="24.75">
      <c r="A355" s="34" t="s">
        <v>349</v>
      </c>
      <c r="B355" s="35" t="s">
        <v>542</v>
      </c>
      <c r="C355" s="46"/>
      <c r="D355" s="47" t="s">
        <v>1950</v>
      </c>
      <c r="E355" s="61" t="s">
        <v>1951</v>
      </c>
      <c r="F355" s="23" t="str">
        <f t="shared" si="5"/>
        <v>O Pokémon Nosepass evolui para Probopass</v>
      </c>
    </row>
    <row r="356" spans="1:6" ht="16.5">
      <c r="A356" s="34" t="s">
        <v>405</v>
      </c>
      <c r="B356" s="35" t="s">
        <v>406</v>
      </c>
      <c r="C356" s="46"/>
      <c r="D356" s="47" t="s">
        <v>1963</v>
      </c>
      <c r="E356" s="61" t="s">
        <v>1951</v>
      </c>
      <c r="F356" s="23" t="str">
        <f t="shared" si="5"/>
        <v>O Pokémon Feebas evolui para Milotic</v>
      </c>
    </row>
    <row r="357" spans="1:6" ht="16.5">
      <c r="A357" s="34" t="s">
        <v>473</v>
      </c>
      <c r="B357" s="35" t="s">
        <v>477</v>
      </c>
      <c r="C357" s="46">
        <v>20</v>
      </c>
      <c r="D357" s="47" t="s">
        <v>1901</v>
      </c>
      <c r="E357" s="61" t="s">
        <v>1951</v>
      </c>
      <c r="F357" s="23" t="str">
        <f t="shared" si="5"/>
        <v>O Pokémon Burmy evolui para Mothim</v>
      </c>
    </row>
    <row r="358" spans="1:6" ht="16.5">
      <c r="A358" s="38" t="s">
        <v>473</v>
      </c>
      <c r="B358" s="39" t="s">
        <v>1902</v>
      </c>
      <c r="C358" s="51">
        <v>20</v>
      </c>
      <c r="D358" s="48" t="s">
        <v>1903</v>
      </c>
      <c r="E358" s="61" t="s">
        <v>1951</v>
      </c>
      <c r="F358" s="23" t="str">
        <f t="shared" si="5"/>
        <v>O Pokémon Burmy evolui para Wormadam</v>
      </c>
    </row>
    <row r="359" spans="1:6" ht="16.5">
      <c r="A359" s="42"/>
      <c r="B359" s="50" t="s">
        <v>1904</v>
      </c>
      <c r="C359" s="52"/>
      <c r="D359" s="53"/>
      <c r="E359" s="61" t="s">
        <v>1951</v>
      </c>
      <c r="F359" s="23" t="str">
        <f t="shared" si="5"/>
        <v>O Pokémon  evolui para Plant Cloak</v>
      </c>
    </row>
    <row r="360" spans="1:6" ht="16.5">
      <c r="A360" s="38" t="s">
        <v>473</v>
      </c>
      <c r="B360" s="39" t="s">
        <v>1902</v>
      </c>
      <c r="C360" s="51">
        <v>20</v>
      </c>
      <c r="D360" s="48" t="s">
        <v>1905</v>
      </c>
      <c r="E360" s="61" t="s">
        <v>1951</v>
      </c>
      <c r="F360" s="23" t="str">
        <f t="shared" si="5"/>
        <v>O Pokémon Burmy evolui para Wormadam</v>
      </c>
    </row>
    <row r="361" spans="1:6" ht="16.5">
      <c r="A361" s="42"/>
      <c r="B361" s="50" t="s">
        <v>1906</v>
      </c>
      <c r="C361" s="52"/>
      <c r="D361" s="53"/>
      <c r="E361" s="61" t="s">
        <v>1951</v>
      </c>
      <c r="F361" s="23" t="str">
        <f t="shared" si="5"/>
        <v>O Pokémon  evolui para Sandy Cloak</v>
      </c>
    </row>
    <row r="362" spans="1:6" ht="16.5">
      <c r="A362" s="38" t="s">
        <v>473</v>
      </c>
      <c r="B362" s="39" t="s">
        <v>1902</v>
      </c>
      <c r="C362" s="51">
        <v>20</v>
      </c>
      <c r="D362" s="48" t="s">
        <v>1907</v>
      </c>
      <c r="E362" s="61" t="s">
        <v>1951</v>
      </c>
      <c r="F362" s="23" t="str">
        <f t="shared" si="5"/>
        <v>O Pokémon Burmy evolui para Wormadam</v>
      </c>
    </row>
    <row r="363" spans="1:6" ht="16.5">
      <c r="A363" s="42"/>
      <c r="B363" s="50" t="s">
        <v>1908</v>
      </c>
      <c r="C363" s="52"/>
      <c r="D363" s="53"/>
      <c r="E363" s="61" t="s">
        <v>1951</v>
      </c>
      <c r="F363" s="23" t="str">
        <f t="shared" si="5"/>
        <v>O Pokémon  evolui para Trash Cloak</v>
      </c>
    </row>
    <row r="364" spans="1:6" ht="16.5">
      <c r="A364" s="34" t="s">
        <v>478</v>
      </c>
      <c r="B364" s="35" t="s">
        <v>479</v>
      </c>
      <c r="C364" s="46">
        <v>21</v>
      </c>
      <c r="D364" s="47" t="s">
        <v>1909</v>
      </c>
      <c r="E364" s="61" t="s">
        <v>1951</v>
      </c>
      <c r="F364" s="23" t="str">
        <f t="shared" si="5"/>
        <v>O Pokémon Combee evolui para Vespiquen</v>
      </c>
    </row>
    <row r="365" spans="1:6" ht="16.5">
      <c r="A365" s="34" t="s">
        <v>663</v>
      </c>
      <c r="B365" s="35" t="s">
        <v>664</v>
      </c>
      <c r="C365" s="46"/>
      <c r="D365" s="47" t="s">
        <v>1943</v>
      </c>
      <c r="E365" s="61" t="s">
        <v>1951</v>
      </c>
      <c r="F365" s="23" t="str">
        <f t="shared" si="5"/>
        <v>O Pokémon Karrablast evolui para Escavalier</v>
      </c>
    </row>
    <row r="366" spans="1:6" ht="16.5">
      <c r="A366" s="34" t="s">
        <v>691</v>
      </c>
      <c r="B366" s="35" t="s">
        <v>692</v>
      </c>
      <c r="C366" s="46"/>
      <c r="D366" s="47" t="s">
        <v>1944</v>
      </c>
      <c r="E366" s="61" t="s">
        <v>1951</v>
      </c>
      <c r="F366" s="23" t="str">
        <f t="shared" si="5"/>
        <v>O Pokémon Shelmet evolui para Accelgor</v>
      </c>
    </row>
    <row r="367" spans="1:6" ht="24.75">
      <c r="A367" s="34" t="s">
        <v>754</v>
      </c>
      <c r="B367" s="35" t="s">
        <v>755</v>
      </c>
      <c r="C367" s="46">
        <v>32</v>
      </c>
      <c r="D367" s="47" t="s">
        <v>1912</v>
      </c>
      <c r="E367" s="61" t="s">
        <v>1951</v>
      </c>
      <c r="F367" s="23" t="str">
        <f t="shared" si="5"/>
        <v>O Pokémon Pancham evolui para Pangoro</v>
      </c>
    </row>
    <row r="368" spans="1:6" ht="16.5">
      <c r="A368" s="34" t="s">
        <v>763</v>
      </c>
      <c r="B368" s="35" t="s">
        <v>764</v>
      </c>
      <c r="C368" s="46"/>
      <c r="D368" s="47" t="s">
        <v>1945</v>
      </c>
      <c r="E368" s="61" t="s">
        <v>1951</v>
      </c>
      <c r="F368" s="23" t="str">
        <f t="shared" si="5"/>
        <v>O Pokémon Spritzee evolui para Aromatisse</v>
      </c>
    </row>
    <row r="369" spans="1:6" ht="16.5">
      <c r="A369" s="34" t="s">
        <v>765</v>
      </c>
      <c r="B369" s="35" t="s">
        <v>766</v>
      </c>
      <c r="C369" s="46"/>
      <c r="D369" s="47" t="s">
        <v>1946</v>
      </c>
      <c r="E369" s="61" t="s">
        <v>1951</v>
      </c>
      <c r="F369" s="23" t="str">
        <f t="shared" si="5"/>
        <v>O Pokémon Swirlix evolui para Slurpuff</v>
      </c>
    </row>
    <row r="370" spans="1:6" ht="16.5">
      <c r="A370" s="34" t="s">
        <v>767</v>
      </c>
      <c r="B370" s="35" t="s">
        <v>768</v>
      </c>
      <c r="C370" s="46">
        <v>30</v>
      </c>
      <c r="D370" s="47" t="s">
        <v>1913</v>
      </c>
      <c r="E370" s="61" t="s">
        <v>1951</v>
      </c>
      <c r="F370" s="23" t="str">
        <f t="shared" si="5"/>
        <v>O Pokémon Inkay evolui para Malamar</v>
      </c>
    </row>
    <row r="371" spans="1:6" ht="16.5">
      <c r="A371" s="34" t="s">
        <v>777</v>
      </c>
      <c r="B371" s="35" t="s">
        <v>778</v>
      </c>
      <c r="C371" s="46">
        <v>39</v>
      </c>
      <c r="D371" s="47" t="s">
        <v>1914</v>
      </c>
      <c r="E371" s="61" t="s">
        <v>1951</v>
      </c>
      <c r="F371" s="23" t="str">
        <f t="shared" si="5"/>
        <v>O Pokémon Tyrunt evolui para Tyrantrum</v>
      </c>
    </row>
    <row r="372" spans="1:6" ht="16.5">
      <c r="A372" s="34" t="s">
        <v>779</v>
      </c>
      <c r="B372" s="35" t="s">
        <v>780</v>
      </c>
      <c r="C372" s="46">
        <v>39</v>
      </c>
      <c r="D372" s="47" t="s">
        <v>1915</v>
      </c>
      <c r="E372" s="61" t="s">
        <v>1951</v>
      </c>
      <c r="F372" s="23" t="str">
        <f t="shared" si="5"/>
        <v>O Pokémon Amaura evolui para Aurorus</v>
      </c>
    </row>
    <row r="373" spans="1:6" ht="16.5">
      <c r="A373" s="34" t="s">
        <v>786</v>
      </c>
      <c r="B373" s="35" t="s">
        <v>787</v>
      </c>
      <c r="C373" s="46">
        <v>55</v>
      </c>
      <c r="D373" s="47" t="s">
        <v>1916</v>
      </c>
      <c r="E373" s="61" t="s">
        <v>1951</v>
      </c>
      <c r="F373" s="23" t="str">
        <f t="shared" si="5"/>
        <v>O Pokémon Sliggoo evolui para Goodra</v>
      </c>
    </row>
    <row r="374" spans="1:6">
      <c r="A374" s="34" t="s">
        <v>215</v>
      </c>
      <c r="B374" s="35" t="s">
        <v>51</v>
      </c>
      <c r="C374" s="56"/>
      <c r="D374" s="47"/>
      <c r="E374" s="61" t="s">
        <v>1964</v>
      </c>
      <c r="F374" s="23" t="str">
        <f t="shared" si="5"/>
        <v>O Pokémon Pichu evolui para Pikachu</v>
      </c>
    </row>
    <row r="375" spans="1:6">
      <c r="A375" s="34" t="s">
        <v>216</v>
      </c>
      <c r="B375" s="35" t="s">
        <v>63</v>
      </c>
      <c r="C375" s="56"/>
      <c r="D375" s="47"/>
      <c r="E375" s="61" t="s">
        <v>1964</v>
      </c>
      <c r="F375" s="23" t="str">
        <f t="shared" si="5"/>
        <v>O Pokémon Cleffa evolui para Clefairy</v>
      </c>
    </row>
    <row r="376" spans="1:6">
      <c r="A376" s="34" t="s">
        <v>217</v>
      </c>
      <c r="B376" s="35" t="s">
        <v>68</v>
      </c>
      <c r="C376" s="56"/>
      <c r="D376" s="47"/>
      <c r="E376" s="61" t="s">
        <v>1964</v>
      </c>
      <c r="F376" s="23" t="str">
        <f t="shared" si="5"/>
        <v>O Pokémon Igglybuff evolui para Jigglypuff</v>
      </c>
    </row>
    <row r="377" spans="1:6">
      <c r="A377" s="34" t="s">
        <v>71</v>
      </c>
      <c r="B377" s="35" t="s">
        <v>212</v>
      </c>
      <c r="C377" s="56"/>
      <c r="D377" s="47"/>
      <c r="E377" s="61" t="s">
        <v>1964</v>
      </c>
      <c r="F377" s="23" t="str">
        <f t="shared" si="5"/>
        <v>O Pokémon Golbat evolui para Crobat</v>
      </c>
    </row>
    <row r="378" spans="1:6">
      <c r="A378" s="34" t="s">
        <v>150</v>
      </c>
      <c r="B378" s="35" t="s">
        <v>289</v>
      </c>
      <c r="C378" s="56"/>
      <c r="D378" s="47"/>
      <c r="E378" s="61" t="s">
        <v>1964</v>
      </c>
      <c r="F378" s="23" t="str">
        <f t="shared" si="5"/>
        <v>O Pokémon Chansey evolui para Blissey</v>
      </c>
    </row>
    <row r="379" spans="1:6">
      <c r="A379" s="34" t="s">
        <v>173</v>
      </c>
      <c r="B379" s="35" t="s">
        <v>240</v>
      </c>
      <c r="C379" s="56"/>
      <c r="D379" s="47" t="s">
        <v>1914</v>
      </c>
      <c r="E379" s="61" t="s">
        <v>1964</v>
      </c>
      <c r="F379" s="23" t="str">
        <f t="shared" si="5"/>
        <v>O Pokémon Eevee evolui para Espeon</v>
      </c>
    </row>
    <row r="380" spans="1:6">
      <c r="A380" s="34" t="s">
        <v>173</v>
      </c>
      <c r="B380" s="35" t="s">
        <v>241</v>
      </c>
      <c r="C380" s="56"/>
      <c r="D380" s="47" t="s">
        <v>1915</v>
      </c>
      <c r="E380" s="61" t="s">
        <v>1964</v>
      </c>
      <c r="F380" s="23" t="str">
        <f t="shared" si="5"/>
        <v>O Pokémon Eevee evolui para Umbreon</v>
      </c>
    </row>
    <row r="381" spans="1:6">
      <c r="A381" s="34" t="s">
        <v>510</v>
      </c>
      <c r="B381" s="35" t="s">
        <v>184</v>
      </c>
      <c r="C381" s="56"/>
      <c r="D381" s="47"/>
      <c r="E381" s="61" t="s">
        <v>1964</v>
      </c>
      <c r="F381" s="23" t="str">
        <f t="shared" si="5"/>
        <v>O Pokémon Munchlax evolui para Snorlax</v>
      </c>
    </row>
    <row r="382" spans="1:6">
      <c r="A382" s="34" t="s">
        <v>218</v>
      </c>
      <c r="B382" s="35" t="s">
        <v>219</v>
      </c>
      <c r="C382" s="56"/>
      <c r="D382" s="47"/>
      <c r="E382" s="61" t="s">
        <v>1964</v>
      </c>
      <c r="F382" s="23" t="str">
        <f t="shared" si="5"/>
        <v>O Pokémon Togepi evolui para Togetic</v>
      </c>
    </row>
    <row r="383" spans="1:6">
      <c r="A383" s="34" t="s">
        <v>348</v>
      </c>
      <c r="B383" s="35" t="s">
        <v>227</v>
      </c>
      <c r="C383" s="56"/>
      <c r="D383" s="47"/>
      <c r="E383" s="61" t="s">
        <v>1964</v>
      </c>
      <c r="F383" s="23" t="str">
        <f t="shared" si="5"/>
        <v>O Pokémon Azurill evolui para Marill</v>
      </c>
    </row>
    <row r="384" spans="1:6">
      <c r="A384" s="34" t="s">
        <v>467</v>
      </c>
      <c r="B384" s="35" t="s">
        <v>370</v>
      </c>
      <c r="C384" s="56"/>
      <c r="D384" s="47" t="s">
        <v>1914</v>
      </c>
      <c r="E384" s="61" t="s">
        <v>1964</v>
      </c>
      <c r="F384" s="23" t="str">
        <f t="shared" si="5"/>
        <v>O Pokémon Budew evolui para Roselia</v>
      </c>
    </row>
    <row r="385" spans="1:6">
      <c r="A385" s="34" t="s">
        <v>496</v>
      </c>
      <c r="B385" s="35" t="s">
        <v>415</v>
      </c>
      <c r="C385" s="56"/>
      <c r="D385" s="47" t="s">
        <v>1915</v>
      </c>
      <c r="E385" s="61" t="s">
        <v>1964</v>
      </c>
      <c r="F385" s="23" t="str">
        <f t="shared" ref="F385:F389" si="6">"O Pokémon " &amp; A385 &amp;
" evolui para " &amp;
B385</f>
        <v>O Pokémon Chingling evolui para Chimecho</v>
      </c>
    </row>
    <row r="386" spans="1:6">
      <c r="A386" s="34" t="s">
        <v>490</v>
      </c>
      <c r="B386" s="35" t="s">
        <v>491</v>
      </c>
      <c r="C386" s="56"/>
      <c r="D386" s="47"/>
      <c r="E386" s="61" t="s">
        <v>1964</v>
      </c>
      <c r="F386" s="23" t="str">
        <f t="shared" si="6"/>
        <v>O Pokémon Buneary evolui para Lopunny</v>
      </c>
    </row>
    <row r="387" spans="1:6">
      <c r="A387" s="34" t="s">
        <v>511</v>
      </c>
      <c r="B387" s="35" t="s">
        <v>512</v>
      </c>
      <c r="C387" s="56"/>
      <c r="D387" s="47" t="s">
        <v>1914</v>
      </c>
      <c r="E387" s="61" t="s">
        <v>1964</v>
      </c>
      <c r="F387" s="23" t="str">
        <f t="shared" si="6"/>
        <v>O Pokémon Riolu evolui para Lucario</v>
      </c>
    </row>
    <row r="388" spans="1:6">
      <c r="A388" s="34" t="s">
        <v>601</v>
      </c>
      <c r="B388" s="35" t="s">
        <v>602</v>
      </c>
      <c r="C388" s="56"/>
      <c r="D388" s="47"/>
      <c r="E388" s="61" t="s">
        <v>1964</v>
      </c>
      <c r="F388" s="23" t="str">
        <f t="shared" si="6"/>
        <v>O Pokémon Woobat evolui para Swoobat</v>
      </c>
    </row>
    <row r="389" spans="1:6">
      <c r="A389" s="34" t="s">
        <v>615</v>
      </c>
      <c r="B389" s="35" t="s">
        <v>616</v>
      </c>
      <c r="C389" s="56"/>
      <c r="D389" s="47"/>
      <c r="E389" s="61" t="s">
        <v>1964</v>
      </c>
      <c r="F389" s="23" t="str">
        <f t="shared" si="6"/>
        <v>O Pokémon Swadloon evolui para Leavanny</v>
      </c>
    </row>
  </sheetData>
  <conditionalFormatting sqref="D2:D389">
    <cfRule type="notContainsBlanks" dxfId="33" priority="5">
      <formula>LEN(TRIM(D2))&gt;0</formula>
    </cfRule>
  </conditionalFormatting>
  <conditionalFormatting sqref="E2:E389">
    <cfRule type="containsText" dxfId="32" priority="4" operator="containsText" text="Level">
      <formula>NOT(ISERROR(SEARCH("Level",E2)))</formula>
    </cfRule>
  </conditionalFormatting>
  <conditionalFormatting sqref="E2:E389">
    <cfRule type="containsText" dxfId="31" priority="3" operator="containsText" text="Happiness">
      <formula>NOT(ISERROR(SEARCH("Happiness",E2)))</formula>
    </cfRule>
  </conditionalFormatting>
  <conditionalFormatting sqref="E2:E389">
    <cfRule type="containsText" dxfId="30" priority="2" operator="containsText" text="Stone">
      <formula>NOT(ISERROR(SEARCH("Stone",E2)))</formula>
    </cfRule>
  </conditionalFormatting>
  <conditionalFormatting sqref="E2:E389">
    <cfRule type="containsText" dxfId="29" priority="1" operator="containsText" text="Trade">
      <formula>NOT(ISERROR(SEARCH("Trade",E2)))</formula>
    </cfRule>
  </conditionalFormatting>
  <dataValidations count="1">
    <dataValidation allowBlank="1" showInputMessage="1" showErrorMessage="1" sqref="F1" xr:uid="{6893F34F-9E40-4ABD-8FEC-2B4AC546A7B5}"/>
  </dataValidations>
  <hyperlinks>
    <hyperlink ref="A2" r:id="rId1" tooltip="View pokedex for #001 Bulbasaur" display="http://pokemondb.net/pokedex/bulbasaur" xr:uid="{00000000-0004-0000-0200-000000000000}"/>
    <hyperlink ref="B2" r:id="rId2" tooltip="View pokedex for #002 Ivysaur" display="http://pokemondb.net/pokedex/ivysaur" xr:uid="{00000000-0004-0000-0200-000001000000}"/>
    <hyperlink ref="A3" r:id="rId3" tooltip="View pokedex for #002 Ivysaur" display="http://pokemondb.net/pokedex/ivysaur" xr:uid="{00000000-0004-0000-0200-000002000000}"/>
    <hyperlink ref="B3" r:id="rId4" tooltip="View pokedex for #003 Venusaur" display="http://pokemondb.net/pokedex/venusaur" xr:uid="{00000000-0004-0000-0200-000003000000}"/>
    <hyperlink ref="A4" r:id="rId5" tooltip="View pokedex for #004 Charmander" display="http://pokemondb.net/pokedex/charmander" xr:uid="{00000000-0004-0000-0200-000004000000}"/>
    <hyperlink ref="B4" r:id="rId6" tooltip="View pokedex for #005 Charmeleon" display="http://pokemondb.net/pokedex/charmeleon" xr:uid="{00000000-0004-0000-0200-000005000000}"/>
    <hyperlink ref="A5" r:id="rId7" tooltip="View pokedex for #005 Charmeleon" display="http://pokemondb.net/pokedex/charmeleon" xr:uid="{00000000-0004-0000-0200-000006000000}"/>
    <hyperlink ref="B5" r:id="rId8" tooltip="View pokedex for #006 Charizard" display="http://pokemondb.net/pokedex/charizard" xr:uid="{00000000-0004-0000-0200-000007000000}"/>
    <hyperlink ref="A6" r:id="rId9" tooltip="View pokedex for #007 Squirtle" display="http://pokemondb.net/pokedex/squirtle" xr:uid="{00000000-0004-0000-0200-000008000000}"/>
    <hyperlink ref="B6" r:id="rId10" tooltip="View pokedex for #008 Wartortle" display="http://pokemondb.net/pokedex/wartortle" xr:uid="{00000000-0004-0000-0200-000009000000}"/>
    <hyperlink ref="A7" r:id="rId11" tooltip="View pokedex for #008 Wartortle" display="http://pokemondb.net/pokedex/wartortle" xr:uid="{00000000-0004-0000-0200-00000A000000}"/>
    <hyperlink ref="B7" r:id="rId12" tooltip="View pokedex for #009 Blastoise" display="http://pokemondb.net/pokedex/blastoise" xr:uid="{00000000-0004-0000-0200-00000B000000}"/>
    <hyperlink ref="A8" r:id="rId13" tooltip="View pokedex for #010 Caterpie" display="http://pokemondb.net/pokedex/caterpie" xr:uid="{00000000-0004-0000-0200-00000C000000}"/>
    <hyperlink ref="B8" r:id="rId14" tooltip="View pokedex for #011 Metapod" display="http://pokemondb.net/pokedex/metapod" xr:uid="{00000000-0004-0000-0200-00000D000000}"/>
    <hyperlink ref="A9" r:id="rId15" tooltip="View pokedex for #011 Metapod" display="http://pokemondb.net/pokedex/metapod" xr:uid="{00000000-0004-0000-0200-00000E000000}"/>
    <hyperlink ref="B9" r:id="rId16" tooltip="View pokedex for #012 Butterfree" display="http://pokemondb.net/pokedex/butterfree" xr:uid="{00000000-0004-0000-0200-00000F000000}"/>
    <hyperlink ref="A10" r:id="rId17" tooltip="View pokedex for #013 Weedle" display="http://pokemondb.net/pokedex/weedle" xr:uid="{00000000-0004-0000-0200-000010000000}"/>
    <hyperlink ref="B10" r:id="rId18" tooltip="View pokedex for #014 Kakuna" display="http://pokemondb.net/pokedex/kakuna" xr:uid="{00000000-0004-0000-0200-000011000000}"/>
    <hyperlink ref="A11" r:id="rId19" tooltip="View pokedex for #014 Kakuna" display="http://pokemondb.net/pokedex/kakuna" xr:uid="{00000000-0004-0000-0200-000012000000}"/>
    <hyperlink ref="B11" r:id="rId20" tooltip="View pokedex for #015 Beedrill" display="http://pokemondb.net/pokedex/beedrill" xr:uid="{00000000-0004-0000-0200-000013000000}"/>
    <hyperlink ref="A12" r:id="rId21" tooltip="View pokedex for #016 Pidgey" display="http://pokemondb.net/pokedex/pidgey" xr:uid="{00000000-0004-0000-0200-000014000000}"/>
    <hyperlink ref="B12" r:id="rId22" tooltip="View pokedex for #017 Pidgeotto" display="http://pokemondb.net/pokedex/pidgeotto" xr:uid="{00000000-0004-0000-0200-000015000000}"/>
    <hyperlink ref="A13" r:id="rId23" tooltip="View pokedex for #017 Pidgeotto" display="http://pokemondb.net/pokedex/pidgeotto" xr:uid="{00000000-0004-0000-0200-000016000000}"/>
    <hyperlink ref="B13" r:id="rId24" tooltip="View pokedex for #018 Pidgeot" display="http://pokemondb.net/pokedex/pidgeot" xr:uid="{00000000-0004-0000-0200-000017000000}"/>
    <hyperlink ref="A14" r:id="rId25" tooltip="View pokedex for #019 Rattata" display="http://pokemondb.net/pokedex/rattata" xr:uid="{00000000-0004-0000-0200-000018000000}"/>
    <hyperlink ref="B14" r:id="rId26" tooltip="View pokedex for #020 Raticate" display="http://pokemondb.net/pokedex/raticate" xr:uid="{00000000-0004-0000-0200-000019000000}"/>
    <hyperlink ref="A15" r:id="rId27" tooltip="View pokedex for #021 Spearow" display="http://pokemondb.net/pokedex/spearow" xr:uid="{00000000-0004-0000-0200-00001A000000}"/>
    <hyperlink ref="B15" r:id="rId28" tooltip="View pokedex for #022 Fearow" display="http://pokemondb.net/pokedex/fearow" xr:uid="{00000000-0004-0000-0200-00001B000000}"/>
    <hyperlink ref="A16" r:id="rId29" tooltip="View pokedex for #023 Ekans" display="http://pokemondb.net/pokedex/ekans" xr:uid="{00000000-0004-0000-0200-00001C000000}"/>
    <hyperlink ref="B16" r:id="rId30" tooltip="View pokedex for #024 Arbok" display="http://pokemondb.net/pokedex/arbok" xr:uid="{00000000-0004-0000-0200-00001D000000}"/>
    <hyperlink ref="A17" r:id="rId31" tooltip="View pokedex for #027 Sandshrew" display="http://pokemondb.net/pokedex/sandshrew" xr:uid="{00000000-0004-0000-0200-00001E000000}"/>
    <hyperlink ref="B17" r:id="rId32" tooltip="View pokedex for #028 Sandslash" display="http://pokemondb.net/pokedex/sandslash" xr:uid="{00000000-0004-0000-0200-00001F000000}"/>
    <hyperlink ref="A18" r:id="rId33" tooltip="View pokedex for #029 Nidoran♀" display="http://pokemondb.net/pokedex/nidoran-f" xr:uid="{00000000-0004-0000-0200-000020000000}"/>
    <hyperlink ref="B18" r:id="rId34" tooltip="View pokedex for #030 Nidorina" display="http://pokemondb.net/pokedex/nidorina" xr:uid="{00000000-0004-0000-0200-000021000000}"/>
    <hyperlink ref="A19" r:id="rId35" tooltip="View pokedex for #032 Nidoran♂" display="http://pokemondb.net/pokedex/nidoran-m" xr:uid="{00000000-0004-0000-0200-000022000000}"/>
    <hyperlink ref="B19" r:id="rId36" tooltip="View pokedex for #033 Nidorino" display="http://pokemondb.net/pokedex/nidorino" xr:uid="{00000000-0004-0000-0200-000023000000}"/>
    <hyperlink ref="A20" r:id="rId37" tooltip="View pokedex for #041 Zubat" display="http://pokemondb.net/pokedex/zubat" xr:uid="{00000000-0004-0000-0200-000024000000}"/>
    <hyperlink ref="B20" r:id="rId38" tooltip="View pokedex for #042 Golbat" display="http://pokemondb.net/pokedex/golbat" xr:uid="{00000000-0004-0000-0200-000025000000}"/>
    <hyperlink ref="A21" r:id="rId39" tooltip="View pokedex for #043 Oddish" display="http://pokemondb.net/pokedex/oddish" xr:uid="{00000000-0004-0000-0200-000026000000}"/>
    <hyperlink ref="B21" r:id="rId40" tooltip="View pokedex for #044 Gloom" display="http://pokemondb.net/pokedex/gloom" xr:uid="{00000000-0004-0000-0200-000027000000}"/>
    <hyperlink ref="A22" r:id="rId41" tooltip="View pokedex for #046 Paras" display="http://pokemondb.net/pokedex/paras" xr:uid="{00000000-0004-0000-0200-000028000000}"/>
    <hyperlink ref="B22" r:id="rId42" tooltip="View pokedex for #047 Parasect" display="http://pokemondb.net/pokedex/parasect" xr:uid="{00000000-0004-0000-0200-000029000000}"/>
    <hyperlink ref="A23" r:id="rId43" tooltip="View pokedex for #048 Venonat" display="http://pokemondb.net/pokedex/venonat" xr:uid="{00000000-0004-0000-0200-00002A000000}"/>
    <hyperlink ref="B23" r:id="rId44" tooltip="View pokedex for #049 Venomoth" display="http://pokemondb.net/pokedex/venomoth" xr:uid="{00000000-0004-0000-0200-00002B000000}"/>
    <hyperlink ref="A24" r:id="rId45" tooltip="View pokedex for #050 Diglett" display="http://pokemondb.net/pokedex/diglett" xr:uid="{00000000-0004-0000-0200-00002C000000}"/>
    <hyperlink ref="B24" r:id="rId46" tooltip="View pokedex for #051 Dugtrio" display="http://pokemondb.net/pokedex/dugtrio" xr:uid="{00000000-0004-0000-0200-00002D000000}"/>
    <hyperlink ref="A25" r:id="rId47" tooltip="View pokedex for #052 Meowth" display="http://pokemondb.net/pokedex/meowth" xr:uid="{00000000-0004-0000-0200-00002E000000}"/>
    <hyperlink ref="B25" r:id="rId48" tooltip="View pokedex for #053 Persian" display="http://pokemondb.net/pokedex/persian" xr:uid="{00000000-0004-0000-0200-00002F000000}"/>
    <hyperlink ref="A26" r:id="rId49" tooltip="View pokedex for #054 Psyduck" display="http://pokemondb.net/pokedex/psyduck" xr:uid="{00000000-0004-0000-0200-000030000000}"/>
    <hyperlink ref="B26" r:id="rId50" tooltip="View pokedex for #055 Golduck" display="http://pokemondb.net/pokedex/golduck" xr:uid="{00000000-0004-0000-0200-000031000000}"/>
    <hyperlink ref="A27" r:id="rId51" tooltip="View pokedex for #056 Mankey" display="http://pokemondb.net/pokedex/mankey" xr:uid="{00000000-0004-0000-0200-000032000000}"/>
    <hyperlink ref="B27" r:id="rId52" tooltip="View pokedex for #057 Primeape" display="http://pokemondb.net/pokedex/primeape" xr:uid="{00000000-0004-0000-0200-000033000000}"/>
    <hyperlink ref="A28" r:id="rId53" tooltip="View pokedex for #060 Poliwag" display="http://pokemondb.net/pokedex/poliwag" xr:uid="{00000000-0004-0000-0200-000034000000}"/>
    <hyperlink ref="B28" r:id="rId54" tooltip="View pokedex for #061 Poliwhirl" display="http://pokemondb.net/pokedex/poliwhirl" xr:uid="{00000000-0004-0000-0200-000035000000}"/>
    <hyperlink ref="A29" r:id="rId55" tooltip="View pokedex for #063 Abra" display="http://pokemondb.net/pokedex/abra" xr:uid="{00000000-0004-0000-0200-000036000000}"/>
    <hyperlink ref="B29" r:id="rId56" tooltip="View pokedex for #064 Kadabra" display="http://pokemondb.net/pokedex/kadabra" xr:uid="{00000000-0004-0000-0200-000037000000}"/>
    <hyperlink ref="A30" r:id="rId57" tooltip="View pokedex for #066 Machop" display="http://pokemondb.net/pokedex/machop" xr:uid="{00000000-0004-0000-0200-000038000000}"/>
    <hyperlink ref="B30" r:id="rId58" tooltip="View pokedex for #067 Machoke" display="http://pokemondb.net/pokedex/machoke" xr:uid="{00000000-0004-0000-0200-000039000000}"/>
    <hyperlink ref="A31" r:id="rId59" tooltip="View pokedex for #069 Bellsprout" display="http://pokemondb.net/pokedex/bellsprout" xr:uid="{00000000-0004-0000-0200-00003A000000}"/>
    <hyperlink ref="B31" r:id="rId60" tooltip="View pokedex for #070 Weepinbell" display="http://pokemondb.net/pokedex/weepinbell" xr:uid="{00000000-0004-0000-0200-00003B000000}"/>
    <hyperlink ref="A32" r:id="rId61" tooltip="View pokedex for #072 Tentacool" display="http://pokemondb.net/pokedex/tentacool" xr:uid="{00000000-0004-0000-0200-00003C000000}"/>
    <hyperlink ref="B32" r:id="rId62" tooltip="View pokedex for #073 Tentacruel" display="http://pokemondb.net/pokedex/tentacruel" xr:uid="{00000000-0004-0000-0200-00003D000000}"/>
    <hyperlink ref="A33" r:id="rId63" tooltip="View pokedex for #074 Geodude" display="http://pokemondb.net/pokedex/geodude" xr:uid="{00000000-0004-0000-0200-00003E000000}"/>
    <hyperlink ref="B33" r:id="rId64" tooltip="View pokedex for #075 Graveler" display="http://pokemondb.net/pokedex/graveler" xr:uid="{00000000-0004-0000-0200-00003F000000}"/>
    <hyperlink ref="A34" r:id="rId65" tooltip="View pokedex for #077 Ponyta" display="http://pokemondb.net/pokedex/ponyta" xr:uid="{00000000-0004-0000-0200-000040000000}"/>
    <hyperlink ref="B34" r:id="rId66" tooltip="View pokedex for #078 Rapidash" display="http://pokemondb.net/pokedex/rapidash" xr:uid="{00000000-0004-0000-0200-000041000000}"/>
    <hyperlink ref="A35" r:id="rId67" tooltip="View pokedex for #079 Slowpoke" display="http://pokemondb.net/pokedex/slowpoke" xr:uid="{00000000-0004-0000-0200-000042000000}"/>
    <hyperlink ref="B35" r:id="rId68" tooltip="View pokedex for #080 Slowbro" display="http://pokemondb.net/pokedex/slowbro" xr:uid="{00000000-0004-0000-0200-000043000000}"/>
    <hyperlink ref="A36" r:id="rId69" tooltip="View pokedex for #081 Magnemite" display="http://pokemondb.net/pokedex/magnemite" xr:uid="{00000000-0004-0000-0200-000044000000}"/>
    <hyperlink ref="B36" r:id="rId70" tooltip="View pokedex for #082 Magneton" display="http://pokemondb.net/pokedex/magneton" xr:uid="{00000000-0004-0000-0200-000045000000}"/>
    <hyperlink ref="A37" r:id="rId71" tooltip="View pokedex for #084 Doduo" display="http://pokemondb.net/pokedex/doduo" xr:uid="{00000000-0004-0000-0200-000046000000}"/>
    <hyperlink ref="B37" r:id="rId72" tooltip="View pokedex for #085 Dodrio" display="http://pokemondb.net/pokedex/dodrio" xr:uid="{00000000-0004-0000-0200-000047000000}"/>
    <hyperlink ref="A38" r:id="rId73" tooltip="View pokedex for #086 Seel" display="http://pokemondb.net/pokedex/seel" xr:uid="{00000000-0004-0000-0200-000048000000}"/>
    <hyperlink ref="B38" r:id="rId74" tooltip="View pokedex for #087 Dewgong" display="http://pokemondb.net/pokedex/dewgong" xr:uid="{00000000-0004-0000-0200-000049000000}"/>
    <hyperlink ref="A39" r:id="rId75" tooltip="View pokedex for #088 Grimer" display="http://pokemondb.net/pokedex/grimer" xr:uid="{00000000-0004-0000-0200-00004A000000}"/>
    <hyperlink ref="B39" r:id="rId76" tooltip="View pokedex for #089 Muk" display="http://pokemondb.net/pokedex/muk" xr:uid="{00000000-0004-0000-0200-00004B000000}"/>
    <hyperlink ref="A40" r:id="rId77" tooltip="View pokedex for #092 Gastly" display="http://pokemondb.net/pokedex/gastly" xr:uid="{00000000-0004-0000-0200-00004C000000}"/>
    <hyperlink ref="B40" r:id="rId78" tooltip="View pokedex for #093 Haunter" display="http://pokemondb.net/pokedex/haunter" xr:uid="{00000000-0004-0000-0200-00004D000000}"/>
    <hyperlink ref="A41" r:id="rId79" tooltip="View pokedex for #096 Drowzee" display="http://pokemondb.net/pokedex/drowzee" xr:uid="{00000000-0004-0000-0200-00004E000000}"/>
    <hyperlink ref="B41" r:id="rId80" tooltip="View pokedex for #097 Hypno" display="http://pokemondb.net/pokedex/hypno" xr:uid="{00000000-0004-0000-0200-00004F000000}"/>
    <hyperlink ref="A42" r:id="rId81" tooltip="View pokedex for #098 Krabby" display="http://pokemondb.net/pokedex/krabby" xr:uid="{00000000-0004-0000-0200-000050000000}"/>
    <hyperlink ref="B42" r:id="rId82" tooltip="View pokedex for #099 Kingler" display="http://pokemondb.net/pokedex/kingler" xr:uid="{00000000-0004-0000-0200-000051000000}"/>
    <hyperlink ref="A43" r:id="rId83" tooltip="View pokedex for #100 Voltorb" display="http://pokemondb.net/pokedex/voltorb" xr:uid="{00000000-0004-0000-0200-000052000000}"/>
    <hyperlink ref="B43" r:id="rId84" tooltip="View pokedex for #101 Electrode" display="http://pokemondb.net/pokedex/electrode" xr:uid="{00000000-0004-0000-0200-000053000000}"/>
    <hyperlink ref="A44" r:id="rId85" tooltip="View pokedex for #104 Cubone" display="http://pokemondb.net/pokedex/cubone" xr:uid="{00000000-0004-0000-0200-000054000000}"/>
    <hyperlink ref="B44" r:id="rId86" tooltip="View pokedex for #105 Marowak" display="http://pokemondb.net/pokedex/marowak" xr:uid="{00000000-0004-0000-0200-000055000000}"/>
    <hyperlink ref="A45" r:id="rId87" tooltip="View pokedex for #236 Tyrogue" display="http://pokemondb.net/pokedex/tyrogue" xr:uid="{00000000-0004-0000-0200-000056000000}"/>
    <hyperlink ref="B45" r:id="rId88" tooltip="View pokedex for #106 Hitmonlee" display="http://pokemondb.net/pokedex/hitmonlee" xr:uid="{00000000-0004-0000-0200-000057000000}"/>
    <hyperlink ref="A46" r:id="rId89" tooltip="View pokedex for #236 Tyrogue" display="http://pokemondb.net/pokedex/tyrogue" xr:uid="{00000000-0004-0000-0200-000058000000}"/>
    <hyperlink ref="B46" r:id="rId90" tooltip="View pokedex for #107 Hitmonchan" display="http://pokemondb.net/pokedex/hitmonchan" xr:uid="{00000000-0004-0000-0200-000059000000}"/>
    <hyperlink ref="A47" r:id="rId91" tooltip="View pokedex for #236 Tyrogue" display="http://pokemondb.net/pokedex/tyrogue" xr:uid="{00000000-0004-0000-0200-00005A000000}"/>
    <hyperlink ref="B47" r:id="rId92" tooltip="View pokedex for #237 Hitmontop" display="http://pokemondb.net/pokedex/hitmontop" xr:uid="{00000000-0004-0000-0200-00005B000000}"/>
    <hyperlink ref="A48" r:id="rId93" tooltip="View pokedex for #109 Koffing" display="http://pokemondb.net/pokedex/koffing" xr:uid="{00000000-0004-0000-0200-00005C000000}"/>
    <hyperlink ref="B48" r:id="rId94" tooltip="View pokedex for #110 Weezing" display="http://pokemondb.net/pokedex/weezing" xr:uid="{00000000-0004-0000-0200-00005D000000}"/>
    <hyperlink ref="A49" r:id="rId95" tooltip="View pokedex for #111 Rhyhorn" display="http://pokemondb.net/pokedex/rhyhorn" xr:uid="{00000000-0004-0000-0200-00005E000000}"/>
    <hyperlink ref="B49" r:id="rId96" tooltip="View pokedex for #112 Rhydon" display="http://pokemondb.net/pokedex/rhydon" xr:uid="{00000000-0004-0000-0200-00005F000000}"/>
    <hyperlink ref="A50" r:id="rId97" tooltip="View pokedex for #116 Horsea" display="http://pokemondb.net/pokedex/horsea" xr:uid="{00000000-0004-0000-0200-000060000000}"/>
    <hyperlink ref="B50" r:id="rId98" tooltip="View pokedex for #117 Seadra" display="http://pokemondb.net/pokedex/seadra" xr:uid="{00000000-0004-0000-0200-000061000000}"/>
    <hyperlink ref="A51" r:id="rId99" tooltip="View pokedex for #118 Goldeen" display="http://pokemondb.net/pokedex/goldeen" xr:uid="{00000000-0004-0000-0200-000062000000}"/>
    <hyperlink ref="B51" r:id="rId100" tooltip="View pokedex for #119 Seaking" display="http://pokemondb.net/pokedex/seaking" xr:uid="{00000000-0004-0000-0200-000063000000}"/>
    <hyperlink ref="A52" r:id="rId101" tooltip="View pokedex for #238 Smoochum" display="http://pokemondb.net/pokedex/smoochum" xr:uid="{00000000-0004-0000-0200-000064000000}"/>
    <hyperlink ref="B52" r:id="rId102" tooltip="View pokedex for #124 Jynx" display="http://pokemondb.net/pokedex/jynx" xr:uid="{00000000-0004-0000-0200-000065000000}"/>
    <hyperlink ref="A53" r:id="rId103" tooltip="View pokedex for #239 Elekid" display="http://pokemondb.net/pokedex/elekid" xr:uid="{00000000-0004-0000-0200-000066000000}"/>
    <hyperlink ref="B53" r:id="rId104" tooltip="View pokedex for #125 Electabuzz" display="http://pokemondb.net/pokedex/electabuzz" xr:uid="{00000000-0004-0000-0200-000067000000}"/>
    <hyperlink ref="A54" r:id="rId105" tooltip="View pokedex for #240 Magby" display="http://pokemondb.net/pokedex/magby" xr:uid="{00000000-0004-0000-0200-000068000000}"/>
    <hyperlink ref="B54" r:id="rId106" tooltip="View pokedex for #126 Magmar" display="http://pokemondb.net/pokedex/magmar" xr:uid="{00000000-0004-0000-0200-000069000000}"/>
    <hyperlink ref="A55" r:id="rId107" tooltip="View pokedex for #129 Magikarp" display="http://pokemondb.net/pokedex/magikarp" xr:uid="{00000000-0004-0000-0200-00006A000000}"/>
    <hyperlink ref="B55" r:id="rId108" tooltip="View pokedex for #130 Gyarados" display="http://pokemondb.net/pokedex/gyarados" xr:uid="{00000000-0004-0000-0200-00006B000000}"/>
    <hyperlink ref="A56" r:id="rId109" tooltip="View pokedex for #138 Omanyte" display="http://pokemondb.net/pokedex/omanyte" xr:uid="{00000000-0004-0000-0200-00006C000000}"/>
    <hyperlink ref="B56" r:id="rId110" tooltip="View pokedex for #139 Omastar" display="http://pokemondb.net/pokedex/omastar" xr:uid="{00000000-0004-0000-0200-00006D000000}"/>
    <hyperlink ref="A57" r:id="rId111" tooltip="View pokedex for #140 Kabuto" display="http://pokemondb.net/pokedex/kabuto" xr:uid="{00000000-0004-0000-0200-00006E000000}"/>
    <hyperlink ref="B57" r:id="rId112" tooltip="View pokedex for #141 Kabutops" display="http://pokemondb.net/pokedex/kabutops" xr:uid="{00000000-0004-0000-0200-00006F000000}"/>
    <hyperlink ref="A58" r:id="rId113" tooltip="View pokedex for #147 Dratini" display="http://pokemondb.net/pokedex/dratini" xr:uid="{00000000-0004-0000-0200-000070000000}"/>
    <hyperlink ref="B58" r:id="rId114" tooltip="View pokedex for #148 Dragonair" display="http://pokemondb.net/pokedex/dragonair" xr:uid="{00000000-0004-0000-0200-000071000000}"/>
    <hyperlink ref="A59" r:id="rId115" tooltip="View pokedex for #148 Dragonair" display="http://pokemondb.net/pokedex/dragonair" xr:uid="{00000000-0004-0000-0200-000072000000}"/>
    <hyperlink ref="B59" r:id="rId116" tooltip="View pokedex for #149 Dragonite" display="http://pokemondb.net/pokedex/dragonite" xr:uid="{00000000-0004-0000-0200-000073000000}"/>
    <hyperlink ref="A60" r:id="rId117" tooltip="View pokedex for #152 Chikorita" display="http://pokemondb.net/pokedex/chikorita" xr:uid="{00000000-0004-0000-0200-000074000000}"/>
    <hyperlink ref="B60" r:id="rId118" tooltip="View pokedex for #153 Bayleef" display="http://pokemondb.net/pokedex/bayleef" xr:uid="{00000000-0004-0000-0200-000075000000}"/>
    <hyperlink ref="A61" r:id="rId119" tooltip="View pokedex for #153 Bayleef" display="http://pokemondb.net/pokedex/bayleef" xr:uid="{00000000-0004-0000-0200-000076000000}"/>
    <hyperlink ref="B61" r:id="rId120" tooltip="View pokedex for #154 Meganium" display="http://pokemondb.net/pokedex/meganium" xr:uid="{00000000-0004-0000-0200-000077000000}"/>
    <hyperlink ref="A62" r:id="rId121" tooltip="View pokedex for #155 Cyndaquil" display="http://pokemondb.net/pokedex/cyndaquil" xr:uid="{00000000-0004-0000-0200-000078000000}"/>
    <hyperlink ref="B62" r:id="rId122" tooltip="View pokedex for #156 Quilava" display="http://pokemondb.net/pokedex/quilava" xr:uid="{00000000-0004-0000-0200-000079000000}"/>
    <hyperlink ref="A63" r:id="rId123" tooltip="View pokedex for #156 Quilava" display="http://pokemondb.net/pokedex/quilava" xr:uid="{00000000-0004-0000-0200-00007A000000}"/>
    <hyperlink ref="B63" r:id="rId124" tooltip="View pokedex for #157 Typhlosion" display="http://pokemondb.net/pokedex/typhlosion" xr:uid="{00000000-0004-0000-0200-00007B000000}"/>
    <hyperlink ref="A64" r:id="rId125" tooltip="View pokedex for #158 Totodile" display="http://pokemondb.net/pokedex/totodile" xr:uid="{00000000-0004-0000-0200-00007C000000}"/>
    <hyperlink ref="B64" r:id="rId126" tooltip="View pokedex for #159 Croconaw" display="http://pokemondb.net/pokedex/croconaw" xr:uid="{00000000-0004-0000-0200-00007D000000}"/>
    <hyperlink ref="A65" r:id="rId127" tooltip="View pokedex for #159 Croconaw" display="http://pokemondb.net/pokedex/croconaw" xr:uid="{00000000-0004-0000-0200-00007E000000}"/>
    <hyperlink ref="B65" r:id="rId128" tooltip="View pokedex for #160 Feraligatr" display="http://pokemondb.net/pokedex/feraligatr" xr:uid="{00000000-0004-0000-0200-00007F000000}"/>
    <hyperlink ref="A66" r:id="rId129" tooltip="View pokedex for #161 Sentret" display="http://pokemondb.net/pokedex/sentret" xr:uid="{00000000-0004-0000-0200-000080000000}"/>
    <hyperlink ref="B66" r:id="rId130" tooltip="View pokedex for #162 Furret" display="http://pokemondb.net/pokedex/furret" xr:uid="{00000000-0004-0000-0200-000081000000}"/>
    <hyperlink ref="A67" r:id="rId131" tooltip="View pokedex for #163 Hoothoot" display="http://pokemondb.net/pokedex/hoothoot" xr:uid="{00000000-0004-0000-0200-000082000000}"/>
    <hyperlink ref="B67" r:id="rId132" tooltip="View pokedex for #164 Noctowl" display="http://pokemondb.net/pokedex/noctowl" xr:uid="{00000000-0004-0000-0200-000083000000}"/>
    <hyperlink ref="A68" r:id="rId133" tooltip="View pokedex for #165 Ledyba" display="http://pokemondb.net/pokedex/ledyba" xr:uid="{00000000-0004-0000-0200-000084000000}"/>
    <hyperlink ref="B68" r:id="rId134" tooltip="View pokedex for #166 Ledian" display="http://pokemondb.net/pokedex/ledian" xr:uid="{00000000-0004-0000-0200-000085000000}"/>
    <hyperlink ref="A69" r:id="rId135" tooltip="View pokedex for #167 Spinarak" display="http://pokemondb.net/pokedex/spinarak" xr:uid="{00000000-0004-0000-0200-000086000000}"/>
    <hyperlink ref="B69" r:id="rId136" tooltip="View pokedex for #168 Ariados" display="http://pokemondb.net/pokedex/ariados" xr:uid="{00000000-0004-0000-0200-000087000000}"/>
    <hyperlink ref="A70" r:id="rId137" tooltip="View pokedex for #170 Chinchou" display="http://pokemondb.net/pokedex/chinchou" xr:uid="{00000000-0004-0000-0200-000088000000}"/>
    <hyperlink ref="B70" r:id="rId138" tooltip="View pokedex for #171 Lanturn" display="http://pokemondb.net/pokedex/lanturn" xr:uid="{00000000-0004-0000-0200-000089000000}"/>
    <hyperlink ref="A71" r:id="rId139" tooltip="View pokedex for #177 Natu" display="http://pokemondb.net/pokedex/natu" xr:uid="{00000000-0004-0000-0200-00008A000000}"/>
    <hyperlink ref="B71" r:id="rId140" tooltip="View pokedex for #178 Xatu" display="http://pokemondb.net/pokedex/xatu" xr:uid="{00000000-0004-0000-0200-00008B000000}"/>
    <hyperlink ref="A72" r:id="rId141" tooltip="View pokedex for #179 Mareep" display="http://pokemondb.net/pokedex/mareep" xr:uid="{00000000-0004-0000-0200-00008C000000}"/>
    <hyperlink ref="B72" r:id="rId142" tooltip="View pokedex for #180 Flaaffy" display="http://pokemondb.net/pokedex/flaaffy" xr:uid="{00000000-0004-0000-0200-00008D000000}"/>
    <hyperlink ref="A73" r:id="rId143" tooltip="View pokedex for #180 Flaaffy" display="http://pokemondb.net/pokedex/flaaffy" xr:uid="{00000000-0004-0000-0200-00008E000000}"/>
    <hyperlink ref="B73" r:id="rId144" tooltip="View pokedex for #181 Ampharos" display="http://pokemondb.net/pokedex/ampharos" xr:uid="{00000000-0004-0000-0200-00008F000000}"/>
    <hyperlink ref="A74" r:id="rId145" tooltip="View pokedex for #183 Marill" display="http://pokemondb.net/pokedex/marill" xr:uid="{00000000-0004-0000-0200-000090000000}"/>
    <hyperlink ref="B74" r:id="rId146" tooltip="View pokedex for #184 Azumarill" display="http://pokemondb.net/pokedex/azumarill" xr:uid="{00000000-0004-0000-0200-000091000000}"/>
    <hyperlink ref="A75" r:id="rId147" tooltip="View pokedex for #187 Hoppip" display="http://pokemondb.net/pokedex/hoppip" xr:uid="{00000000-0004-0000-0200-000092000000}"/>
    <hyperlink ref="B75" r:id="rId148" tooltip="View pokedex for #188 Skiploom" display="http://pokemondb.net/pokedex/skiploom" xr:uid="{00000000-0004-0000-0200-000093000000}"/>
    <hyperlink ref="A76" r:id="rId149" tooltip="View pokedex for #188 Skiploom" display="http://pokemondb.net/pokedex/skiploom" xr:uid="{00000000-0004-0000-0200-000094000000}"/>
    <hyperlink ref="B76" r:id="rId150" tooltip="View pokedex for #189 Jumpluff" display="http://pokemondb.net/pokedex/jumpluff" xr:uid="{00000000-0004-0000-0200-000095000000}"/>
    <hyperlink ref="A77" r:id="rId151" tooltip="View pokedex for #194 Wooper" display="http://pokemondb.net/pokedex/wooper" xr:uid="{00000000-0004-0000-0200-000096000000}"/>
    <hyperlink ref="B77" r:id="rId152" tooltip="View pokedex for #195 Quagsire" display="http://pokemondb.net/pokedex/quagsire" xr:uid="{00000000-0004-0000-0200-000097000000}"/>
    <hyperlink ref="A78" r:id="rId153" tooltip="View pokedex for #360 Wynaut" display="http://pokemondb.net/pokedex/wynaut" xr:uid="{00000000-0004-0000-0200-000098000000}"/>
    <hyperlink ref="B78" r:id="rId154" tooltip="View pokedex for #202 Wobbuffet" display="http://pokemondb.net/pokedex/wobbuffet" xr:uid="{00000000-0004-0000-0200-000099000000}"/>
    <hyperlink ref="A79" r:id="rId155" tooltip="View pokedex for #204 Pineco" display="http://pokemondb.net/pokedex/pineco" xr:uid="{00000000-0004-0000-0200-00009A000000}"/>
    <hyperlink ref="B79" r:id="rId156" tooltip="View pokedex for #205 Forretress" display="http://pokemondb.net/pokedex/forretress" xr:uid="{00000000-0004-0000-0200-00009B000000}"/>
    <hyperlink ref="A80" r:id="rId157" tooltip="View pokedex for #209 Snubbull" display="http://pokemondb.net/pokedex/snubbull" xr:uid="{00000000-0004-0000-0200-00009C000000}"/>
    <hyperlink ref="B80" r:id="rId158" tooltip="View pokedex for #210 Granbull" display="http://pokemondb.net/pokedex/granbull" xr:uid="{00000000-0004-0000-0200-00009D000000}"/>
    <hyperlink ref="A81" r:id="rId159" tooltip="View pokedex for #216 Teddiursa" display="http://pokemondb.net/pokedex/teddiursa" xr:uid="{00000000-0004-0000-0200-00009E000000}"/>
    <hyperlink ref="B81" r:id="rId160" tooltip="View pokedex for #217 Ursaring" display="http://pokemondb.net/pokedex/ursaring" xr:uid="{00000000-0004-0000-0200-00009F000000}"/>
    <hyperlink ref="A82" r:id="rId161" tooltip="View pokedex for #218 Slugma" display="http://pokemondb.net/pokedex/slugma" xr:uid="{00000000-0004-0000-0200-0000A0000000}"/>
    <hyperlink ref="B82" r:id="rId162" tooltip="View pokedex for #219 Magcargo" display="http://pokemondb.net/pokedex/magcargo" xr:uid="{00000000-0004-0000-0200-0000A1000000}"/>
    <hyperlink ref="A83" r:id="rId163" tooltip="View pokedex for #220 Swinub" display="http://pokemondb.net/pokedex/swinub" xr:uid="{00000000-0004-0000-0200-0000A2000000}"/>
    <hyperlink ref="B83" r:id="rId164" tooltip="View pokedex for #221 Piloswine" display="http://pokemondb.net/pokedex/piloswine" xr:uid="{00000000-0004-0000-0200-0000A3000000}"/>
    <hyperlink ref="A84" r:id="rId165" tooltip="View pokedex for #223 Remoraid" display="http://pokemondb.net/pokedex/remoraid" xr:uid="{00000000-0004-0000-0200-0000A4000000}"/>
    <hyperlink ref="B84" r:id="rId166" tooltip="View pokedex for #224 Octillery" display="http://pokemondb.net/pokedex/octillery" xr:uid="{00000000-0004-0000-0200-0000A5000000}"/>
    <hyperlink ref="A85" r:id="rId167" tooltip="View pokedex for #228 Houndour" display="http://pokemondb.net/pokedex/houndour" xr:uid="{00000000-0004-0000-0200-0000A6000000}"/>
    <hyperlink ref="B85" r:id="rId168" tooltip="View pokedex for #229 Houndoom" display="http://pokemondb.net/pokedex/houndoom" xr:uid="{00000000-0004-0000-0200-0000A7000000}"/>
    <hyperlink ref="A86" r:id="rId169" tooltip="View pokedex for #231 Phanpy" display="http://pokemondb.net/pokedex/phanpy" xr:uid="{00000000-0004-0000-0200-0000A8000000}"/>
    <hyperlink ref="B86" r:id="rId170" tooltip="View pokedex for #232 Donphan" display="http://pokemondb.net/pokedex/donphan" xr:uid="{00000000-0004-0000-0200-0000A9000000}"/>
    <hyperlink ref="A87" r:id="rId171" tooltip="View pokedex for #246 Larvitar" display="http://pokemondb.net/pokedex/larvitar" xr:uid="{00000000-0004-0000-0200-0000AA000000}"/>
    <hyperlink ref="B87" r:id="rId172" tooltip="View pokedex for #247 Pupitar" display="http://pokemondb.net/pokedex/pupitar" xr:uid="{00000000-0004-0000-0200-0000AB000000}"/>
    <hyperlink ref="A88" r:id="rId173" tooltip="View pokedex for #247 Pupitar" display="http://pokemondb.net/pokedex/pupitar" xr:uid="{00000000-0004-0000-0200-0000AC000000}"/>
    <hyperlink ref="B88" r:id="rId174" tooltip="View pokedex for #248 Tyranitar" display="http://pokemondb.net/pokedex/tyranitar" xr:uid="{00000000-0004-0000-0200-0000AD000000}"/>
    <hyperlink ref="A89" r:id="rId175" tooltip="View pokedex for #252 Treecko" display="http://pokemondb.net/pokedex/treecko" xr:uid="{00000000-0004-0000-0200-0000AE000000}"/>
    <hyperlink ref="B89" r:id="rId176" tooltip="View pokedex for #253 Grovyle" display="http://pokemondb.net/pokedex/grovyle" xr:uid="{00000000-0004-0000-0200-0000AF000000}"/>
    <hyperlink ref="A90" r:id="rId177" tooltip="View pokedex for #253 Grovyle" display="http://pokemondb.net/pokedex/grovyle" xr:uid="{00000000-0004-0000-0200-0000B0000000}"/>
    <hyperlink ref="B90" r:id="rId178" tooltip="View pokedex for #254 Sceptile" display="http://pokemondb.net/pokedex/sceptile" xr:uid="{00000000-0004-0000-0200-0000B1000000}"/>
    <hyperlink ref="A91" r:id="rId179" tooltip="View pokedex for #255 Torchic" display="http://pokemondb.net/pokedex/torchic" xr:uid="{00000000-0004-0000-0200-0000B2000000}"/>
    <hyperlink ref="B91" r:id="rId180" tooltip="View pokedex for #256 Combusken" display="http://pokemondb.net/pokedex/combusken" xr:uid="{00000000-0004-0000-0200-0000B3000000}"/>
    <hyperlink ref="A92" r:id="rId181" tooltip="View pokedex for #256 Combusken" display="http://pokemondb.net/pokedex/combusken" xr:uid="{00000000-0004-0000-0200-0000B4000000}"/>
    <hyperlink ref="B92" r:id="rId182" tooltip="View pokedex for #257 Blaziken" display="http://pokemondb.net/pokedex/blaziken" xr:uid="{00000000-0004-0000-0200-0000B5000000}"/>
    <hyperlink ref="A93" r:id="rId183" tooltip="View pokedex for #258 Mudkip" display="http://pokemondb.net/pokedex/mudkip" xr:uid="{00000000-0004-0000-0200-0000B6000000}"/>
    <hyperlink ref="B93" r:id="rId184" tooltip="View pokedex for #259 Marshtomp" display="http://pokemondb.net/pokedex/marshtomp" xr:uid="{00000000-0004-0000-0200-0000B7000000}"/>
    <hyperlink ref="A94" r:id="rId185" tooltip="View pokedex for #259 Marshtomp" display="http://pokemondb.net/pokedex/marshtomp" xr:uid="{00000000-0004-0000-0200-0000B8000000}"/>
    <hyperlink ref="B94" r:id="rId186" tooltip="View pokedex for #260 Swampert" display="http://pokemondb.net/pokedex/swampert" xr:uid="{00000000-0004-0000-0200-0000B9000000}"/>
    <hyperlink ref="A95" r:id="rId187" tooltip="View pokedex for #261 Poochyena" display="http://pokemondb.net/pokedex/poochyena" xr:uid="{00000000-0004-0000-0200-0000BA000000}"/>
    <hyperlink ref="B95" r:id="rId188" tooltip="View pokedex for #262 Mightyena" display="http://pokemondb.net/pokedex/mightyena" xr:uid="{00000000-0004-0000-0200-0000BB000000}"/>
    <hyperlink ref="A96" r:id="rId189" tooltip="View pokedex for #263 Zigzagoon" display="http://pokemondb.net/pokedex/zigzagoon" xr:uid="{00000000-0004-0000-0200-0000BC000000}"/>
    <hyperlink ref="B96" r:id="rId190" tooltip="View pokedex for #264 Linoone" display="http://pokemondb.net/pokedex/linoone" xr:uid="{00000000-0004-0000-0200-0000BD000000}"/>
    <hyperlink ref="A97" r:id="rId191" tooltip="View pokedex for #265 Wurmple" display="http://pokemondb.net/pokedex/wurmple" xr:uid="{00000000-0004-0000-0200-0000BE000000}"/>
    <hyperlink ref="B97" r:id="rId192" tooltip="View pokedex for #266 Silcoon" display="http://pokemondb.net/pokedex/silcoon" xr:uid="{00000000-0004-0000-0200-0000BF000000}"/>
    <hyperlink ref="A98" r:id="rId193" tooltip="View pokedex for #266 Silcoon" display="http://pokemondb.net/pokedex/silcoon" xr:uid="{00000000-0004-0000-0200-0000C0000000}"/>
    <hyperlink ref="B98" r:id="rId194" tooltip="View pokedex for #267 Beautifly" display="http://pokemondb.net/pokedex/beautifly" xr:uid="{00000000-0004-0000-0200-0000C1000000}"/>
    <hyperlink ref="A99" r:id="rId195" tooltip="View pokedex for #265 Wurmple" display="http://pokemondb.net/pokedex/wurmple" xr:uid="{00000000-0004-0000-0200-0000C2000000}"/>
    <hyperlink ref="B99" r:id="rId196" tooltip="View pokedex for #268 Cascoon" display="http://pokemondb.net/pokedex/cascoon" xr:uid="{00000000-0004-0000-0200-0000C3000000}"/>
    <hyperlink ref="A100" r:id="rId197" tooltip="View pokedex for #268 Cascoon" display="http://pokemondb.net/pokedex/cascoon" xr:uid="{00000000-0004-0000-0200-0000C4000000}"/>
    <hyperlink ref="B100" r:id="rId198" tooltip="View pokedex for #269 Dustox" display="http://pokemondb.net/pokedex/dustox" xr:uid="{00000000-0004-0000-0200-0000C5000000}"/>
    <hyperlink ref="A101" r:id="rId199" tooltip="View pokedex for #270 Lotad" display="http://pokemondb.net/pokedex/lotad" xr:uid="{00000000-0004-0000-0200-0000C6000000}"/>
    <hyperlink ref="B101" r:id="rId200" tooltip="View pokedex for #271 Lombre" display="http://pokemondb.net/pokedex/lombre" xr:uid="{00000000-0004-0000-0200-0000C7000000}"/>
    <hyperlink ref="A102" r:id="rId201" tooltip="View pokedex for #273 Seedot" display="http://pokemondb.net/pokedex/seedot" xr:uid="{00000000-0004-0000-0200-0000C8000000}"/>
    <hyperlink ref="B102" r:id="rId202" tooltip="View pokedex for #274 Nuzleaf" display="http://pokemondb.net/pokedex/nuzleaf" xr:uid="{00000000-0004-0000-0200-0000C9000000}"/>
    <hyperlink ref="A103" r:id="rId203" tooltip="View pokedex for #276 Taillow" display="http://pokemondb.net/pokedex/taillow" xr:uid="{00000000-0004-0000-0200-0000CA000000}"/>
    <hyperlink ref="B103" r:id="rId204" tooltip="View pokedex for #277 Swellow" display="http://pokemondb.net/pokedex/swellow" xr:uid="{00000000-0004-0000-0200-0000CB000000}"/>
    <hyperlink ref="A104" r:id="rId205" tooltip="View pokedex for #278 Wingull" display="http://pokemondb.net/pokedex/wingull" xr:uid="{00000000-0004-0000-0200-0000CC000000}"/>
    <hyperlink ref="B104" r:id="rId206" tooltip="View pokedex for #279 Pelipper" display="http://pokemondb.net/pokedex/pelipper" xr:uid="{00000000-0004-0000-0200-0000CD000000}"/>
    <hyperlink ref="A105" r:id="rId207" tooltip="View pokedex for #280 Ralts" display="http://pokemondb.net/pokedex/ralts" xr:uid="{00000000-0004-0000-0200-0000CE000000}"/>
    <hyperlink ref="B105" r:id="rId208" tooltip="View pokedex for #281 Kirlia" display="http://pokemondb.net/pokedex/kirlia" xr:uid="{00000000-0004-0000-0200-0000CF000000}"/>
    <hyperlink ref="A106" r:id="rId209" tooltip="View pokedex for #281 Kirlia" display="http://pokemondb.net/pokedex/kirlia" xr:uid="{00000000-0004-0000-0200-0000D0000000}"/>
    <hyperlink ref="B106" r:id="rId210" tooltip="View pokedex for #282 Gardevoir" display="http://pokemondb.net/pokedex/gardevoir" xr:uid="{00000000-0004-0000-0200-0000D1000000}"/>
    <hyperlink ref="A107" r:id="rId211" tooltip="View pokedex for #283 Surskit" display="http://pokemondb.net/pokedex/surskit" xr:uid="{00000000-0004-0000-0200-0000D2000000}"/>
    <hyperlink ref="B107" r:id="rId212" tooltip="View pokedex for #284 Masquerain" display="http://pokemondb.net/pokedex/masquerain" xr:uid="{00000000-0004-0000-0200-0000D3000000}"/>
    <hyperlink ref="A108" r:id="rId213" tooltip="View pokedex for #285 Shroomish" display="http://pokemondb.net/pokedex/shroomish" xr:uid="{00000000-0004-0000-0200-0000D4000000}"/>
    <hyperlink ref="B108" r:id="rId214" tooltip="View pokedex for #286 Breloom" display="http://pokemondb.net/pokedex/breloom" xr:uid="{00000000-0004-0000-0200-0000D5000000}"/>
    <hyperlink ref="A109" r:id="rId215" tooltip="View pokedex for #287 Slakoth" display="http://pokemondb.net/pokedex/slakoth" xr:uid="{00000000-0004-0000-0200-0000D6000000}"/>
    <hyperlink ref="B109" r:id="rId216" tooltip="View pokedex for #288 Vigoroth" display="http://pokemondb.net/pokedex/vigoroth" xr:uid="{00000000-0004-0000-0200-0000D7000000}"/>
    <hyperlink ref="A110" r:id="rId217" tooltip="View pokedex for #288 Vigoroth" display="http://pokemondb.net/pokedex/vigoroth" xr:uid="{00000000-0004-0000-0200-0000D8000000}"/>
    <hyperlink ref="B110" r:id="rId218" tooltip="View pokedex for #289 Slaking" display="http://pokemondb.net/pokedex/slaking" xr:uid="{00000000-0004-0000-0200-0000D9000000}"/>
    <hyperlink ref="A111" r:id="rId219" tooltip="View pokedex for #290 Nincada" display="http://pokemondb.net/pokedex/nincada" xr:uid="{00000000-0004-0000-0200-0000DA000000}"/>
    <hyperlink ref="B111" r:id="rId220" tooltip="View pokedex for #291 Ninjask" display="http://pokemondb.net/pokedex/ninjask" xr:uid="{00000000-0004-0000-0200-0000DB000000}"/>
    <hyperlink ref="A112" r:id="rId221" tooltip="View pokedex for #290 Nincada" display="http://pokemondb.net/pokedex/nincada" xr:uid="{00000000-0004-0000-0200-0000DC000000}"/>
    <hyperlink ref="B112" r:id="rId222" tooltip="View pokedex for #292 Shedinja" display="http://pokemondb.net/pokedex/shedinja" xr:uid="{00000000-0004-0000-0200-0000DD000000}"/>
    <hyperlink ref="A113" r:id="rId223" tooltip="View pokedex for #293 Whismur" display="http://pokemondb.net/pokedex/whismur" xr:uid="{00000000-0004-0000-0200-0000DE000000}"/>
    <hyperlink ref="B113" r:id="rId224" tooltip="View pokedex for #294 Loudred" display="http://pokemondb.net/pokedex/loudred" xr:uid="{00000000-0004-0000-0200-0000DF000000}"/>
    <hyperlink ref="A114" r:id="rId225" tooltip="View pokedex for #294 Loudred" display="http://pokemondb.net/pokedex/loudred" xr:uid="{00000000-0004-0000-0200-0000E0000000}"/>
    <hyperlink ref="B114" r:id="rId226" tooltip="View pokedex for #295 Exploud" display="http://pokemondb.net/pokedex/exploud" xr:uid="{00000000-0004-0000-0200-0000E1000000}"/>
    <hyperlink ref="A115" r:id="rId227" tooltip="View pokedex for #296 Makuhita" display="http://pokemondb.net/pokedex/makuhita" xr:uid="{00000000-0004-0000-0200-0000E2000000}"/>
    <hyperlink ref="B115" r:id="rId228" tooltip="View pokedex for #297 Hariyama" display="http://pokemondb.net/pokedex/hariyama" xr:uid="{00000000-0004-0000-0200-0000E3000000}"/>
    <hyperlink ref="A116" r:id="rId229" tooltip="View pokedex for #304 Aron" display="http://pokemondb.net/pokedex/aron" xr:uid="{00000000-0004-0000-0200-0000E4000000}"/>
    <hyperlink ref="B116" r:id="rId230" tooltip="View pokedex for #305 Lairon" display="http://pokemondb.net/pokedex/lairon" xr:uid="{00000000-0004-0000-0200-0000E5000000}"/>
    <hyperlink ref="A117" r:id="rId231" tooltip="View pokedex for #305 Lairon" display="http://pokemondb.net/pokedex/lairon" xr:uid="{00000000-0004-0000-0200-0000E6000000}"/>
    <hyperlink ref="B117" r:id="rId232" tooltip="View pokedex for #306 Aggron" display="http://pokemondb.net/pokedex/aggron" xr:uid="{00000000-0004-0000-0200-0000E7000000}"/>
    <hyperlink ref="A118" r:id="rId233" tooltip="View pokedex for #307 Meditite" display="http://pokemondb.net/pokedex/meditite" xr:uid="{00000000-0004-0000-0200-0000E8000000}"/>
    <hyperlink ref="B118" r:id="rId234" tooltip="View pokedex for #308 Medicham" display="http://pokemondb.net/pokedex/medicham" xr:uid="{00000000-0004-0000-0200-0000E9000000}"/>
    <hyperlink ref="A119" r:id="rId235" tooltip="View pokedex for #309 Electrike" display="http://pokemondb.net/pokedex/electrike" xr:uid="{00000000-0004-0000-0200-0000EA000000}"/>
    <hyperlink ref="B119" r:id="rId236" tooltip="View pokedex for #310 Manectric" display="http://pokemondb.net/pokedex/manectric" xr:uid="{00000000-0004-0000-0200-0000EB000000}"/>
    <hyperlink ref="A120" r:id="rId237" tooltip="View pokedex for #316 Gulpin" display="http://pokemondb.net/pokedex/gulpin" xr:uid="{00000000-0004-0000-0200-0000EC000000}"/>
    <hyperlink ref="B120" r:id="rId238" tooltip="View pokedex for #317 Swalot" display="http://pokemondb.net/pokedex/swalot" xr:uid="{00000000-0004-0000-0200-0000ED000000}"/>
    <hyperlink ref="A121" r:id="rId239" tooltip="View pokedex for #318 Carvanha" display="http://pokemondb.net/pokedex/carvanha" xr:uid="{00000000-0004-0000-0200-0000EE000000}"/>
    <hyperlink ref="B121" r:id="rId240" tooltip="View pokedex for #319 Sharpedo" display="http://pokemondb.net/pokedex/sharpedo" xr:uid="{00000000-0004-0000-0200-0000EF000000}"/>
    <hyperlink ref="A122" r:id="rId241" tooltip="View pokedex for #320 Wailmer" display="http://pokemondb.net/pokedex/wailmer" xr:uid="{00000000-0004-0000-0200-0000F0000000}"/>
    <hyperlink ref="B122" r:id="rId242" tooltip="View pokedex for #321 Wailord" display="http://pokemondb.net/pokedex/wailord" xr:uid="{00000000-0004-0000-0200-0000F1000000}"/>
    <hyperlink ref="A123" r:id="rId243" tooltip="View pokedex for #322 Numel" display="http://pokemondb.net/pokedex/numel" xr:uid="{00000000-0004-0000-0200-0000F2000000}"/>
    <hyperlink ref="B123" r:id="rId244" tooltip="View pokedex for #323 Camerupt" display="http://pokemondb.net/pokedex/camerupt" xr:uid="{00000000-0004-0000-0200-0000F3000000}"/>
    <hyperlink ref="A124" r:id="rId245" tooltip="View pokedex for #325 Spoink" display="http://pokemondb.net/pokedex/spoink" xr:uid="{00000000-0004-0000-0200-0000F4000000}"/>
    <hyperlink ref="B124" r:id="rId246" tooltip="View pokedex for #326 Grumpig" display="http://pokemondb.net/pokedex/grumpig" xr:uid="{00000000-0004-0000-0200-0000F5000000}"/>
    <hyperlink ref="A125" r:id="rId247" tooltip="View pokedex for #328 Trapinch" display="http://pokemondb.net/pokedex/trapinch" xr:uid="{00000000-0004-0000-0200-0000F6000000}"/>
    <hyperlink ref="B125" r:id="rId248" tooltip="View pokedex for #329 Vibrava" display="http://pokemondb.net/pokedex/vibrava" xr:uid="{00000000-0004-0000-0200-0000F7000000}"/>
    <hyperlink ref="A126" r:id="rId249" tooltip="View pokedex for #329 Vibrava" display="http://pokemondb.net/pokedex/vibrava" xr:uid="{00000000-0004-0000-0200-0000F8000000}"/>
    <hyperlink ref="B126" r:id="rId250" tooltip="View pokedex for #330 Flygon" display="http://pokemondb.net/pokedex/flygon" xr:uid="{00000000-0004-0000-0200-0000F9000000}"/>
    <hyperlink ref="A127" r:id="rId251" tooltip="View pokedex for #331 Cacnea" display="http://pokemondb.net/pokedex/cacnea" xr:uid="{00000000-0004-0000-0200-0000FA000000}"/>
    <hyperlink ref="B127" r:id="rId252" tooltip="View pokedex for #332 Cacturne" display="http://pokemondb.net/pokedex/cacturne" xr:uid="{00000000-0004-0000-0200-0000FB000000}"/>
    <hyperlink ref="A128" r:id="rId253" tooltip="View pokedex for #333 Swablu" display="http://pokemondb.net/pokedex/swablu" xr:uid="{00000000-0004-0000-0200-0000FC000000}"/>
    <hyperlink ref="B128" r:id="rId254" tooltip="View pokedex for #334 Altaria" display="http://pokemondb.net/pokedex/altaria" xr:uid="{00000000-0004-0000-0200-0000FD000000}"/>
    <hyperlink ref="A129" r:id="rId255" tooltip="View pokedex for #339 Barboach" display="http://pokemondb.net/pokedex/barboach" xr:uid="{00000000-0004-0000-0200-0000FE000000}"/>
    <hyperlink ref="B129" r:id="rId256" tooltip="View pokedex for #340 Whiscash" display="http://pokemondb.net/pokedex/whiscash" xr:uid="{00000000-0004-0000-0200-0000FF000000}"/>
    <hyperlink ref="A130" r:id="rId257" tooltip="View pokedex for #341 Corphish" display="http://pokemondb.net/pokedex/corphish" xr:uid="{00000000-0004-0000-0200-000000010000}"/>
    <hyperlink ref="B130" r:id="rId258" tooltip="View pokedex for #342 Crawdaunt" display="http://pokemondb.net/pokedex/crawdaunt" xr:uid="{00000000-0004-0000-0200-000001010000}"/>
    <hyperlink ref="A131" r:id="rId259" tooltip="View pokedex for #343 Baltoy" display="http://pokemondb.net/pokedex/baltoy" xr:uid="{00000000-0004-0000-0200-000002010000}"/>
    <hyperlink ref="B131" r:id="rId260" tooltip="View pokedex for #344 Claydol" display="http://pokemondb.net/pokedex/claydol" xr:uid="{00000000-0004-0000-0200-000003010000}"/>
    <hyperlink ref="A132" r:id="rId261" tooltip="View pokedex for #345 Lileep" display="http://pokemondb.net/pokedex/lileep" xr:uid="{00000000-0004-0000-0200-000004010000}"/>
    <hyperlink ref="B132" r:id="rId262" tooltip="View pokedex for #346 Cradily" display="http://pokemondb.net/pokedex/cradily" xr:uid="{00000000-0004-0000-0200-000005010000}"/>
    <hyperlink ref="A133" r:id="rId263" tooltip="View pokedex for #347 Anorith" display="http://pokemondb.net/pokedex/anorith" xr:uid="{00000000-0004-0000-0200-000006010000}"/>
    <hyperlink ref="B133" r:id="rId264" tooltip="View pokedex for #348 Armaldo" display="http://pokemondb.net/pokedex/armaldo" xr:uid="{00000000-0004-0000-0200-000007010000}"/>
    <hyperlink ref="A134" r:id="rId265" tooltip="View pokedex for #353 Shuppet" display="http://pokemondb.net/pokedex/shuppet" xr:uid="{00000000-0004-0000-0200-000008010000}"/>
    <hyperlink ref="B134" r:id="rId266" tooltip="View pokedex for #354 Banette" display="http://pokemondb.net/pokedex/banette" xr:uid="{00000000-0004-0000-0200-000009010000}"/>
    <hyperlink ref="A135" r:id="rId267" tooltip="View pokedex for #355 Duskull" display="http://pokemondb.net/pokedex/duskull" xr:uid="{00000000-0004-0000-0200-00000A010000}"/>
    <hyperlink ref="B135" r:id="rId268" tooltip="View pokedex for #356 Dusclops" display="http://pokemondb.net/pokedex/dusclops" xr:uid="{00000000-0004-0000-0200-00000B010000}"/>
    <hyperlink ref="A136" r:id="rId269" tooltip="View pokedex for #361 Snorunt" display="http://pokemondb.net/pokedex/snorunt" xr:uid="{00000000-0004-0000-0200-00000C010000}"/>
    <hyperlink ref="B136" r:id="rId270" tooltip="View pokedex for #362 Glalie" display="http://pokemondb.net/pokedex/glalie" xr:uid="{00000000-0004-0000-0200-00000D010000}"/>
    <hyperlink ref="A137" r:id="rId271" tooltip="View pokedex for #363 Spheal" display="http://pokemondb.net/pokedex/spheal" xr:uid="{00000000-0004-0000-0200-00000E010000}"/>
    <hyperlink ref="B137" r:id="rId272" tooltip="View pokedex for #364 Sealeo" display="http://pokemondb.net/pokedex/sealeo" xr:uid="{00000000-0004-0000-0200-00000F010000}"/>
    <hyperlink ref="A138" r:id="rId273" tooltip="View pokedex for #364 Sealeo" display="http://pokemondb.net/pokedex/sealeo" xr:uid="{00000000-0004-0000-0200-000010010000}"/>
    <hyperlink ref="B138" r:id="rId274" tooltip="View pokedex for #365 Walrein" display="http://pokemondb.net/pokedex/walrein" xr:uid="{00000000-0004-0000-0200-000011010000}"/>
    <hyperlink ref="A139" r:id="rId275" tooltip="View pokedex for #371 Bagon" display="http://pokemondb.net/pokedex/bagon" xr:uid="{00000000-0004-0000-0200-000012010000}"/>
    <hyperlink ref="B139" r:id="rId276" tooltip="View pokedex for #372 Shelgon" display="http://pokemondb.net/pokedex/shelgon" xr:uid="{00000000-0004-0000-0200-000013010000}"/>
    <hyperlink ref="A140" r:id="rId277" tooltip="View pokedex for #372 Shelgon" display="http://pokemondb.net/pokedex/shelgon" xr:uid="{00000000-0004-0000-0200-000014010000}"/>
    <hyperlink ref="B140" r:id="rId278" tooltip="View pokedex for #373 Salamence" display="http://pokemondb.net/pokedex/salamence" xr:uid="{00000000-0004-0000-0200-000015010000}"/>
    <hyperlink ref="A141" r:id="rId279" tooltip="View pokedex for #374 Beldum" display="http://pokemondb.net/pokedex/beldum" xr:uid="{00000000-0004-0000-0200-000016010000}"/>
    <hyperlink ref="B141" r:id="rId280" tooltip="View pokedex for #375 Metang" display="http://pokemondb.net/pokedex/metang" xr:uid="{00000000-0004-0000-0200-000017010000}"/>
    <hyperlink ref="A142" r:id="rId281" tooltip="View pokedex for #375 Metang" display="http://pokemondb.net/pokedex/metang" xr:uid="{00000000-0004-0000-0200-000018010000}"/>
    <hyperlink ref="B142" r:id="rId282" tooltip="View pokedex for #376 Metagross" display="http://pokemondb.net/pokedex/metagross" xr:uid="{00000000-0004-0000-0200-000019010000}"/>
    <hyperlink ref="A143" r:id="rId283" tooltip="View pokedex for #387 Turtwig" display="http://pokemondb.net/pokedex/turtwig" xr:uid="{00000000-0004-0000-0200-00001A010000}"/>
    <hyperlink ref="B143" r:id="rId284" tooltip="View pokedex for #388 Grotle" display="http://pokemondb.net/pokedex/grotle" xr:uid="{00000000-0004-0000-0200-00001B010000}"/>
    <hyperlink ref="A144" r:id="rId285" tooltip="View pokedex for #388 Grotle" display="http://pokemondb.net/pokedex/grotle" xr:uid="{00000000-0004-0000-0200-00001C010000}"/>
    <hyperlink ref="B144" r:id="rId286" tooltip="View pokedex for #389 Torterra" display="http://pokemondb.net/pokedex/torterra" xr:uid="{00000000-0004-0000-0200-00001D010000}"/>
    <hyperlink ref="A145" r:id="rId287" tooltip="View pokedex for #390 Chimchar" display="http://pokemondb.net/pokedex/chimchar" xr:uid="{00000000-0004-0000-0200-00001E010000}"/>
    <hyperlink ref="B145" r:id="rId288" tooltip="View pokedex for #391 Monferno" display="http://pokemondb.net/pokedex/monferno" xr:uid="{00000000-0004-0000-0200-00001F010000}"/>
    <hyperlink ref="A146" r:id="rId289" tooltip="View pokedex for #391 Monferno" display="http://pokemondb.net/pokedex/monferno" xr:uid="{00000000-0004-0000-0200-000020010000}"/>
    <hyperlink ref="B146" r:id="rId290" tooltip="View pokedex for #392 Infernape" display="http://pokemondb.net/pokedex/infernape" xr:uid="{00000000-0004-0000-0200-000021010000}"/>
    <hyperlink ref="A147" r:id="rId291" tooltip="View pokedex for #393 Piplup" display="http://pokemondb.net/pokedex/piplup" xr:uid="{00000000-0004-0000-0200-000022010000}"/>
    <hyperlink ref="B147" r:id="rId292" tooltip="View pokedex for #394 Prinplup" display="http://pokemondb.net/pokedex/prinplup" xr:uid="{00000000-0004-0000-0200-000023010000}"/>
    <hyperlink ref="A148" r:id="rId293" tooltip="View pokedex for #394 Prinplup" display="http://pokemondb.net/pokedex/prinplup" xr:uid="{00000000-0004-0000-0200-000024010000}"/>
    <hyperlink ref="B148" r:id="rId294" tooltip="View pokedex for #395 Empoleon" display="http://pokemondb.net/pokedex/empoleon" xr:uid="{00000000-0004-0000-0200-000025010000}"/>
    <hyperlink ref="A149" r:id="rId295" tooltip="View pokedex for #396 Starly" display="http://pokemondb.net/pokedex/starly" xr:uid="{00000000-0004-0000-0200-000026010000}"/>
    <hyperlink ref="B149" r:id="rId296" tooltip="View pokedex for #397 Staravia" display="http://pokemondb.net/pokedex/staravia" xr:uid="{00000000-0004-0000-0200-000027010000}"/>
    <hyperlink ref="A150" r:id="rId297" tooltip="View pokedex for #397 Staravia" display="http://pokemondb.net/pokedex/staravia" xr:uid="{00000000-0004-0000-0200-000028010000}"/>
    <hyperlink ref="B150" r:id="rId298" tooltip="View pokedex for #398 Staraptor" display="http://pokemondb.net/pokedex/staraptor" xr:uid="{00000000-0004-0000-0200-000029010000}"/>
    <hyperlink ref="A151" r:id="rId299" tooltip="View pokedex for #399 Bidoof" display="http://pokemondb.net/pokedex/bidoof" xr:uid="{00000000-0004-0000-0200-00002A010000}"/>
    <hyperlink ref="B151" r:id="rId300" tooltip="View pokedex for #400 Bibarel" display="http://pokemondb.net/pokedex/bibarel" xr:uid="{00000000-0004-0000-0200-00002B010000}"/>
    <hyperlink ref="A152" r:id="rId301" tooltip="View pokedex for #401 Kricketot" display="http://pokemondb.net/pokedex/kricketot" xr:uid="{00000000-0004-0000-0200-00002C010000}"/>
    <hyperlink ref="B152" r:id="rId302" tooltip="View pokedex for #402 Kricketune" display="http://pokemondb.net/pokedex/kricketune" xr:uid="{00000000-0004-0000-0200-00002D010000}"/>
    <hyperlink ref="A153" r:id="rId303" tooltip="View pokedex for #403 Shinx" display="http://pokemondb.net/pokedex/shinx" xr:uid="{00000000-0004-0000-0200-00002E010000}"/>
    <hyperlink ref="B153" r:id="rId304" tooltip="View pokedex for #404 Luxio" display="http://pokemondb.net/pokedex/luxio" xr:uid="{00000000-0004-0000-0200-00002F010000}"/>
    <hyperlink ref="A154" r:id="rId305" tooltip="View pokedex for #404 Luxio" display="http://pokemondb.net/pokedex/luxio" xr:uid="{00000000-0004-0000-0200-000030010000}"/>
    <hyperlink ref="B154" r:id="rId306" tooltip="View pokedex for #405 Luxray" display="http://pokemondb.net/pokedex/luxray" xr:uid="{00000000-0004-0000-0200-000031010000}"/>
    <hyperlink ref="A155" r:id="rId307" tooltip="View pokedex for #408 Cranidos" display="http://pokemondb.net/pokedex/cranidos" xr:uid="{00000000-0004-0000-0200-000032010000}"/>
    <hyperlink ref="B155" r:id="rId308" tooltip="View pokedex for #409 Rampardos" display="http://pokemondb.net/pokedex/rampardos" xr:uid="{00000000-0004-0000-0200-000033010000}"/>
    <hyperlink ref="A156" r:id="rId309" tooltip="View pokedex for #410 Shieldon" display="http://pokemondb.net/pokedex/shieldon" xr:uid="{00000000-0004-0000-0200-000034010000}"/>
    <hyperlink ref="B156" r:id="rId310" tooltip="View pokedex for #411 Bastiodon" display="http://pokemondb.net/pokedex/bastiodon" xr:uid="{00000000-0004-0000-0200-000035010000}"/>
    <hyperlink ref="A157" r:id="rId311" tooltip="View pokedex for #412 Burmy" display="http://pokemondb.net/pokedex/burmy" xr:uid="{00000000-0004-0000-0200-000036010000}"/>
    <hyperlink ref="B157" r:id="rId312" tooltip="View pokedex for #414 Mothim" display="http://pokemondb.net/pokedex/mothim" xr:uid="{00000000-0004-0000-0200-000037010000}"/>
    <hyperlink ref="A158" r:id="rId313" tooltip="View pokedex for #412 Burmy" display="http://pokemondb.net/pokedex/burmy" xr:uid="{00000000-0004-0000-0200-000038010000}"/>
    <hyperlink ref="B158" r:id="rId314" tooltip="View pokedex for #413 Wormadam" display="http://pokemondb.net/pokedex/wormadam" xr:uid="{00000000-0004-0000-0200-000039010000}"/>
    <hyperlink ref="A160" r:id="rId315" tooltip="View pokedex for #412 Burmy" display="http://pokemondb.net/pokedex/burmy" xr:uid="{00000000-0004-0000-0200-00003A010000}"/>
    <hyperlink ref="B160" r:id="rId316" tooltip="View pokedex for #413 Wormadam" display="http://pokemondb.net/pokedex/wormadam" xr:uid="{00000000-0004-0000-0200-00003B010000}"/>
    <hyperlink ref="A162" r:id="rId317" tooltip="View pokedex for #412 Burmy" display="http://pokemondb.net/pokedex/burmy" xr:uid="{00000000-0004-0000-0200-00003C010000}"/>
    <hyperlink ref="B162" r:id="rId318" tooltip="View pokedex for #413 Wormadam" display="http://pokemondb.net/pokedex/wormadam" xr:uid="{00000000-0004-0000-0200-00003D010000}"/>
    <hyperlink ref="A164" r:id="rId319" tooltip="View pokedex for #415 Combee" display="http://pokemondb.net/pokedex/combee" xr:uid="{00000000-0004-0000-0200-00003E010000}"/>
    <hyperlink ref="B164" r:id="rId320" tooltip="View pokedex for #416 Vespiquen" display="http://pokemondb.net/pokedex/vespiquen" xr:uid="{00000000-0004-0000-0200-00003F010000}"/>
    <hyperlink ref="A165" r:id="rId321" tooltip="View pokedex for #418 Buizel" display="http://pokemondb.net/pokedex/buizel" xr:uid="{00000000-0004-0000-0200-000040010000}"/>
    <hyperlink ref="B165" r:id="rId322" tooltip="View pokedex for #419 Floatzel" display="http://pokemondb.net/pokedex/floatzel" xr:uid="{00000000-0004-0000-0200-000041010000}"/>
    <hyperlink ref="A166" r:id="rId323" tooltip="View pokedex for #420 Cherubi" display="http://pokemondb.net/pokedex/cherubi" xr:uid="{00000000-0004-0000-0200-000042010000}"/>
    <hyperlink ref="B166" r:id="rId324" tooltip="View pokedex for #421 Cherrim" display="http://pokemondb.net/pokedex/cherrim" xr:uid="{00000000-0004-0000-0200-000043010000}"/>
    <hyperlink ref="A167" r:id="rId325" tooltip="View pokedex for #422 Shellos" display="http://pokemondb.net/pokedex/shellos" xr:uid="{00000000-0004-0000-0200-000044010000}"/>
    <hyperlink ref="B167" r:id="rId326" tooltip="View pokedex for #423 Gastrodon" display="http://pokemondb.net/pokedex/gastrodon" xr:uid="{00000000-0004-0000-0200-000045010000}"/>
    <hyperlink ref="A168" r:id="rId327" tooltip="View pokedex for #425 Drifloon" display="http://pokemondb.net/pokedex/drifloon" xr:uid="{00000000-0004-0000-0200-000046010000}"/>
    <hyperlink ref="B168" r:id="rId328" tooltip="View pokedex for #426 Drifblim" display="http://pokemondb.net/pokedex/drifblim" xr:uid="{00000000-0004-0000-0200-000047010000}"/>
    <hyperlink ref="A169" r:id="rId329" tooltip="View pokedex for #431 Glameow" display="http://pokemondb.net/pokedex/glameow" xr:uid="{00000000-0004-0000-0200-000048010000}"/>
    <hyperlink ref="B169" r:id="rId330" tooltip="View pokedex for #432 Purugly" display="http://pokemondb.net/pokedex/purugly" xr:uid="{00000000-0004-0000-0200-000049010000}"/>
    <hyperlink ref="A170" r:id="rId331" tooltip="View pokedex for #434 Stunky" display="http://pokemondb.net/pokedex/stunky" xr:uid="{00000000-0004-0000-0200-00004A010000}"/>
    <hyperlink ref="B170" r:id="rId332" tooltip="View pokedex for #435 Skuntank" display="http://pokemondb.net/pokedex/skuntank" xr:uid="{00000000-0004-0000-0200-00004B010000}"/>
    <hyperlink ref="A171" r:id="rId333" tooltip="View pokedex for #436 Bronzor" display="http://pokemondb.net/pokedex/bronzor" xr:uid="{00000000-0004-0000-0200-00004C010000}"/>
    <hyperlink ref="B171" r:id="rId334" tooltip="View pokedex for #437 Bronzong" display="http://pokemondb.net/pokedex/bronzong" xr:uid="{00000000-0004-0000-0200-00004D010000}"/>
    <hyperlink ref="A172" r:id="rId335" tooltip="View pokedex for #443 Gible" display="http://pokemondb.net/pokedex/gible" xr:uid="{00000000-0004-0000-0200-00004E010000}"/>
    <hyperlink ref="B172" r:id="rId336" tooltip="View pokedex for #444 Gabite" display="http://pokemondb.net/pokedex/gabite" xr:uid="{00000000-0004-0000-0200-00004F010000}"/>
    <hyperlink ref="A173" r:id="rId337" tooltip="View pokedex for #444 Gabite" display="http://pokemondb.net/pokedex/gabite" xr:uid="{00000000-0004-0000-0200-000050010000}"/>
    <hyperlink ref="B173" r:id="rId338" tooltip="View pokedex for #445 Garchomp" display="http://pokemondb.net/pokedex/garchomp" xr:uid="{00000000-0004-0000-0200-000051010000}"/>
    <hyperlink ref="A174" r:id="rId339" tooltip="View pokedex for #449 Hippopotas" display="http://pokemondb.net/pokedex/hippopotas" xr:uid="{00000000-0004-0000-0200-000052010000}"/>
    <hyperlink ref="B174" r:id="rId340" tooltip="View pokedex for #450 Hippowdon" display="http://pokemondb.net/pokedex/hippowdon" xr:uid="{00000000-0004-0000-0200-000053010000}"/>
    <hyperlink ref="A175" r:id="rId341" tooltip="View pokedex for #451 Skorupi" display="http://pokemondb.net/pokedex/skorupi" xr:uid="{00000000-0004-0000-0200-000054010000}"/>
    <hyperlink ref="B175" r:id="rId342" tooltip="View pokedex for #452 Drapion" display="http://pokemondb.net/pokedex/drapion" xr:uid="{00000000-0004-0000-0200-000055010000}"/>
    <hyperlink ref="A176" r:id="rId343" tooltip="View pokedex for #453 Croagunk" display="http://pokemondb.net/pokedex/croagunk" xr:uid="{00000000-0004-0000-0200-000056010000}"/>
    <hyperlink ref="B176" r:id="rId344" tooltip="View pokedex for #454 Toxicroak" display="http://pokemondb.net/pokedex/toxicroak" xr:uid="{00000000-0004-0000-0200-000057010000}"/>
    <hyperlink ref="A177" r:id="rId345" tooltip="View pokedex for #456 Finneon" display="http://pokemondb.net/pokedex/finneon" xr:uid="{00000000-0004-0000-0200-000058010000}"/>
    <hyperlink ref="B177" r:id="rId346" tooltip="View pokedex for #457 Lumineon" display="http://pokemondb.net/pokedex/lumineon" xr:uid="{00000000-0004-0000-0200-000059010000}"/>
    <hyperlink ref="A178" r:id="rId347" tooltip="View pokedex for #459 Snover" display="http://pokemondb.net/pokedex/snover" xr:uid="{00000000-0004-0000-0200-00005A010000}"/>
    <hyperlink ref="B178" r:id="rId348" tooltip="View pokedex for #460 Abomasnow" display="http://pokemondb.net/pokedex/abomasnow" xr:uid="{00000000-0004-0000-0200-00005B010000}"/>
    <hyperlink ref="A179" r:id="rId349" tooltip="View pokedex for #495 Snivy" display="http://pokemondb.net/pokedex/snivy" xr:uid="{00000000-0004-0000-0200-00005C010000}"/>
    <hyperlink ref="B179" r:id="rId350" tooltip="View pokedex for #496 Servine" display="http://pokemondb.net/pokedex/servine" xr:uid="{00000000-0004-0000-0200-00005D010000}"/>
    <hyperlink ref="A180" r:id="rId351" tooltip="View pokedex for #496 Servine" display="http://pokemondb.net/pokedex/servine" xr:uid="{00000000-0004-0000-0200-00005E010000}"/>
    <hyperlink ref="B180" r:id="rId352" tooltip="View pokedex for #497 Serperior" display="http://pokemondb.net/pokedex/serperior" xr:uid="{00000000-0004-0000-0200-00005F010000}"/>
    <hyperlink ref="A181" r:id="rId353" tooltip="View pokedex for #498 Tepig" display="http://pokemondb.net/pokedex/tepig" xr:uid="{00000000-0004-0000-0200-000060010000}"/>
    <hyperlink ref="B181" r:id="rId354" tooltip="View pokedex for #499 Pignite" display="http://pokemondb.net/pokedex/pignite" xr:uid="{00000000-0004-0000-0200-000061010000}"/>
    <hyperlink ref="A182" r:id="rId355" tooltip="View pokedex for #499 Pignite" display="http://pokemondb.net/pokedex/pignite" xr:uid="{00000000-0004-0000-0200-000062010000}"/>
    <hyperlink ref="B182" r:id="rId356" tooltip="View pokedex for #500 Emboar" display="http://pokemondb.net/pokedex/emboar" xr:uid="{00000000-0004-0000-0200-000063010000}"/>
    <hyperlink ref="A183" r:id="rId357" tooltip="View pokedex for #501 Oshawott" display="http://pokemondb.net/pokedex/oshawott" xr:uid="{00000000-0004-0000-0200-000064010000}"/>
    <hyperlink ref="B183" r:id="rId358" tooltip="View pokedex for #502 Dewott" display="http://pokemondb.net/pokedex/dewott" xr:uid="{00000000-0004-0000-0200-000065010000}"/>
    <hyperlink ref="A184" r:id="rId359" tooltip="View pokedex for #502 Dewott" display="http://pokemondb.net/pokedex/dewott" xr:uid="{00000000-0004-0000-0200-000066010000}"/>
    <hyperlink ref="B184" r:id="rId360" tooltip="View pokedex for #503 Samurott" display="http://pokemondb.net/pokedex/samurott" xr:uid="{00000000-0004-0000-0200-000067010000}"/>
    <hyperlink ref="A185" r:id="rId361" tooltip="View pokedex for #504 Patrat" display="http://pokemondb.net/pokedex/patrat" xr:uid="{00000000-0004-0000-0200-000068010000}"/>
    <hyperlink ref="B185" r:id="rId362" tooltip="View pokedex for #505 Watchog" display="http://pokemondb.net/pokedex/watchog" xr:uid="{00000000-0004-0000-0200-000069010000}"/>
    <hyperlink ref="A186" r:id="rId363" tooltip="View pokedex for #506 Lillipup" display="http://pokemondb.net/pokedex/lillipup" xr:uid="{00000000-0004-0000-0200-00006A010000}"/>
    <hyperlink ref="B186" r:id="rId364" tooltip="View pokedex for #507 Herdier" display="http://pokemondb.net/pokedex/herdier" xr:uid="{00000000-0004-0000-0200-00006B010000}"/>
    <hyperlink ref="A187" r:id="rId365" tooltip="View pokedex for #507 Herdier" display="http://pokemondb.net/pokedex/herdier" xr:uid="{00000000-0004-0000-0200-00006C010000}"/>
    <hyperlink ref="B187" r:id="rId366" tooltip="View pokedex for #508 Stoutland" display="http://pokemondb.net/pokedex/stoutland" xr:uid="{00000000-0004-0000-0200-00006D010000}"/>
    <hyperlink ref="A188" r:id="rId367" tooltip="View pokedex for #509 Purrloin" display="http://pokemondb.net/pokedex/purrloin" xr:uid="{00000000-0004-0000-0200-00006E010000}"/>
    <hyperlink ref="B188" r:id="rId368" tooltip="View pokedex for #510 Liepard" display="http://pokemondb.net/pokedex/liepard" xr:uid="{00000000-0004-0000-0200-00006F010000}"/>
    <hyperlink ref="A189" r:id="rId369" tooltip="View pokedex for #519 Pidove" display="http://pokemondb.net/pokedex/pidove" xr:uid="{00000000-0004-0000-0200-000070010000}"/>
    <hyperlink ref="B189" r:id="rId370" tooltip="View pokedex for #520 Tranquill" display="http://pokemondb.net/pokedex/tranquill" xr:uid="{00000000-0004-0000-0200-000071010000}"/>
    <hyperlink ref="A190" r:id="rId371" tooltip="View pokedex for #520 Tranquill" display="http://pokemondb.net/pokedex/tranquill" xr:uid="{00000000-0004-0000-0200-000072010000}"/>
    <hyperlink ref="B190" r:id="rId372" tooltip="View pokedex for #521 Unfezant" display="http://pokemondb.net/pokedex/unfezant" xr:uid="{00000000-0004-0000-0200-000073010000}"/>
    <hyperlink ref="A191" r:id="rId373" tooltip="View pokedex for #522 Blitzle" display="http://pokemondb.net/pokedex/blitzle" xr:uid="{00000000-0004-0000-0200-000074010000}"/>
    <hyperlink ref="B191" r:id="rId374" tooltip="View pokedex for #523 Zebstrika" display="http://pokemondb.net/pokedex/zebstrika" xr:uid="{00000000-0004-0000-0200-000075010000}"/>
    <hyperlink ref="A192" r:id="rId375" tooltip="View pokedex for #524 Roggenrola" display="http://pokemondb.net/pokedex/roggenrola" xr:uid="{00000000-0004-0000-0200-000076010000}"/>
    <hyperlink ref="B192" r:id="rId376" tooltip="View pokedex for #525 Boldore" display="http://pokemondb.net/pokedex/boldore" xr:uid="{00000000-0004-0000-0200-000077010000}"/>
    <hyperlink ref="A193" r:id="rId377" tooltip="View pokedex for #529 Drilbur" display="http://pokemondb.net/pokedex/drilbur" xr:uid="{00000000-0004-0000-0200-000078010000}"/>
    <hyperlink ref="B193" r:id="rId378" tooltip="View pokedex for #530 Excadrill" display="http://pokemondb.net/pokedex/excadrill" xr:uid="{00000000-0004-0000-0200-000079010000}"/>
    <hyperlink ref="A194" r:id="rId379" tooltip="View pokedex for #532 Timburr" display="http://pokemondb.net/pokedex/timburr" xr:uid="{00000000-0004-0000-0200-00007A010000}"/>
    <hyperlink ref="B194" r:id="rId380" tooltip="View pokedex for #533 Gurdurr" display="http://pokemondb.net/pokedex/gurdurr" xr:uid="{00000000-0004-0000-0200-00007B010000}"/>
    <hyperlink ref="A195" r:id="rId381" tooltip="View pokedex for #535 Tympole" display="http://pokemondb.net/pokedex/tympole" xr:uid="{00000000-0004-0000-0200-00007C010000}"/>
    <hyperlink ref="B195" r:id="rId382" tooltip="View pokedex for #536 Palpitoad" display="http://pokemondb.net/pokedex/palpitoad" xr:uid="{00000000-0004-0000-0200-00007D010000}"/>
    <hyperlink ref="A196" r:id="rId383" tooltip="View pokedex for #536 Palpitoad" display="http://pokemondb.net/pokedex/palpitoad" xr:uid="{00000000-0004-0000-0200-00007E010000}"/>
    <hyperlink ref="B196" r:id="rId384" tooltip="View pokedex for #537 Seismitoad" display="http://pokemondb.net/pokedex/seismitoad" xr:uid="{00000000-0004-0000-0200-00007F010000}"/>
    <hyperlink ref="A197" r:id="rId385" tooltip="View pokedex for #540 Sewaddle" display="http://pokemondb.net/pokedex/sewaddle" xr:uid="{00000000-0004-0000-0200-000080010000}"/>
    <hyperlink ref="B197" r:id="rId386" tooltip="View pokedex for #541 Swadloon" display="http://pokemondb.net/pokedex/swadloon" xr:uid="{00000000-0004-0000-0200-000081010000}"/>
    <hyperlink ref="A198" r:id="rId387" tooltip="View pokedex for #543 Venipede" display="http://pokemondb.net/pokedex/venipede" xr:uid="{00000000-0004-0000-0200-000082010000}"/>
    <hyperlink ref="B198" r:id="rId388" tooltip="View pokedex for #544 Whirlipede" display="http://pokemondb.net/pokedex/whirlipede" xr:uid="{00000000-0004-0000-0200-000083010000}"/>
    <hyperlink ref="A199" r:id="rId389" tooltip="View pokedex for #544 Whirlipede" display="http://pokemondb.net/pokedex/whirlipede" xr:uid="{00000000-0004-0000-0200-000084010000}"/>
    <hyperlink ref="B199" r:id="rId390" tooltip="View pokedex for #545 Scolipede" display="http://pokemondb.net/pokedex/scolipede" xr:uid="{00000000-0004-0000-0200-000085010000}"/>
    <hyperlink ref="A200" r:id="rId391" tooltip="View pokedex for #551 Sandile" display="http://pokemondb.net/pokedex/sandile" xr:uid="{00000000-0004-0000-0200-000086010000}"/>
    <hyperlink ref="B200" r:id="rId392" tooltip="View pokedex for #552 Krokorok" display="http://pokemondb.net/pokedex/krokorok" xr:uid="{00000000-0004-0000-0200-000087010000}"/>
    <hyperlink ref="A201" r:id="rId393" tooltip="View pokedex for #552 Krokorok" display="http://pokemondb.net/pokedex/krokorok" xr:uid="{00000000-0004-0000-0200-000088010000}"/>
    <hyperlink ref="B201" r:id="rId394" tooltip="View pokedex for #553 Krookodile" display="http://pokemondb.net/pokedex/krookodile" xr:uid="{00000000-0004-0000-0200-000089010000}"/>
    <hyperlink ref="A202" r:id="rId395" tooltip="View pokedex for #554 Darumaka" display="http://pokemondb.net/pokedex/darumaka" xr:uid="{00000000-0004-0000-0200-00008A010000}"/>
    <hyperlink ref="B202" r:id="rId396" tooltip="View pokedex for #555 Darmanitan" display="http://pokemondb.net/pokedex/darmanitan" xr:uid="{00000000-0004-0000-0200-00008B010000}"/>
    <hyperlink ref="A204" r:id="rId397" tooltip="View pokedex for #557 Dwebble" display="http://pokemondb.net/pokedex/dwebble" xr:uid="{00000000-0004-0000-0200-00008C010000}"/>
    <hyperlink ref="B204" r:id="rId398" tooltip="View pokedex for #558 Crustle" display="http://pokemondb.net/pokedex/crustle" xr:uid="{00000000-0004-0000-0200-00008D010000}"/>
    <hyperlink ref="A205" r:id="rId399" tooltip="View pokedex for #559 Scraggy" display="http://pokemondb.net/pokedex/scraggy" xr:uid="{00000000-0004-0000-0200-00008E010000}"/>
    <hyperlink ref="B205" r:id="rId400" tooltip="View pokedex for #560 Scrafty" display="http://pokemondb.net/pokedex/scrafty" xr:uid="{00000000-0004-0000-0200-00008F010000}"/>
    <hyperlink ref="A206" r:id="rId401" tooltip="View pokedex for #562 Yamask" display="http://pokemondb.net/pokedex/yamask" xr:uid="{00000000-0004-0000-0200-000090010000}"/>
    <hyperlink ref="B206" r:id="rId402" tooltip="View pokedex for #563 Cofagrigus" display="http://pokemondb.net/pokedex/cofagrigus" xr:uid="{00000000-0004-0000-0200-000091010000}"/>
    <hyperlink ref="A207" r:id="rId403" tooltip="View pokedex for #564 Tirtouga" display="http://pokemondb.net/pokedex/tirtouga" xr:uid="{00000000-0004-0000-0200-000092010000}"/>
    <hyperlink ref="B207" r:id="rId404" tooltip="View pokedex for #565 Carracosta" display="http://pokemondb.net/pokedex/carracosta" xr:uid="{00000000-0004-0000-0200-000093010000}"/>
    <hyperlink ref="A208" r:id="rId405" tooltip="View pokedex for #566 Archen" display="http://pokemondb.net/pokedex/archen" xr:uid="{00000000-0004-0000-0200-000094010000}"/>
    <hyperlink ref="B208" r:id="rId406" tooltip="View pokedex for #567 Archeops" display="http://pokemondb.net/pokedex/archeops" xr:uid="{00000000-0004-0000-0200-000095010000}"/>
    <hyperlink ref="A209" r:id="rId407" tooltip="View pokedex for #568 Trubbish" display="http://pokemondb.net/pokedex/trubbish" xr:uid="{00000000-0004-0000-0200-000096010000}"/>
    <hyperlink ref="B209" r:id="rId408" tooltip="View pokedex for #569 Garbodor" display="http://pokemondb.net/pokedex/garbodor" xr:uid="{00000000-0004-0000-0200-000097010000}"/>
    <hyperlink ref="A210" r:id="rId409" tooltip="View pokedex for #570 Zorua" display="http://pokemondb.net/pokedex/zorua" xr:uid="{00000000-0004-0000-0200-000098010000}"/>
    <hyperlink ref="B210" r:id="rId410" tooltip="View pokedex for #571 Zoroark" display="http://pokemondb.net/pokedex/zoroark" xr:uid="{00000000-0004-0000-0200-000099010000}"/>
    <hyperlink ref="A211" r:id="rId411" tooltip="View pokedex for #574 Gothita" display="http://pokemondb.net/pokedex/gothita" xr:uid="{00000000-0004-0000-0200-00009A010000}"/>
    <hyperlink ref="B211" r:id="rId412" tooltip="View pokedex for #575 Gothorita" display="http://pokemondb.net/pokedex/gothorita" xr:uid="{00000000-0004-0000-0200-00009B010000}"/>
    <hyperlink ref="A212" r:id="rId413" tooltip="View pokedex for #575 Gothorita" display="http://pokemondb.net/pokedex/gothorita" xr:uid="{00000000-0004-0000-0200-00009C010000}"/>
    <hyperlink ref="B212" r:id="rId414" tooltip="View pokedex for #576 Gothitelle" display="http://pokemondb.net/pokedex/gothitelle" xr:uid="{00000000-0004-0000-0200-00009D010000}"/>
    <hyperlink ref="A213" r:id="rId415" tooltip="View pokedex for #577 Solosis" display="http://pokemondb.net/pokedex/solosis" xr:uid="{00000000-0004-0000-0200-00009E010000}"/>
    <hyperlink ref="B213" r:id="rId416" tooltip="View pokedex for #578 Duosion" display="http://pokemondb.net/pokedex/duosion" xr:uid="{00000000-0004-0000-0200-00009F010000}"/>
    <hyperlink ref="A214" r:id="rId417" tooltip="View pokedex for #578 Duosion" display="http://pokemondb.net/pokedex/duosion" xr:uid="{00000000-0004-0000-0200-0000A0010000}"/>
    <hyperlink ref="B214" r:id="rId418" tooltip="View pokedex for #579 Reuniclus" display="http://pokemondb.net/pokedex/reuniclus" xr:uid="{00000000-0004-0000-0200-0000A1010000}"/>
    <hyperlink ref="A215" r:id="rId419" tooltip="View pokedex for #580 Ducklett" display="http://pokemondb.net/pokedex/ducklett" xr:uid="{00000000-0004-0000-0200-0000A2010000}"/>
    <hyperlink ref="B215" r:id="rId420" tooltip="View pokedex for #581 Swanna" display="http://pokemondb.net/pokedex/swanna" xr:uid="{00000000-0004-0000-0200-0000A3010000}"/>
    <hyperlink ref="A216" r:id="rId421" tooltip="View pokedex for #582 Vanillite" display="http://pokemondb.net/pokedex/vanillite" xr:uid="{00000000-0004-0000-0200-0000A4010000}"/>
    <hyperlink ref="B216" r:id="rId422" tooltip="View pokedex for #583 Vanillish" display="http://pokemondb.net/pokedex/vanillish" xr:uid="{00000000-0004-0000-0200-0000A5010000}"/>
    <hyperlink ref="A217" r:id="rId423" tooltip="View pokedex for #583 Vanillish" display="http://pokemondb.net/pokedex/vanillish" xr:uid="{00000000-0004-0000-0200-0000A6010000}"/>
    <hyperlink ref="B217" r:id="rId424" tooltip="View pokedex for #584 Vanilluxe" display="http://pokemondb.net/pokedex/vanilluxe" xr:uid="{00000000-0004-0000-0200-0000A7010000}"/>
    <hyperlink ref="A218" r:id="rId425" tooltip="View pokedex for #585 Deerling" display="http://pokemondb.net/pokedex/deerling" xr:uid="{00000000-0004-0000-0200-0000A8010000}"/>
    <hyperlink ref="B218" r:id="rId426" tooltip="View pokedex for #586 Sawsbuck" display="http://pokemondb.net/pokedex/sawsbuck" xr:uid="{00000000-0004-0000-0200-0000A9010000}"/>
    <hyperlink ref="A219" r:id="rId427" tooltip="View pokedex for #590 Foongus" display="http://pokemondb.net/pokedex/foongus" xr:uid="{00000000-0004-0000-0200-0000AA010000}"/>
    <hyperlink ref="B219" r:id="rId428" tooltip="View pokedex for #591 Amoonguss" display="http://pokemondb.net/pokedex/amoonguss" xr:uid="{00000000-0004-0000-0200-0000AB010000}"/>
    <hyperlink ref="A220" r:id="rId429" tooltip="View pokedex for #592 Frillish" display="http://pokemondb.net/pokedex/frillish" xr:uid="{00000000-0004-0000-0200-0000AC010000}"/>
    <hyperlink ref="B220" r:id="rId430" tooltip="View pokedex for #593 Jellicent" display="http://pokemondb.net/pokedex/jellicent" xr:uid="{00000000-0004-0000-0200-0000AD010000}"/>
    <hyperlink ref="A221" r:id="rId431" tooltip="View pokedex for #595 Joltik" display="http://pokemondb.net/pokedex/joltik" xr:uid="{00000000-0004-0000-0200-0000AE010000}"/>
    <hyperlink ref="B221" r:id="rId432" tooltip="View pokedex for #596 Galvantula" display="http://pokemondb.net/pokedex/galvantula" xr:uid="{00000000-0004-0000-0200-0000AF010000}"/>
    <hyperlink ref="A222" r:id="rId433" tooltip="View pokedex for #597 Ferroseed" display="http://pokemondb.net/pokedex/ferroseed" xr:uid="{00000000-0004-0000-0200-0000B0010000}"/>
    <hyperlink ref="B222" r:id="rId434" tooltip="View pokedex for #598 Ferrothorn" display="http://pokemondb.net/pokedex/ferrothorn" xr:uid="{00000000-0004-0000-0200-0000B1010000}"/>
    <hyperlink ref="A223" r:id="rId435" tooltip="View pokedex for #599 Klink" display="http://pokemondb.net/pokedex/klink" xr:uid="{00000000-0004-0000-0200-0000B2010000}"/>
    <hyperlink ref="B223" r:id="rId436" tooltip="View pokedex for #600 Klang" display="http://pokemondb.net/pokedex/klang" xr:uid="{00000000-0004-0000-0200-0000B3010000}"/>
    <hyperlink ref="A224" r:id="rId437" tooltip="View pokedex for #600 Klang" display="http://pokemondb.net/pokedex/klang" xr:uid="{00000000-0004-0000-0200-0000B4010000}"/>
    <hyperlink ref="B224" r:id="rId438" tooltip="View pokedex for #601 Klinklang" display="http://pokemondb.net/pokedex/klinklang" xr:uid="{00000000-0004-0000-0200-0000B5010000}"/>
    <hyperlink ref="A225" r:id="rId439" tooltip="View pokedex for #602 Tynamo" display="http://pokemondb.net/pokedex/tynamo" xr:uid="{00000000-0004-0000-0200-0000B6010000}"/>
    <hyperlink ref="B225" r:id="rId440" tooltip="View pokedex for #603 Eelektrik" display="http://pokemondb.net/pokedex/eelektrik" xr:uid="{00000000-0004-0000-0200-0000B7010000}"/>
    <hyperlink ref="A226" r:id="rId441" tooltip="View pokedex for #605 Elgyem" display="http://pokemondb.net/pokedex/elgyem" xr:uid="{00000000-0004-0000-0200-0000B8010000}"/>
    <hyperlink ref="B226" r:id="rId442" tooltip="View pokedex for #606 Beheeyem" display="http://pokemondb.net/pokedex/beheeyem" xr:uid="{00000000-0004-0000-0200-0000B9010000}"/>
    <hyperlink ref="A227" r:id="rId443" tooltip="View pokedex for #607 Litwick" display="http://pokemondb.net/pokedex/litwick" xr:uid="{00000000-0004-0000-0200-0000BA010000}"/>
    <hyperlink ref="B227" r:id="rId444" tooltip="View pokedex for #608 Lampent" display="http://pokemondb.net/pokedex/lampent" xr:uid="{00000000-0004-0000-0200-0000BB010000}"/>
    <hyperlink ref="A228" r:id="rId445" tooltip="View pokedex for #610 Axew" display="http://pokemondb.net/pokedex/axew" xr:uid="{00000000-0004-0000-0200-0000BC010000}"/>
    <hyperlink ref="B228" r:id="rId446" tooltip="View pokedex for #611 Fraxure" display="http://pokemondb.net/pokedex/fraxure" xr:uid="{00000000-0004-0000-0200-0000BD010000}"/>
    <hyperlink ref="A229" r:id="rId447" tooltip="View pokedex for #611 Fraxure" display="http://pokemondb.net/pokedex/fraxure" xr:uid="{00000000-0004-0000-0200-0000BE010000}"/>
    <hyperlink ref="B229" r:id="rId448" tooltip="View pokedex for #612 Haxorus" display="http://pokemondb.net/pokedex/haxorus" xr:uid="{00000000-0004-0000-0200-0000BF010000}"/>
    <hyperlink ref="A230" r:id="rId449" tooltip="View pokedex for #613 Cubchoo" display="http://pokemondb.net/pokedex/cubchoo" xr:uid="{00000000-0004-0000-0200-0000C0010000}"/>
    <hyperlink ref="B230" r:id="rId450" tooltip="View pokedex for #614 Beartic" display="http://pokemondb.net/pokedex/beartic" xr:uid="{00000000-0004-0000-0200-0000C1010000}"/>
    <hyperlink ref="A231" r:id="rId451" tooltip="View pokedex for #619 Mienfoo" display="http://pokemondb.net/pokedex/mienfoo" xr:uid="{00000000-0004-0000-0200-0000C2010000}"/>
    <hyperlink ref="B231" r:id="rId452" tooltip="View pokedex for #620 Mienshao" display="http://pokemondb.net/pokedex/mienshao" xr:uid="{00000000-0004-0000-0200-0000C3010000}"/>
    <hyperlink ref="A232" r:id="rId453" tooltip="View pokedex for #622 Golett" display="http://pokemondb.net/pokedex/golett" xr:uid="{00000000-0004-0000-0200-0000C4010000}"/>
    <hyperlink ref="B232" r:id="rId454" tooltip="View pokedex for #623 Golurk" display="http://pokemondb.net/pokedex/golurk" xr:uid="{00000000-0004-0000-0200-0000C5010000}"/>
    <hyperlink ref="A233" r:id="rId455" tooltip="View pokedex for #624 Pawniard" display="http://pokemondb.net/pokedex/pawniard" xr:uid="{00000000-0004-0000-0200-0000C6010000}"/>
    <hyperlink ref="B233" r:id="rId456" tooltip="View pokedex for #625 Bisharp" display="http://pokemondb.net/pokedex/bisharp" xr:uid="{00000000-0004-0000-0200-0000C7010000}"/>
    <hyperlink ref="A234" r:id="rId457" tooltip="View pokedex for #627 Rufflet" display="http://pokemondb.net/pokedex/rufflet" xr:uid="{00000000-0004-0000-0200-0000C8010000}"/>
    <hyperlink ref="B234" r:id="rId458" tooltip="View pokedex for #628 Braviary" display="http://pokemondb.net/pokedex/braviary" xr:uid="{00000000-0004-0000-0200-0000C9010000}"/>
    <hyperlink ref="A235" r:id="rId459" tooltip="View pokedex for #629 Vullaby" display="http://pokemondb.net/pokedex/vullaby" xr:uid="{00000000-0004-0000-0200-0000CA010000}"/>
    <hyperlink ref="B235" r:id="rId460" tooltip="View pokedex for #630 Mandibuzz" display="http://pokemondb.net/pokedex/mandibuzz" xr:uid="{00000000-0004-0000-0200-0000CB010000}"/>
    <hyperlink ref="A236" r:id="rId461" tooltip="View pokedex for #633 Deino" display="http://pokemondb.net/pokedex/deino" xr:uid="{00000000-0004-0000-0200-0000CC010000}"/>
    <hyperlink ref="B236" r:id="rId462" tooltip="View pokedex for #634 Zweilous" display="http://pokemondb.net/pokedex/zweilous" xr:uid="{00000000-0004-0000-0200-0000CD010000}"/>
    <hyperlink ref="A237" r:id="rId463" tooltip="View pokedex for #634 Zweilous" display="http://pokemondb.net/pokedex/zweilous" xr:uid="{00000000-0004-0000-0200-0000CE010000}"/>
    <hyperlink ref="B237" r:id="rId464" tooltip="View pokedex for #635 Hydreigon" display="http://pokemondb.net/pokedex/hydreigon" xr:uid="{00000000-0004-0000-0200-0000CF010000}"/>
    <hyperlink ref="A238" r:id="rId465" tooltip="View pokedex for #636 Larvesta" display="http://pokemondb.net/pokedex/larvesta" xr:uid="{00000000-0004-0000-0200-0000D0010000}"/>
    <hyperlink ref="B238" r:id="rId466" tooltip="View pokedex for #637 Volcarona" display="http://pokemondb.net/pokedex/volcarona" xr:uid="{00000000-0004-0000-0200-0000D1010000}"/>
    <hyperlink ref="A239" r:id="rId467" tooltip="View pokedex for #650 Chespin" display="http://pokemondb.net/pokedex/chespin" xr:uid="{00000000-0004-0000-0200-0000D2010000}"/>
    <hyperlink ref="B239" r:id="rId468" tooltip="View pokedex for #651 Quilladin" display="http://pokemondb.net/pokedex/quilladin" xr:uid="{00000000-0004-0000-0200-0000D3010000}"/>
    <hyperlink ref="A240" r:id="rId469" tooltip="View pokedex for #651 Quilladin" display="http://pokemondb.net/pokedex/quilladin" xr:uid="{00000000-0004-0000-0200-0000D4010000}"/>
    <hyperlink ref="B240" r:id="rId470" tooltip="View pokedex for #652 Chesnaught" display="http://pokemondb.net/pokedex/chesnaught" xr:uid="{00000000-0004-0000-0200-0000D5010000}"/>
    <hyperlink ref="A241" r:id="rId471" tooltip="View pokedex for #653 Fennekin" display="http://pokemondb.net/pokedex/fennekin" xr:uid="{00000000-0004-0000-0200-0000D6010000}"/>
    <hyperlink ref="B241" r:id="rId472" tooltip="View pokedex for #654 Braixen" display="http://pokemondb.net/pokedex/braixen" xr:uid="{00000000-0004-0000-0200-0000D7010000}"/>
    <hyperlink ref="A242" r:id="rId473" tooltip="View pokedex for #654 Braixen" display="http://pokemondb.net/pokedex/braixen" xr:uid="{00000000-0004-0000-0200-0000D8010000}"/>
    <hyperlink ref="B242" r:id="rId474" tooltip="View pokedex for #655 Delphox" display="http://pokemondb.net/pokedex/delphox" xr:uid="{00000000-0004-0000-0200-0000D9010000}"/>
    <hyperlink ref="A243" r:id="rId475" tooltip="View pokedex for #656 Froakie" display="http://pokemondb.net/pokedex/froakie" xr:uid="{00000000-0004-0000-0200-0000DA010000}"/>
    <hyperlink ref="B243" r:id="rId476" tooltip="View pokedex for #657 Frogadier" display="http://pokemondb.net/pokedex/frogadier" xr:uid="{00000000-0004-0000-0200-0000DB010000}"/>
    <hyperlink ref="A244" r:id="rId477" tooltip="View pokedex for #657 Frogadier" display="http://pokemondb.net/pokedex/frogadier" xr:uid="{00000000-0004-0000-0200-0000DC010000}"/>
    <hyperlink ref="B244" r:id="rId478" tooltip="View pokedex for #658 Greninja" display="http://pokemondb.net/pokedex/greninja" xr:uid="{00000000-0004-0000-0200-0000DD010000}"/>
    <hyperlink ref="A245" r:id="rId479" tooltip="View pokedex for #659 Bunnelby" display="http://pokemondb.net/pokedex/bunnelby" xr:uid="{00000000-0004-0000-0200-0000DE010000}"/>
    <hyperlink ref="B245" r:id="rId480" tooltip="View pokedex for #660 Diggersby" display="http://pokemondb.net/pokedex/diggersby" xr:uid="{00000000-0004-0000-0200-0000DF010000}"/>
    <hyperlink ref="A246" r:id="rId481" tooltip="View pokedex for #661 Fletchling" display="http://pokemondb.net/pokedex/fletchling" xr:uid="{00000000-0004-0000-0200-0000E0010000}"/>
    <hyperlink ref="B246" r:id="rId482" tooltip="View pokedex for #662 Fletchinder" display="http://pokemondb.net/pokedex/fletchinder" xr:uid="{00000000-0004-0000-0200-0000E1010000}"/>
    <hyperlink ref="A247" r:id="rId483" tooltip="View pokedex for #662 Fletchinder" display="http://pokemondb.net/pokedex/fletchinder" xr:uid="{00000000-0004-0000-0200-0000E2010000}"/>
    <hyperlink ref="B247" r:id="rId484" tooltip="View pokedex for #663 Talonflame" display="http://pokemondb.net/pokedex/talonflame" xr:uid="{00000000-0004-0000-0200-0000E3010000}"/>
    <hyperlink ref="A248" r:id="rId485" tooltip="View pokedex for #664 Scatterbug" display="http://pokemondb.net/pokedex/scatterbug" xr:uid="{00000000-0004-0000-0200-0000E4010000}"/>
    <hyperlink ref="B248" r:id="rId486" tooltip="View pokedex for #665 Spewpa" display="http://pokemondb.net/pokedex/spewpa" xr:uid="{00000000-0004-0000-0200-0000E5010000}"/>
    <hyperlink ref="A249" r:id="rId487" tooltip="View pokedex for #665 Spewpa" display="http://pokemondb.net/pokedex/spewpa" xr:uid="{00000000-0004-0000-0200-0000E6010000}"/>
    <hyperlink ref="B249" r:id="rId488" tooltip="View pokedex for #666 Vivillon" display="http://pokemondb.net/pokedex/vivillon" xr:uid="{00000000-0004-0000-0200-0000E7010000}"/>
    <hyperlink ref="A250" r:id="rId489" tooltip="View pokedex for #667 Litleo" display="http://pokemondb.net/pokedex/litleo" xr:uid="{00000000-0004-0000-0200-0000E8010000}"/>
    <hyperlink ref="B250" r:id="rId490" tooltip="View pokedex for #668 Pyroar" display="http://pokemondb.net/pokedex/pyroar" xr:uid="{00000000-0004-0000-0200-0000E9010000}"/>
    <hyperlink ref="A251" r:id="rId491" tooltip="View pokedex for #669 Flabébé" display="http://pokemondb.net/pokedex/flabebe" xr:uid="{00000000-0004-0000-0200-0000EA010000}"/>
    <hyperlink ref="B251" r:id="rId492" tooltip="View pokedex for #670 Floette" display="http://pokemondb.net/pokedex/floette" xr:uid="{00000000-0004-0000-0200-0000EB010000}"/>
    <hyperlink ref="A252" r:id="rId493" tooltip="View pokedex for #672 Skiddo" display="http://pokemondb.net/pokedex/skiddo" xr:uid="{00000000-0004-0000-0200-0000EC010000}"/>
    <hyperlink ref="B252" r:id="rId494" tooltip="View pokedex for #673 Gogoat" display="http://pokemondb.net/pokedex/gogoat" xr:uid="{00000000-0004-0000-0200-0000ED010000}"/>
    <hyperlink ref="A253" r:id="rId495" tooltip="View pokedex for #674 Pancham" display="http://pokemondb.net/pokedex/pancham" xr:uid="{00000000-0004-0000-0200-0000EE010000}"/>
    <hyperlink ref="B253" r:id="rId496" tooltip="View pokedex for #675 Pangoro" display="http://pokemondb.net/pokedex/pangoro" xr:uid="{00000000-0004-0000-0200-0000EF010000}"/>
    <hyperlink ref="A254" r:id="rId497" tooltip="View pokedex for #677 Espurr" display="http://pokemondb.net/pokedex/espurr" xr:uid="{00000000-0004-0000-0200-0000F0010000}"/>
    <hyperlink ref="B254" r:id="rId498" tooltip="View pokedex for #678 Meowstic" display="http://pokemondb.net/pokedex/meowstic" xr:uid="{00000000-0004-0000-0200-0000F1010000}"/>
    <hyperlink ref="A256" r:id="rId499" tooltip="View pokedex for #679 Honedge" display="http://pokemondb.net/pokedex/honedge" xr:uid="{00000000-0004-0000-0200-0000F2010000}"/>
    <hyperlink ref="B256" r:id="rId500" tooltip="View pokedex for #680 Doublade" display="http://pokemondb.net/pokedex/doublade" xr:uid="{00000000-0004-0000-0200-0000F3010000}"/>
    <hyperlink ref="A257" r:id="rId501" tooltip="View pokedex for #686 Inkay" display="http://pokemondb.net/pokedex/inkay" xr:uid="{00000000-0004-0000-0200-0000F4010000}"/>
    <hyperlink ref="B257" r:id="rId502" tooltip="View pokedex for #687 Malamar" display="http://pokemondb.net/pokedex/malamar" xr:uid="{00000000-0004-0000-0200-0000F5010000}"/>
    <hyperlink ref="A258" r:id="rId503" tooltip="View pokedex for #688 Binacle" display="http://pokemondb.net/pokedex/binacle" xr:uid="{00000000-0004-0000-0200-0000F6010000}"/>
    <hyperlink ref="B258" r:id="rId504" tooltip="View pokedex for #689 Barbaracle" display="http://pokemondb.net/pokedex/barbaracle" xr:uid="{00000000-0004-0000-0200-0000F7010000}"/>
    <hyperlink ref="A259" r:id="rId505" tooltip="View pokedex for #690 Skrelp" display="http://pokemondb.net/pokedex/skrelp" xr:uid="{00000000-0004-0000-0200-0000F8010000}"/>
    <hyperlink ref="B259" r:id="rId506" tooltip="View pokedex for #691 Dragalge" display="http://pokemondb.net/pokedex/dragalge" xr:uid="{00000000-0004-0000-0200-0000F9010000}"/>
    <hyperlink ref="A260" r:id="rId507" tooltip="View pokedex for #692 Clauncher" display="http://pokemondb.net/pokedex/clauncher" xr:uid="{00000000-0004-0000-0200-0000FA010000}"/>
    <hyperlink ref="B260" r:id="rId508" tooltip="View pokedex for #693 Clawitzer" display="http://pokemondb.net/pokedex/clawitzer" xr:uid="{00000000-0004-0000-0200-0000FB010000}"/>
    <hyperlink ref="A261" r:id="rId509" tooltip="View pokedex for #696 Tyrunt" display="http://pokemondb.net/pokedex/tyrunt" xr:uid="{00000000-0004-0000-0200-0000FC010000}"/>
    <hyperlink ref="B261" r:id="rId510" tooltip="View pokedex for #697 Tyrantrum" display="http://pokemondb.net/pokedex/tyrantrum" xr:uid="{00000000-0004-0000-0200-0000FD010000}"/>
    <hyperlink ref="A262" r:id="rId511" tooltip="View pokedex for #698 Amaura" display="http://pokemondb.net/pokedex/amaura" xr:uid="{00000000-0004-0000-0200-0000FE010000}"/>
    <hyperlink ref="B262" r:id="rId512" tooltip="View pokedex for #699 Aurorus" display="http://pokemondb.net/pokedex/aurorus" xr:uid="{00000000-0004-0000-0200-0000FF010000}"/>
    <hyperlink ref="A263" r:id="rId513" tooltip="View pokedex for #704 Goomy" display="http://pokemondb.net/pokedex/goomy" xr:uid="{00000000-0004-0000-0200-000000020000}"/>
    <hyperlink ref="B263" r:id="rId514" tooltip="View pokedex for #705 Sliggoo" display="http://pokemondb.net/pokedex/sliggoo" xr:uid="{00000000-0004-0000-0200-000001020000}"/>
    <hyperlink ref="A264" r:id="rId515" tooltip="View pokedex for #705 Sliggoo" display="http://pokemondb.net/pokedex/sliggoo" xr:uid="{00000000-0004-0000-0200-000002020000}"/>
    <hyperlink ref="B264" r:id="rId516" tooltip="View pokedex for #706 Goodra" display="http://pokemondb.net/pokedex/goodra" xr:uid="{00000000-0004-0000-0200-000003020000}"/>
    <hyperlink ref="A265" r:id="rId517" tooltip="View pokedex for #712 Bergmite" display="http://pokemondb.net/pokedex/bergmite" xr:uid="{00000000-0004-0000-0200-000004020000}"/>
    <hyperlink ref="B265" r:id="rId518" tooltip="View pokedex for #713 Avalugg" display="http://pokemondb.net/pokedex/avalugg" xr:uid="{00000000-0004-0000-0200-000005020000}"/>
    <hyperlink ref="A266" r:id="rId519" tooltip="View pokedex for #714 Noibat" display="http://pokemondb.net/pokedex/noibat" xr:uid="{00000000-0004-0000-0200-000006020000}"/>
    <hyperlink ref="B266" r:id="rId520" tooltip="View pokedex for #715 Noivern" display="http://pokemondb.net/pokedex/noivern" xr:uid="{00000000-0004-0000-0200-000007020000}"/>
    <hyperlink ref="A267" r:id="rId521" tooltip="View pokedex for #025 Pikachu" display="http://pokemondb.net/pokedex/pikachu" xr:uid="{00000000-0004-0000-0200-000008020000}"/>
    <hyperlink ref="B267" r:id="rId522" tooltip="View pokedex for #026 Raichu" display="http://pokemondb.net/pokedex/raichu" xr:uid="{00000000-0004-0000-0200-000009020000}"/>
    <hyperlink ref="A268" r:id="rId523" tooltip="View pokedex for #030 Nidorina" display="http://pokemondb.net/pokedex/nidorina" xr:uid="{00000000-0004-0000-0200-00000A020000}"/>
    <hyperlink ref="B268" r:id="rId524" tooltip="View pokedex for #031 Nidoqueen" display="http://pokemondb.net/pokedex/nidoqueen" xr:uid="{00000000-0004-0000-0200-00000B020000}"/>
    <hyperlink ref="A269" r:id="rId525" tooltip="View pokedex for #033 Nidorino" display="http://pokemondb.net/pokedex/nidorino" xr:uid="{00000000-0004-0000-0200-00000C020000}"/>
    <hyperlink ref="B269" r:id="rId526" tooltip="View pokedex for #034 Nidoking" display="http://pokemondb.net/pokedex/nidoking" xr:uid="{00000000-0004-0000-0200-00000D020000}"/>
    <hyperlink ref="A270" r:id="rId527" tooltip="View pokedex for #035 Clefairy" display="http://pokemondb.net/pokedex/clefairy" xr:uid="{00000000-0004-0000-0200-00000E020000}"/>
    <hyperlink ref="B270" r:id="rId528" tooltip="View pokedex for #036 Clefable" display="http://pokemondb.net/pokedex/clefable" xr:uid="{00000000-0004-0000-0200-00000F020000}"/>
    <hyperlink ref="A271" r:id="rId529" tooltip="View pokedex for #037 Vulpix" display="http://pokemondb.net/pokedex/vulpix" xr:uid="{00000000-0004-0000-0200-000010020000}"/>
    <hyperlink ref="B271" r:id="rId530" tooltip="View pokedex for #038 Ninetales" display="http://pokemondb.net/pokedex/ninetales" xr:uid="{00000000-0004-0000-0200-000011020000}"/>
    <hyperlink ref="A272" r:id="rId531" tooltip="View pokedex for #039 Jigglypuff" display="http://pokemondb.net/pokedex/jigglypuff" xr:uid="{00000000-0004-0000-0200-000012020000}"/>
    <hyperlink ref="B272" r:id="rId532" tooltip="View pokedex for #040 Wigglytuff" display="http://pokemondb.net/pokedex/wigglytuff" xr:uid="{00000000-0004-0000-0200-000013020000}"/>
    <hyperlink ref="A273" r:id="rId533" tooltip="View pokedex for #044 Gloom" display="http://pokemondb.net/pokedex/gloom" xr:uid="{00000000-0004-0000-0200-000014020000}"/>
    <hyperlink ref="B273" r:id="rId534" tooltip="View pokedex for #045 Vileplume" display="http://pokemondb.net/pokedex/vileplume" xr:uid="{00000000-0004-0000-0200-000015020000}"/>
    <hyperlink ref="A274" r:id="rId535" tooltip="View pokedex for #044 Gloom" display="http://pokemondb.net/pokedex/gloom" xr:uid="{00000000-0004-0000-0200-000016020000}"/>
    <hyperlink ref="B274" r:id="rId536" tooltip="View pokedex for #182 Bellossom" display="http://pokemondb.net/pokedex/bellossom" xr:uid="{00000000-0004-0000-0200-000017020000}"/>
    <hyperlink ref="A275" r:id="rId537" tooltip="View pokedex for #058 Growlithe" display="http://pokemondb.net/pokedex/growlithe" xr:uid="{00000000-0004-0000-0200-000018020000}"/>
    <hyperlink ref="B275" r:id="rId538" tooltip="View pokedex for #059 Arcanine" display="http://pokemondb.net/pokedex/arcanine" xr:uid="{00000000-0004-0000-0200-000019020000}"/>
    <hyperlink ref="A276" r:id="rId539" tooltip="View pokedex for #061 Poliwhirl" display="http://pokemondb.net/pokedex/poliwhirl" xr:uid="{00000000-0004-0000-0200-00001A020000}"/>
    <hyperlink ref="B276" r:id="rId540" tooltip="View pokedex for #062 Poliwrath" display="http://pokemondb.net/pokedex/poliwrath" xr:uid="{00000000-0004-0000-0200-00001B020000}"/>
    <hyperlink ref="A277" r:id="rId541" tooltip="View pokedex for #070 Weepinbell" display="http://pokemondb.net/pokedex/weepinbell" xr:uid="{00000000-0004-0000-0200-00001C020000}"/>
    <hyperlink ref="B277" r:id="rId542" tooltip="View pokedex for #071 Victreebel" display="http://pokemondb.net/pokedex/victreebel" xr:uid="{00000000-0004-0000-0200-00001D020000}"/>
    <hyperlink ref="A278" r:id="rId543" tooltip="View pokedex for #090 Shellder" display="http://pokemondb.net/pokedex/shellder" xr:uid="{00000000-0004-0000-0200-00001E020000}"/>
    <hyperlink ref="B278" r:id="rId544" tooltip="View pokedex for #091 Cloyster" display="http://pokemondb.net/pokedex/cloyster" xr:uid="{00000000-0004-0000-0200-00001F020000}"/>
    <hyperlink ref="A279" r:id="rId545" tooltip="View pokedex for #102 Exeggcute" display="http://pokemondb.net/pokedex/exeggcute" xr:uid="{00000000-0004-0000-0200-000020020000}"/>
    <hyperlink ref="B279" r:id="rId546" tooltip="View pokedex for #103 Exeggutor" display="http://pokemondb.net/pokedex/exeggutor" xr:uid="{00000000-0004-0000-0200-000021020000}"/>
    <hyperlink ref="A280" r:id="rId547" tooltip="View pokedex for #120 Staryu" display="http://pokemondb.net/pokedex/staryu" xr:uid="{00000000-0004-0000-0200-000022020000}"/>
    <hyperlink ref="B280" r:id="rId548" tooltip="View pokedex for #121 Starmie" display="http://pokemondb.net/pokedex/starmie" xr:uid="{00000000-0004-0000-0200-000023020000}"/>
    <hyperlink ref="A281" r:id="rId549" tooltip="View pokedex for #133 Eevee" display="http://pokemondb.net/pokedex/eevee" xr:uid="{00000000-0004-0000-0200-000024020000}"/>
    <hyperlink ref="B281" r:id="rId550" tooltip="View pokedex for #134 Vaporeon" display="http://pokemondb.net/pokedex/vaporeon" xr:uid="{00000000-0004-0000-0200-000025020000}"/>
    <hyperlink ref="A282" r:id="rId551" tooltip="View pokedex for #133 Eevee" display="http://pokemondb.net/pokedex/eevee" xr:uid="{00000000-0004-0000-0200-000026020000}"/>
    <hyperlink ref="B282" r:id="rId552" tooltip="View pokedex for #135 Jolteon" display="http://pokemondb.net/pokedex/jolteon" xr:uid="{00000000-0004-0000-0200-000027020000}"/>
    <hyperlink ref="A283" r:id="rId553" tooltip="View pokedex for #133 Eevee" display="http://pokemondb.net/pokedex/eevee" xr:uid="{00000000-0004-0000-0200-000028020000}"/>
    <hyperlink ref="B283" r:id="rId554" tooltip="View pokedex for #136 Flareon" display="http://pokemondb.net/pokedex/flareon" xr:uid="{00000000-0004-0000-0200-000029020000}"/>
    <hyperlink ref="A284" r:id="rId555" tooltip="View pokedex for #176 Togetic" display="http://pokemondb.net/pokedex/togetic" xr:uid="{00000000-0004-0000-0200-00002A020000}"/>
    <hyperlink ref="B284" r:id="rId556" tooltip="View pokedex for #468 Togekiss" display="http://pokemondb.net/pokedex/togekiss" xr:uid="{00000000-0004-0000-0200-00002B020000}"/>
    <hyperlink ref="A285" r:id="rId557" tooltip="View pokedex for #191 Sunkern" display="http://pokemondb.net/pokedex/sunkern" xr:uid="{00000000-0004-0000-0200-00002C020000}"/>
    <hyperlink ref="B285" r:id="rId558" tooltip="View pokedex for #192 Sunflora" display="http://pokemondb.net/pokedex/sunflora" xr:uid="{00000000-0004-0000-0200-00002D020000}"/>
    <hyperlink ref="A286" r:id="rId559" tooltip="View pokedex for #198 Murkrow" display="http://pokemondb.net/pokedex/murkrow" xr:uid="{00000000-0004-0000-0200-00002E020000}"/>
    <hyperlink ref="B286" r:id="rId560" tooltip="View pokedex for #430 Honchkrow" display="http://pokemondb.net/pokedex/honchkrow" xr:uid="{00000000-0004-0000-0200-00002F020000}"/>
    <hyperlink ref="A287" r:id="rId561" tooltip="View pokedex for #200 Misdreavus" display="http://pokemondb.net/pokedex/misdreavus" xr:uid="{00000000-0004-0000-0200-000030020000}"/>
    <hyperlink ref="B287" r:id="rId562" tooltip="View pokedex for #429 Mismagius" display="http://pokemondb.net/pokedex/mismagius" xr:uid="{00000000-0004-0000-0200-000031020000}"/>
    <hyperlink ref="A288" r:id="rId563" tooltip="View pokedex for #271 Lombre" display="http://pokemondb.net/pokedex/lombre" xr:uid="{00000000-0004-0000-0200-000032020000}"/>
    <hyperlink ref="B288" r:id="rId564" tooltip="View pokedex for #272 Ludicolo" display="http://pokemondb.net/pokedex/ludicolo" xr:uid="{00000000-0004-0000-0200-000033020000}"/>
    <hyperlink ref="A289" r:id="rId565" tooltip="View pokedex for #274 Nuzleaf" display="http://pokemondb.net/pokedex/nuzleaf" xr:uid="{00000000-0004-0000-0200-000034020000}"/>
    <hyperlink ref="B289" r:id="rId566" tooltip="View pokedex for #275 Shiftry" display="http://pokemondb.net/pokedex/shiftry" xr:uid="{00000000-0004-0000-0200-000035020000}"/>
    <hyperlink ref="A290" r:id="rId567" tooltip="View pokedex for #281 Kirlia" display="http://pokemondb.net/pokedex/kirlia" xr:uid="{00000000-0004-0000-0200-000036020000}"/>
    <hyperlink ref="B290" r:id="rId568" tooltip="View pokedex for #475 Gallade" display="http://pokemondb.net/pokedex/gallade" xr:uid="{00000000-0004-0000-0200-000037020000}"/>
    <hyperlink ref="A291" r:id="rId569" tooltip="View pokedex for #300 Skitty" display="http://pokemondb.net/pokedex/skitty" xr:uid="{00000000-0004-0000-0200-000038020000}"/>
    <hyperlink ref="B291" r:id="rId570" tooltip="View pokedex for #301 Delcatty" display="http://pokemondb.net/pokedex/delcatty" xr:uid="{00000000-0004-0000-0200-000039020000}"/>
    <hyperlink ref="A292" r:id="rId571" tooltip="View pokedex for #315 Roselia" display="http://pokemondb.net/pokedex/roselia" xr:uid="{00000000-0004-0000-0200-00003A020000}"/>
    <hyperlink ref="B292" r:id="rId572" tooltip="View pokedex for #407 Roserade" display="http://pokemondb.net/pokedex/roserade" xr:uid="{00000000-0004-0000-0200-00003B020000}"/>
    <hyperlink ref="A293" r:id="rId573" tooltip="View pokedex for #361 Snorunt" display="http://pokemondb.net/pokedex/snorunt" xr:uid="{00000000-0004-0000-0200-00003C020000}"/>
    <hyperlink ref="B293" r:id="rId574" tooltip="View pokedex for #478 Froslass" display="http://pokemondb.net/pokedex/froslass" xr:uid="{00000000-0004-0000-0200-00003D020000}"/>
    <hyperlink ref="A294" r:id="rId575" tooltip="View pokedex for #511 Pansage" display="http://pokemondb.net/pokedex/pansage" xr:uid="{00000000-0004-0000-0200-00003E020000}"/>
    <hyperlink ref="B294" r:id="rId576" tooltip="View pokedex for #512 Simisage" display="http://pokemondb.net/pokedex/simisage" xr:uid="{00000000-0004-0000-0200-00003F020000}"/>
    <hyperlink ref="A295" r:id="rId577" tooltip="View pokedex for #513 Pansear" display="http://pokemondb.net/pokedex/pansear" xr:uid="{00000000-0004-0000-0200-000040020000}"/>
    <hyperlink ref="B295" r:id="rId578" tooltip="View pokedex for #514 Simisear" display="http://pokemondb.net/pokedex/simisear" xr:uid="{00000000-0004-0000-0200-000041020000}"/>
    <hyperlink ref="A296" r:id="rId579" tooltip="View pokedex for #515 Panpour" display="http://pokemondb.net/pokedex/panpour" xr:uid="{00000000-0004-0000-0200-000042020000}"/>
    <hyperlink ref="B296" r:id="rId580" tooltip="View pokedex for #516 Simipour" display="http://pokemondb.net/pokedex/simipour" xr:uid="{00000000-0004-0000-0200-000043020000}"/>
    <hyperlink ref="A297" r:id="rId581" tooltip="View pokedex for #517 Munna" display="http://pokemondb.net/pokedex/munna" xr:uid="{00000000-0004-0000-0200-000044020000}"/>
    <hyperlink ref="B297" r:id="rId582" tooltip="View pokedex for #518 Musharna" display="http://pokemondb.net/pokedex/musharna" xr:uid="{00000000-0004-0000-0200-000045020000}"/>
    <hyperlink ref="A298" r:id="rId583" tooltip="View pokedex for #546 Cottonee" display="http://pokemondb.net/pokedex/cottonee" xr:uid="{00000000-0004-0000-0200-000046020000}"/>
    <hyperlink ref="B298" r:id="rId584" tooltip="View pokedex for #547 Whimsicott" display="http://pokemondb.net/pokedex/whimsicott" xr:uid="{00000000-0004-0000-0200-000047020000}"/>
    <hyperlink ref="A299" r:id="rId585" tooltip="View pokedex for #548 Petilil" display="http://pokemondb.net/pokedex/petilil" xr:uid="{00000000-0004-0000-0200-000048020000}"/>
    <hyperlink ref="B299" r:id="rId586" tooltip="View pokedex for #549 Lilligant" display="http://pokemondb.net/pokedex/lilligant" xr:uid="{00000000-0004-0000-0200-000049020000}"/>
    <hyperlink ref="A300" r:id="rId587" tooltip="View pokedex for #572 Minccino" display="http://pokemondb.net/pokedex/minccino" xr:uid="{00000000-0004-0000-0200-00004A020000}"/>
    <hyperlink ref="B300" r:id="rId588" tooltip="View pokedex for #573 Cinccino" display="http://pokemondb.net/pokedex/cinccino" xr:uid="{00000000-0004-0000-0200-00004B020000}"/>
    <hyperlink ref="A301" r:id="rId589" tooltip="View pokedex for #603 Eelektrik" display="http://pokemondb.net/pokedex/eelektrik" xr:uid="{00000000-0004-0000-0200-00004C020000}"/>
    <hyperlink ref="B301" r:id="rId590" tooltip="View pokedex for #604 Eelektross" display="http://pokemondb.net/pokedex/eelektross" xr:uid="{00000000-0004-0000-0200-00004D020000}"/>
    <hyperlink ref="A302" r:id="rId591" tooltip="View pokedex for #608 Lampent" display="http://pokemondb.net/pokedex/lampent" xr:uid="{00000000-0004-0000-0200-00004E020000}"/>
    <hyperlink ref="B302" r:id="rId592" tooltip="View pokedex for #609 Chandelure" display="http://pokemondb.net/pokedex/chandelure" xr:uid="{00000000-0004-0000-0200-00004F020000}"/>
    <hyperlink ref="A303" r:id="rId593" tooltip="View pokedex for #670 Floette" display="http://pokemondb.net/pokedex/floette" xr:uid="{00000000-0004-0000-0200-000050020000}"/>
    <hyperlink ref="B303" r:id="rId594" tooltip="View pokedex for #671 Florges" display="http://pokemondb.net/pokedex/florges" xr:uid="{00000000-0004-0000-0200-000051020000}"/>
    <hyperlink ref="A304" r:id="rId595" tooltip="View pokedex for #680 Doublade" display="http://pokemondb.net/pokedex/doublade" xr:uid="{00000000-0004-0000-0200-000052020000}"/>
    <hyperlink ref="B304" r:id="rId596" tooltip="View pokedex for #681 Aegislash" display="http://pokemondb.net/pokedex/aegislash" xr:uid="{00000000-0004-0000-0200-000053020000}"/>
    <hyperlink ref="A305" r:id="rId597" tooltip="View pokedex for #680 Doublade" display="http://pokemondb.net/pokedex/doublade" xr:uid="{00000000-0004-0000-0200-000054020000}"/>
    <hyperlink ref="B305" r:id="rId598" tooltip="View pokedex for #681 Aegislash" display="http://pokemondb.net/pokedex/aegislash" xr:uid="{00000000-0004-0000-0200-000055020000}"/>
    <hyperlink ref="A306" r:id="rId599" tooltip="View pokedex for #694 Helioptile" display="http://pokemondb.net/pokedex/helioptile" xr:uid="{00000000-0004-0000-0200-000056020000}"/>
    <hyperlink ref="B306" r:id="rId600" tooltip="View pokedex for #695 Heliolisk" display="http://pokemondb.net/pokedex/heliolisk" xr:uid="{00000000-0004-0000-0200-000057020000}"/>
    <hyperlink ref="A307" r:id="rId601" tooltip="View pokedex for #061 Poliwhirl" display="http://pokemondb.net/pokedex/poliwhirl" xr:uid="{00000000-0004-0000-0200-000058020000}"/>
    <hyperlink ref="B307" r:id="rId602" tooltip="View pokedex for #186 Politoed" display="http://pokemondb.net/pokedex/politoed" xr:uid="{00000000-0004-0000-0200-000059020000}"/>
    <hyperlink ref="A308" r:id="rId603" tooltip="View pokedex for #064 Kadabra" display="http://pokemondb.net/pokedex/kadabra" xr:uid="{00000000-0004-0000-0200-00005A020000}"/>
    <hyperlink ref="B308" r:id="rId604" tooltip="View pokedex for #065 Alakazam" display="http://pokemondb.net/pokedex/alakazam" xr:uid="{00000000-0004-0000-0200-00005B020000}"/>
    <hyperlink ref="A309" r:id="rId605" tooltip="View pokedex for #067 Machoke" display="http://pokemondb.net/pokedex/machoke" xr:uid="{00000000-0004-0000-0200-00005C020000}"/>
    <hyperlink ref="B309" r:id="rId606" tooltip="View pokedex for #068 Machamp" display="http://pokemondb.net/pokedex/machamp" xr:uid="{00000000-0004-0000-0200-00005D020000}"/>
    <hyperlink ref="A310" r:id="rId607" tooltip="View pokedex for #075 Graveler" display="http://pokemondb.net/pokedex/graveler" xr:uid="{00000000-0004-0000-0200-00005E020000}"/>
    <hyperlink ref="B310" r:id="rId608" tooltip="View pokedex for #076 Golem" display="http://pokemondb.net/pokedex/golem" xr:uid="{00000000-0004-0000-0200-00005F020000}"/>
    <hyperlink ref="A311" r:id="rId609" tooltip="View pokedex for #079 Slowpoke" display="http://pokemondb.net/pokedex/slowpoke" xr:uid="{00000000-0004-0000-0200-000060020000}"/>
    <hyperlink ref="B311" r:id="rId610" tooltip="View pokedex for #199 Slowking" display="http://pokemondb.net/pokedex/slowking" xr:uid="{00000000-0004-0000-0200-000061020000}"/>
    <hyperlink ref="A312" r:id="rId611" tooltip="View pokedex for #093 Haunter" display="http://pokemondb.net/pokedex/haunter" xr:uid="{00000000-0004-0000-0200-000062020000}"/>
    <hyperlink ref="B312" r:id="rId612" tooltip="View pokedex for #094 Gengar" display="http://pokemondb.net/pokedex/gengar" xr:uid="{00000000-0004-0000-0200-000063020000}"/>
    <hyperlink ref="A313" r:id="rId613" tooltip="View pokedex for #095 Onix" display="http://pokemondb.net/pokedex/onix" xr:uid="{00000000-0004-0000-0200-000064020000}"/>
    <hyperlink ref="B313" r:id="rId614" tooltip="View pokedex for #208 Steelix" display="http://pokemondb.net/pokedex/steelix" xr:uid="{00000000-0004-0000-0200-000065020000}"/>
    <hyperlink ref="A314" r:id="rId615" tooltip="View pokedex for #112 Rhydon" display="http://pokemondb.net/pokedex/rhydon" xr:uid="{00000000-0004-0000-0200-000066020000}"/>
    <hyperlink ref="B314" r:id="rId616" tooltip="View pokedex for #464 Rhyperior" display="http://pokemondb.net/pokedex/rhyperior" xr:uid="{00000000-0004-0000-0200-000067020000}"/>
    <hyperlink ref="A315" r:id="rId617" tooltip="View pokedex for #117 Seadra" display="http://pokemondb.net/pokedex/seadra" xr:uid="{00000000-0004-0000-0200-000068020000}"/>
    <hyperlink ref="B315" r:id="rId618" tooltip="View pokedex for #230 Kingdra" display="http://pokemondb.net/pokedex/kingdra" xr:uid="{00000000-0004-0000-0200-000069020000}"/>
    <hyperlink ref="A316" r:id="rId619" tooltip="View pokedex for #123 Scyther" display="http://pokemondb.net/pokedex/scyther" xr:uid="{00000000-0004-0000-0200-00006A020000}"/>
    <hyperlink ref="B316" r:id="rId620" tooltip="View pokedex for #212 Scizor" display="http://pokemondb.net/pokedex/scizor" xr:uid="{00000000-0004-0000-0200-00006B020000}"/>
    <hyperlink ref="A317" r:id="rId621" tooltip="View pokedex for #125 Electabuzz" display="http://pokemondb.net/pokedex/electabuzz" xr:uid="{00000000-0004-0000-0200-00006C020000}"/>
    <hyperlink ref="B317" r:id="rId622" tooltip="View pokedex for #466 Electivire" display="http://pokemondb.net/pokedex/electivire" xr:uid="{00000000-0004-0000-0200-00006D020000}"/>
    <hyperlink ref="A318" r:id="rId623" tooltip="View pokedex for #126 Magmar" display="http://pokemondb.net/pokedex/magmar" xr:uid="{00000000-0004-0000-0200-00006E020000}"/>
    <hyperlink ref="B318" r:id="rId624" tooltip="View pokedex for #467 Magmortar" display="http://pokemondb.net/pokedex/magmortar" xr:uid="{00000000-0004-0000-0200-00006F020000}"/>
    <hyperlink ref="A319" r:id="rId625" tooltip="View pokedex for #137 Porygon" display="http://pokemondb.net/pokedex/porygon" xr:uid="{00000000-0004-0000-0200-000070020000}"/>
    <hyperlink ref="B319" r:id="rId626" tooltip="View pokedex for #233 Porygon2" display="http://pokemondb.net/pokedex/porygon2" xr:uid="{00000000-0004-0000-0200-000071020000}"/>
    <hyperlink ref="A320" r:id="rId627" tooltip="View pokedex for #233 Porygon2" display="http://pokemondb.net/pokedex/porygon2" xr:uid="{00000000-0004-0000-0200-000072020000}"/>
    <hyperlink ref="B320" r:id="rId628" tooltip="View pokedex for #474 Porygon-Z" display="http://pokemondb.net/pokedex/porygon-z" xr:uid="{00000000-0004-0000-0200-000073020000}"/>
    <hyperlink ref="A321" r:id="rId629" tooltip="View pokedex for #349 Feebas" display="http://pokemondb.net/pokedex/feebas" xr:uid="{00000000-0004-0000-0200-000074020000}"/>
    <hyperlink ref="B321" r:id="rId630" tooltip="View pokedex for #350 Milotic" display="http://pokemondb.net/pokedex/milotic" xr:uid="{00000000-0004-0000-0200-000075020000}"/>
    <hyperlink ref="A322" r:id="rId631" tooltip="View pokedex for #356 Dusclops" display="http://pokemondb.net/pokedex/dusclops" xr:uid="{00000000-0004-0000-0200-000076020000}"/>
    <hyperlink ref="B322" r:id="rId632" tooltip="View pokedex for #477 Dusknoir" display="http://pokemondb.net/pokedex/dusknoir" xr:uid="{00000000-0004-0000-0200-000077020000}"/>
    <hyperlink ref="A323" r:id="rId633" tooltip="View pokedex for #366 Clamperl" display="http://pokemondb.net/pokedex/clamperl" xr:uid="{00000000-0004-0000-0200-000078020000}"/>
    <hyperlink ref="B323" r:id="rId634" tooltip="View pokedex for #367 Huntail" display="http://pokemondb.net/pokedex/huntail" xr:uid="{00000000-0004-0000-0200-000079020000}"/>
    <hyperlink ref="A324" r:id="rId635" tooltip="View pokedex for #366 Clamperl" display="http://pokemondb.net/pokedex/clamperl" xr:uid="{00000000-0004-0000-0200-00007A020000}"/>
    <hyperlink ref="B324" r:id="rId636" tooltip="View pokedex for #368 Gorebyss" display="http://pokemondb.net/pokedex/gorebyss" xr:uid="{00000000-0004-0000-0200-00007B020000}"/>
    <hyperlink ref="A325" r:id="rId637" tooltip="View pokedex for #525 Boldore" display="http://pokemondb.net/pokedex/boldore" xr:uid="{00000000-0004-0000-0200-00007C020000}"/>
    <hyperlink ref="B325" r:id="rId638" tooltip="View pokedex for #526 Gigalith" display="http://pokemondb.net/pokedex/gigalith" xr:uid="{00000000-0004-0000-0200-00007D020000}"/>
    <hyperlink ref="A326" r:id="rId639" tooltip="View pokedex for #533 Gurdurr" display="http://pokemondb.net/pokedex/gurdurr" xr:uid="{00000000-0004-0000-0200-00007E020000}"/>
    <hyperlink ref="B326" r:id="rId640" tooltip="View pokedex for #534 Conkeldurr" display="http://pokemondb.net/pokedex/conkeldurr" xr:uid="{00000000-0004-0000-0200-00007F020000}"/>
    <hyperlink ref="A327" r:id="rId641" tooltip="View pokedex for #588 Karrablast" display="http://pokemondb.net/pokedex/karrablast" xr:uid="{00000000-0004-0000-0200-000080020000}"/>
    <hyperlink ref="B327" r:id="rId642" tooltip="View pokedex for #589 Escavalier" display="http://pokemondb.net/pokedex/escavalier" xr:uid="{00000000-0004-0000-0200-000081020000}"/>
    <hyperlink ref="A328" r:id="rId643" tooltip="View pokedex for #616 Shelmet" display="http://pokemondb.net/pokedex/shelmet" xr:uid="{00000000-0004-0000-0200-000082020000}"/>
    <hyperlink ref="B328" r:id="rId644" tooltip="View pokedex for #617 Accelgor" display="http://pokemondb.net/pokedex/accelgor" xr:uid="{00000000-0004-0000-0200-000083020000}"/>
    <hyperlink ref="A329" r:id="rId645" tooltip="View pokedex for #682 Spritzee" display="http://pokemondb.net/pokedex/spritzee" xr:uid="{00000000-0004-0000-0200-000084020000}"/>
    <hyperlink ref="B329" r:id="rId646" tooltip="View pokedex for #683 Aromatisse" display="http://pokemondb.net/pokedex/aromatisse" xr:uid="{00000000-0004-0000-0200-000085020000}"/>
    <hyperlink ref="A330" r:id="rId647" tooltip="View pokedex for #684 Swirlix" display="http://pokemondb.net/pokedex/swirlix" xr:uid="{00000000-0004-0000-0200-000086020000}"/>
    <hyperlink ref="B330" r:id="rId648" tooltip="View pokedex for #685 Slurpuff" display="http://pokemondb.net/pokedex/slurpuff" xr:uid="{00000000-0004-0000-0200-000087020000}"/>
    <hyperlink ref="A331" r:id="rId649" tooltip="View pokedex for #708 Phantump" display="http://pokemondb.net/pokedex/phantump" xr:uid="{00000000-0004-0000-0200-000088020000}"/>
    <hyperlink ref="B331" r:id="rId650" tooltip="View pokedex for #709 Trevenant" display="http://pokemondb.net/pokedex/trevenant" xr:uid="{00000000-0004-0000-0200-000089020000}"/>
    <hyperlink ref="A332" r:id="rId651" tooltip="View pokedex for #710 Pumpkaboo" display="http://pokemondb.net/pokedex/pumpkaboo" xr:uid="{00000000-0004-0000-0200-00008A020000}"/>
    <hyperlink ref="B332" r:id="rId652" tooltip="View pokedex for #711 Gourgeist" display="http://pokemondb.net/pokedex/gourgeist" xr:uid="{00000000-0004-0000-0200-00008B020000}"/>
    <hyperlink ref="A334" r:id="rId653" tooltip="View pokedex for #082 Magneton" display="http://pokemondb.net/pokedex/magneton" xr:uid="{00000000-0004-0000-0200-00008C020000}"/>
    <hyperlink ref="B334" r:id="rId654" tooltip="View pokedex for #462 Magnezone" display="http://pokemondb.net/pokedex/magnezone" xr:uid="{00000000-0004-0000-0200-00008D020000}"/>
    <hyperlink ref="A335" r:id="rId655" tooltip="View pokedex for #236 Tyrogue" display="http://pokemondb.net/pokedex/tyrogue" xr:uid="{00000000-0004-0000-0200-00008E020000}"/>
    <hyperlink ref="B335" r:id="rId656" tooltip="View pokedex for #106 Hitmonlee" display="http://pokemondb.net/pokedex/hitmonlee" xr:uid="{00000000-0004-0000-0200-00008F020000}"/>
    <hyperlink ref="A336" r:id="rId657" tooltip="View pokedex for #236 Tyrogue" display="http://pokemondb.net/pokedex/tyrogue" xr:uid="{00000000-0004-0000-0200-000090020000}"/>
    <hyperlink ref="B336" r:id="rId658" tooltip="View pokedex for #107 Hitmonchan" display="http://pokemondb.net/pokedex/hitmonchan" xr:uid="{00000000-0004-0000-0200-000091020000}"/>
    <hyperlink ref="A337" r:id="rId659" tooltip="View pokedex for #236 Tyrogue" display="http://pokemondb.net/pokedex/tyrogue" xr:uid="{00000000-0004-0000-0200-000092020000}"/>
    <hyperlink ref="B337" r:id="rId660" tooltip="View pokedex for #237 Hitmontop" display="http://pokemondb.net/pokedex/hitmontop" xr:uid="{00000000-0004-0000-0200-000093020000}"/>
    <hyperlink ref="A338" r:id="rId661" tooltip="View pokedex for #108 Lickitung" display="http://pokemondb.net/pokedex/lickitung" xr:uid="{00000000-0004-0000-0200-000094020000}"/>
    <hyperlink ref="B338" r:id="rId662" tooltip="View pokedex for #463 Lickilicky" display="http://pokemondb.net/pokedex/lickilicky" xr:uid="{00000000-0004-0000-0200-000095020000}"/>
    <hyperlink ref="A339" r:id="rId663" tooltip="View pokedex for #440 Happiny" display="http://pokemondb.net/pokedex/happiny" xr:uid="{00000000-0004-0000-0200-000096020000}"/>
    <hyperlink ref="B339" r:id="rId664" tooltip="View pokedex for #113 Chansey" display="http://pokemondb.net/pokedex/chansey" xr:uid="{00000000-0004-0000-0200-000097020000}"/>
    <hyperlink ref="A340" r:id="rId665" tooltip="View pokedex for #114 Tangela" display="http://pokemondb.net/pokedex/tangela" xr:uid="{00000000-0004-0000-0200-000098020000}"/>
    <hyperlink ref="B340" r:id="rId666" tooltip="View pokedex for #465 Tangrowth" display="http://pokemondb.net/pokedex/tangrowth" xr:uid="{00000000-0004-0000-0200-000099020000}"/>
    <hyperlink ref="A341" r:id="rId667" tooltip="View pokedex for #439 Mime Jr." display="http://pokemondb.net/pokedex/mime-jr" xr:uid="{00000000-0004-0000-0200-00009A020000}"/>
    <hyperlink ref="B341" r:id="rId668" tooltip="View pokedex for #122 Mr. Mime" display="http://pokemondb.net/pokedex/mr-mime" xr:uid="{00000000-0004-0000-0200-00009B020000}"/>
    <hyperlink ref="A342" r:id="rId669" tooltip="View pokedex for #133 Eevee" display="http://pokemondb.net/pokedex/eevee" xr:uid="{00000000-0004-0000-0200-00009C020000}"/>
    <hyperlink ref="B342" r:id="rId670" tooltip="View pokedex for #470 Leafeon" display="http://pokemondb.net/pokedex/leafeon" xr:uid="{00000000-0004-0000-0200-00009D020000}"/>
    <hyperlink ref="A343" r:id="rId671" tooltip="View pokedex for #133 Eevee" display="http://pokemondb.net/pokedex/eevee" xr:uid="{00000000-0004-0000-0200-00009E020000}"/>
    <hyperlink ref="B343" r:id="rId672" tooltip="View pokedex for #471 Glaceon" display="http://pokemondb.net/pokedex/glaceon" xr:uid="{00000000-0004-0000-0200-00009F020000}"/>
    <hyperlink ref="A344" r:id="rId673" tooltip="View pokedex for #133 Eevee" display="http://pokemondb.net/pokedex/eevee" xr:uid="{00000000-0004-0000-0200-0000A0020000}"/>
    <hyperlink ref="B344" r:id="rId674" tooltip="View pokedex for #700 Sylveon" display="http://pokemondb.net/pokedex/sylveon" xr:uid="{00000000-0004-0000-0200-0000A1020000}"/>
    <hyperlink ref="A345" r:id="rId675" tooltip="View pokedex for #438 Bonsly" display="http://pokemondb.net/pokedex/bonsly" xr:uid="{00000000-0004-0000-0200-0000A2020000}"/>
    <hyperlink ref="B345" r:id="rId676" tooltip="View pokedex for #185 Sudowoodo" display="http://pokemondb.net/pokedex/sudowoodo" xr:uid="{00000000-0004-0000-0200-0000A3020000}"/>
    <hyperlink ref="A346" r:id="rId677" tooltip="View pokedex for #190 Aipom" display="http://pokemondb.net/pokedex/aipom" xr:uid="{00000000-0004-0000-0200-0000A4020000}"/>
    <hyperlink ref="B346" r:id="rId678" tooltip="View pokedex for #424 Ambipom" display="http://pokemondb.net/pokedex/ambipom" xr:uid="{00000000-0004-0000-0200-0000A5020000}"/>
    <hyperlink ref="A347" r:id="rId679" tooltip="View pokedex for #193 Yanma" display="http://pokemondb.net/pokedex/yanma" xr:uid="{00000000-0004-0000-0200-0000A6020000}"/>
    <hyperlink ref="B347" r:id="rId680" tooltip="View pokedex for #469 Yanmega" display="http://pokemondb.net/pokedex/yanmega" xr:uid="{00000000-0004-0000-0200-0000A7020000}"/>
    <hyperlink ref="A348" r:id="rId681" tooltip="View pokedex for #207 Gligar" display="http://pokemondb.net/pokedex/gligar" xr:uid="{00000000-0004-0000-0200-0000A8020000}"/>
    <hyperlink ref="B348" r:id="rId682" tooltip="View pokedex for #472 Gliscor" display="http://pokemondb.net/pokedex/gliscor" xr:uid="{00000000-0004-0000-0200-0000A9020000}"/>
    <hyperlink ref="A349" r:id="rId683" tooltip="View pokedex for #215 Sneasel" display="http://pokemondb.net/pokedex/sneasel" xr:uid="{00000000-0004-0000-0200-0000AA020000}"/>
    <hyperlink ref="B349" r:id="rId684" tooltip="View pokedex for #461 Weavile" display="http://pokemondb.net/pokedex/weavile" xr:uid="{00000000-0004-0000-0200-0000AB020000}"/>
    <hyperlink ref="A350" r:id="rId685" tooltip="View pokedex for #221 Piloswine" display="http://pokemondb.net/pokedex/piloswine" xr:uid="{00000000-0004-0000-0200-0000AC020000}"/>
    <hyperlink ref="B350" r:id="rId686" tooltip="View pokedex for #473 Mamoswine" display="http://pokemondb.net/pokedex/mamoswine" xr:uid="{00000000-0004-0000-0200-0000AD020000}"/>
    <hyperlink ref="A351" r:id="rId687" tooltip="View pokedex for #458 Mantyke" display="http://pokemondb.net/pokedex/mantyke" xr:uid="{00000000-0004-0000-0200-0000AE020000}"/>
    <hyperlink ref="B351" r:id="rId688" tooltip="View pokedex for #226 Mantine" display="http://pokemondb.net/pokedex/mantine" xr:uid="{00000000-0004-0000-0200-0000AF020000}"/>
    <hyperlink ref="A352" r:id="rId689" tooltip="View pokedex for #265 Wurmple" display="http://pokemondb.net/pokedex/wurmple" xr:uid="{00000000-0004-0000-0200-0000B0020000}"/>
    <hyperlink ref="B352" r:id="rId690" tooltip="View pokedex for #266 Silcoon" display="http://pokemondb.net/pokedex/silcoon" xr:uid="{00000000-0004-0000-0200-0000B1020000}"/>
    <hyperlink ref="A353" r:id="rId691" tooltip="View pokedex for #265 Wurmple" display="http://pokemondb.net/pokedex/wurmple" xr:uid="{00000000-0004-0000-0200-0000B2020000}"/>
    <hyperlink ref="B353" r:id="rId692" tooltip="View pokedex for #268 Cascoon" display="http://pokemondb.net/pokedex/cascoon" xr:uid="{00000000-0004-0000-0200-0000B3020000}"/>
    <hyperlink ref="A354" r:id="rId693" tooltip="View pokedex for #290 Nincada" display="http://pokemondb.net/pokedex/nincada" xr:uid="{00000000-0004-0000-0200-0000B4020000}"/>
    <hyperlink ref="B354" r:id="rId694" tooltip="View pokedex for #292 Shedinja" display="http://pokemondb.net/pokedex/shedinja" xr:uid="{00000000-0004-0000-0200-0000B5020000}"/>
    <hyperlink ref="A355" r:id="rId695" tooltip="View pokedex for #299 Nosepass" display="http://pokemondb.net/pokedex/nosepass" xr:uid="{00000000-0004-0000-0200-0000B6020000}"/>
    <hyperlink ref="B355" r:id="rId696" tooltip="View pokedex for #476 Probopass" display="http://pokemondb.net/pokedex/probopass" xr:uid="{00000000-0004-0000-0200-0000B7020000}"/>
    <hyperlink ref="A356" r:id="rId697" tooltip="View pokedex for #349 Feebas" display="http://pokemondb.net/pokedex/feebas" xr:uid="{00000000-0004-0000-0200-0000B8020000}"/>
    <hyperlink ref="B356" r:id="rId698" tooltip="View pokedex for #350 Milotic" display="http://pokemondb.net/pokedex/milotic" xr:uid="{00000000-0004-0000-0200-0000B9020000}"/>
    <hyperlink ref="A357" r:id="rId699" tooltip="View pokedex for #412 Burmy" display="http://pokemondb.net/pokedex/burmy" xr:uid="{00000000-0004-0000-0200-0000BA020000}"/>
    <hyperlink ref="B357" r:id="rId700" tooltip="View pokedex for #414 Mothim" display="http://pokemondb.net/pokedex/mothim" xr:uid="{00000000-0004-0000-0200-0000BB020000}"/>
    <hyperlink ref="A358" r:id="rId701" tooltip="View pokedex for #412 Burmy" display="http://pokemondb.net/pokedex/burmy" xr:uid="{00000000-0004-0000-0200-0000BC020000}"/>
    <hyperlink ref="B358" r:id="rId702" tooltip="View pokedex for #413 Wormadam" display="http://pokemondb.net/pokedex/wormadam" xr:uid="{00000000-0004-0000-0200-0000BD020000}"/>
    <hyperlink ref="A360" r:id="rId703" tooltip="View pokedex for #412 Burmy" display="http://pokemondb.net/pokedex/burmy" xr:uid="{00000000-0004-0000-0200-0000BE020000}"/>
    <hyperlink ref="B360" r:id="rId704" tooltip="View pokedex for #413 Wormadam" display="http://pokemondb.net/pokedex/wormadam" xr:uid="{00000000-0004-0000-0200-0000BF020000}"/>
    <hyperlink ref="A362" r:id="rId705" tooltip="View pokedex for #412 Burmy" display="http://pokemondb.net/pokedex/burmy" xr:uid="{00000000-0004-0000-0200-0000C0020000}"/>
    <hyperlink ref="B362" r:id="rId706" tooltip="View pokedex for #413 Wormadam" display="http://pokemondb.net/pokedex/wormadam" xr:uid="{00000000-0004-0000-0200-0000C1020000}"/>
    <hyperlink ref="A364" r:id="rId707" tooltip="View pokedex for #415 Combee" display="http://pokemondb.net/pokedex/combee" xr:uid="{00000000-0004-0000-0200-0000C2020000}"/>
    <hyperlink ref="B364" r:id="rId708" tooltip="View pokedex for #416 Vespiquen" display="http://pokemondb.net/pokedex/vespiquen" xr:uid="{00000000-0004-0000-0200-0000C3020000}"/>
    <hyperlink ref="A365" r:id="rId709" tooltip="View pokedex for #588 Karrablast" display="http://pokemondb.net/pokedex/karrablast" xr:uid="{00000000-0004-0000-0200-0000C4020000}"/>
    <hyperlink ref="B365" r:id="rId710" tooltip="View pokedex for #589 Escavalier" display="http://pokemondb.net/pokedex/escavalier" xr:uid="{00000000-0004-0000-0200-0000C5020000}"/>
    <hyperlink ref="A366" r:id="rId711" tooltip="View pokedex for #616 Shelmet" display="http://pokemondb.net/pokedex/shelmet" xr:uid="{00000000-0004-0000-0200-0000C6020000}"/>
    <hyperlink ref="B366" r:id="rId712" tooltip="View pokedex for #617 Accelgor" display="http://pokemondb.net/pokedex/accelgor" xr:uid="{00000000-0004-0000-0200-0000C7020000}"/>
    <hyperlink ref="A367" r:id="rId713" tooltip="View pokedex for #674 Pancham" display="http://pokemondb.net/pokedex/pancham" xr:uid="{00000000-0004-0000-0200-0000C8020000}"/>
    <hyperlink ref="B367" r:id="rId714" tooltip="View pokedex for #675 Pangoro" display="http://pokemondb.net/pokedex/pangoro" xr:uid="{00000000-0004-0000-0200-0000C9020000}"/>
    <hyperlink ref="A368" r:id="rId715" tooltip="View pokedex for #682 Spritzee" display="http://pokemondb.net/pokedex/spritzee" xr:uid="{00000000-0004-0000-0200-0000CA020000}"/>
    <hyperlink ref="B368" r:id="rId716" tooltip="View pokedex for #683 Aromatisse" display="http://pokemondb.net/pokedex/aromatisse" xr:uid="{00000000-0004-0000-0200-0000CB020000}"/>
    <hyperlink ref="A369" r:id="rId717" tooltip="View pokedex for #684 Swirlix" display="http://pokemondb.net/pokedex/swirlix" xr:uid="{00000000-0004-0000-0200-0000CC020000}"/>
    <hyperlink ref="B369" r:id="rId718" tooltip="View pokedex for #685 Slurpuff" display="http://pokemondb.net/pokedex/slurpuff" xr:uid="{00000000-0004-0000-0200-0000CD020000}"/>
    <hyperlink ref="A370" r:id="rId719" tooltip="View pokedex for #686 Inkay" display="http://pokemondb.net/pokedex/inkay" xr:uid="{00000000-0004-0000-0200-0000CE020000}"/>
    <hyperlink ref="B370" r:id="rId720" tooltip="View pokedex for #687 Malamar" display="http://pokemondb.net/pokedex/malamar" xr:uid="{00000000-0004-0000-0200-0000CF020000}"/>
    <hyperlink ref="A371" r:id="rId721" tooltip="View pokedex for #696 Tyrunt" display="http://pokemondb.net/pokedex/tyrunt" xr:uid="{00000000-0004-0000-0200-0000D0020000}"/>
    <hyperlink ref="B371" r:id="rId722" tooltip="View pokedex for #697 Tyrantrum" display="http://pokemondb.net/pokedex/tyrantrum" xr:uid="{00000000-0004-0000-0200-0000D1020000}"/>
    <hyperlink ref="A372" r:id="rId723" tooltip="View pokedex for #698 Amaura" display="http://pokemondb.net/pokedex/amaura" xr:uid="{00000000-0004-0000-0200-0000D2020000}"/>
    <hyperlink ref="B372" r:id="rId724" tooltip="View pokedex for #699 Aurorus" display="http://pokemondb.net/pokedex/aurorus" xr:uid="{00000000-0004-0000-0200-0000D3020000}"/>
    <hyperlink ref="A373" r:id="rId725" tooltip="View pokedex for #705 Sliggoo" display="http://pokemondb.net/pokedex/sliggoo" xr:uid="{00000000-0004-0000-0200-0000D4020000}"/>
    <hyperlink ref="B373" r:id="rId726" tooltip="View pokedex for #706 Goodra" display="http://pokemondb.net/pokedex/goodra" xr:uid="{00000000-0004-0000-0200-0000D5020000}"/>
    <hyperlink ref="A374" r:id="rId727" tooltip="View pokedex for #172 Pichu" display="http://pokemondb.net/pokedex/pichu" xr:uid="{00000000-0004-0000-0200-0000D6020000}"/>
    <hyperlink ref="B374" r:id="rId728" tooltip="View pokedex for #025 Pikachu" display="http://pokemondb.net/pokedex/pikachu" xr:uid="{00000000-0004-0000-0200-0000D7020000}"/>
    <hyperlink ref="A375" r:id="rId729" tooltip="View pokedex for #173 Cleffa" display="http://pokemondb.net/pokedex/cleffa" xr:uid="{00000000-0004-0000-0200-0000D8020000}"/>
    <hyperlink ref="B375" r:id="rId730" tooltip="View pokedex for #035 Clefairy" display="http://pokemondb.net/pokedex/clefairy" xr:uid="{00000000-0004-0000-0200-0000D9020000}"/>
    <hyperlink ref="A376" r:id="rId731" tooltip="View pokedex for #174 Igglybuff" display="http://pokemondb.net/pokedex/igglybuff" xr:uid="{00000000-0004-0000-0200-0000DA020000}"/>
    <hyperlink ref="B376" r:id="rId732" tooltip="View pokedex for #039 Jigglypuff" display="http://pokemondb.net/pokedex/jigglypuff" xr:uid="{00000000-0004-0000-0200-0000DB020000}"/>
    <hyperlink ref="A377" r:id="rId733" tooltip="View pokedex for #042 Golbat" display="http://pokemondb.net/pokedex/golbat" xr:uid="{00000000-0004-0000-0200-0000DC020000}"/>
    <hyperlink ref="B377" r:id="rId734" tooltip="View pokedex for #169 Crobat" display="http://pokemondb.net/pokedex/crobat" xr:uid="{00000000-0004-0000-0200-0000DD020000}"/>
    <hyperlink ref="A378" r:id="rId735" tooltip="View pokedex for #113 Chansey" display="http://pokemondb.net/pokedex/chansey" xr:uid="{00000000-0004-0000-0200-0000DE020000}"/>
    <hyperlink ref="B378" r:id="rId736" tooltip="View pokedex for #242 Blissey" display="http://pokemondb.net/pokedex/blissey" xr:uid="{00000000-0004-0000-0200-0000DF020000}"/>
    <hyperlink ref="A379" r:id="rId737" tooltip="View pokedex for #133 Eevee" display="http://pokemondb.net/pokedex/eevee" xr:uid="{00000000-0004-0000-0200-0000E0020000}"/>
    <hyperlink ref="B379" r:id="rId738" tooltip="View pokedex for #196 Espeon" display="http://pokemondb.net/pokedex/espeon" xr:uid="{00000000-0004-0000-0200-0000E1020000}"/>
    <hyperlink ref="A380" r:id="rId739" tooltip="View pokedex for #133 Eevee" display="http://pokemondb.net/pokedex/eevee" xr:uid="{00000000-0004-0000-0200-0000E2020000}"/>
    <hyperlink ref="B380" r:id="rId740" tooltip="View pokedex for #197 Umbreon" display="http://pokemondb.net/pokedex/umbreon" xr:uid="{00000000-0004-0000-0200-0000E3020000}"/>
    <hyperlink ref="A381" r:id="rId741" tooltip="View pokedex for #446 Munchlax" display="http://pokemondb.net/pokedex/munchlax" xr:uid="{00000000-0004-0000-0200-0000E4020000}"/>
    <hyperlink ref="B381" r:id="rId742" tooltip="View pokedex for #143 Snorlax" display="http://pokemondb.net/pokedex/snorlax" xr:uid="{00000000-0004-0000-0200-0000E5020000}"/>
    <hyperlink ref="A382" r:id="rId743" tooltip="View pokedex for #175 Togepi" display="http://pokemondb.net/pokedex/togepi" xr:uid="{00000000-0004-0000-0200-0000E6020000}"/>
    <hyperlink ref="B382" r:id="rId744" tooltip="View pokedex for #176 Togetic" display="http://pokemondb.net/pokedex/togetic" xr:uid="{00000000-0004-0000-0200-0000E7020000}"/>
    <hyperlink ref="A383" r:id="rId745" tooltip="View pokedex for #298 Azurill" display="http://pokemondb.net/pokedex/azurill" xr:uid="{00000000-0004-0000-0200-0000E8020000}"/>
    <hyperlink ref="B383" r:id="rId746" tooltip="View pokedex for #183 Marill" display="http://pokemondb.net/pokedex/marill" xr:uid="{00000000-0004-0000-0200-0000E9020000}"/>
    <hyperlink ref="A384" r:id="rId747" tooltip="View pokedex for #406 Budew" display="http://pokemondb.net/pokedex/budew" xr:uid="{00000000-0004-0000-0200-0000EA020000}"/>
    <hyperlink ref="B384" r:id="rId748" tooltip="View pokedex for #315 Roselia" display="http://pokemondb.net/pokedex/roselia" xr:uid="{00000000-0004-0000-0200-0000EB020000}"/>
    <hyperlink ref="A385" r:id="rId749" tooltip="View pokedex for #433 Chingling" display="http://pokemondb.net/pokedex/chingling" xr:uid="{00000000-0004-0000-0200-0000EC020000}"/>
    <hyperlink ref="B385" r:id="rId750" tooltip="View pokedex for #358 Chimecho" display="http://pokemondb.net/pokedex/chimecho" xr:uid="{00000000-0004-0000-0200-0000ED020000}"/>
    <hyperlink ref="A386" r:id="rId751" tooltip="View pokedex for #427 Buneary" display="http://pokemondb.net/pokedex/buneary" xr:uid="{00000000-0004-0000-0200-0000EE020000}"/>
    <hyperlink ref="B386" r:id="rId752" tooltip="View pokedex for #428 Lopunny" display="http://pokemondb.net/pokedex/lopunny" xr:uid="{00000000-0004-0000-0200-0000EF020000}"/>
    <hyperlink ref="A387" r:id="rId753" tooltip="View pokedex for #447 Riolu" display="http://pokemondb.net/pokedex/riolu" xr:uid="{00000000-0004-0000-0200-0000F0020000}"/>
    <hyperlink ref="B387" r:id="rId754" tooltip="View pokedex for #448 Lucario" display="http://pokemondb.net/pokedex/lucario" xr:uid="{00000000-0004-0000-0200-0000F1020000}"/>
    <hyperlink ref="A388" r:id="rId755" tooltip="View pokedex for #527 Woobat" display="http://pokemondb.net/pokedex/woobat" xr:uid="{00000000-0004-0000-0200-0000F2020000}"/>
    <hyperlink ref="B388" r:id="rId756" tooltip="View pokedex for #528 Swoobat" display="http://pokemondb.net/pokedex/swoobat" xr:uid="{00000000-0004-0000-0200-0000F3020000}"/>
    <hyperlink ref="A389" r:id="rId757" tooltip="View pokedex for #541 Swadloon" display="http://pokemondb.net/pokedex/swadloon" xr:uid="{00000000-0004-0000-0200-0000F4020000}"/>
    <hyperlink ref="B389" r:id="rId758" tooltip="View pokedex for #542 Leavanny" display="http://pokemondb.net/pokedex/leavanny" xr:uid="{00000000-0004-0000-0200-0000F5020000}"/>
  </hyperlinks>
  <pageMargins left="0.7" right="0.7" top="0.75" bottom="0.75" header="0.3" footer="0.3"/>
  <tableParts count="1">
    <tablePart r:id="rId75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5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12" customWidth="1"/>
    <col min="2" max="2" width="13.42578125" customWidth="1"/>
    <col min="3" max="3" width="21" customWidth="1"/>
    <col min="4" max="4" width="15.85546875" customWidth="1"/>
    <col min="5" max="5" width="66.85546875" customWidth="1"/>
  </cols>
  <sheetData>
    <row r="1" spans="1:5" ht="21">
      <c r="A1" s="33" t="s">
        <v>8</v>
      </c>
      <c r="B1" s="33" t="s">
        <v>9</v>
      </c>
      <c r="C1" s="33" t="s">
        <v>1965</v>
      </c>
      <c r="D1" s="33" t="s">
        <v>1966</v>
      </c>
      <c r="E1" s="33" t="s">
        <v>1967</v>
      </c>
    </row>
    <row r="2" spans="1:5">
      <c r="A2" t="s">
        <v>42</v>
      </c>
      <c r="B2" t="s">
        <v>42</v>
      </c>
      <c r="C2" t="s">
        <v>1968</v>
      </c>
      <c r="D2">
        <v>1</v>
      </c>
      <c r="E2" s="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NORMAL</v>
      </c>
    </row>
    <row r="3" spans="1:5">
      <c r="A3" t="s">
        <v>42</v>
      </c>
      <c r="B3" t="s">
        <v>22</v>
      </c>
      <c r="C3" t="s">
        <v>1968</v>
      </c>
      <c r="D3">
        <v>1</v>
      </c>
      <c r="E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FIRE</v>
      </c>
    </row>
    <row r="4" spans="1:5">
      <c r="A4" t="s">
        <v>42</v>
      </c>
      <c r="B4" t="s">
        <v>30</v>
      </c>
      <c r="C4" t="s">
        <v>1968</v>
      </c>
      <c r="D4">
        <v>1</v>
      </c>
      <c r="E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WATER</v>
      </c>
    </row>
    <row r="5" spans="1:5">
      <c r="A5" t="s">
        <v>42</v>
      </c>
      <c r="B5" t="s">
        <v>52</v>
      </c>
      <c r="C5" t="s">
        <v>1968</v>
      </c>
      <c r="D5">
        <v>1</v>
      </c>
      <c r="E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ELECTRIC</v>
      </c>
    </row>
    <row r="6" spans="1:5">
      <c r="A6" t="s">
        <v>42</v>
      </c>
      <c r="B6" t="s">
        <v>16</v>
      </c>
      <c r="C6" t="s">
        <v>1968</v>
      </c>
      <c r="D6">
        <v>1</v>
      </c>
      <c r="E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GRASS</v>
      </c>
    </row>
    <row r="7" spans="1:5">
      <c r="A7" t="s">
        <v>42</v>
      </c>
      <c r="B7" t="s">
        <v>122</v>
      </c>
      <c r="C7" t="s">
        <v>1968</v>
      </c>
      <c r="D7">
        <v>1</v>
      </c>
      <c r="E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ICE</v>
      </c>
    </row>
    <row r="8" spans="1:5">
      <c r="A8" t="s">
        <v>42</v>
      </c>
      <c r="B8" t="s">
        <v>86</v>
      </c>
      <c r="C8" t="s">
        <v>1968</v>
      </c>
      <c r="D8">
        <v>1</v>
      </c>
      <c r="E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FIGHTING</v>
      </c>
    </row>
    <row r="9" spans="1:5">
      <c r="A9" t="s">
        <v>42</v>
      </c>
      <c r="B9" t="s">
        <v>17</v>
      </c>
      <c r="C9" t="s">
        <v>1968</v>
      </c>
      <c r="D9">
        <v>1</v>
      </c>
      <c r="E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POISON</v>
      </c>
    </row>
    <row r="10" spans="1:5">
      <c r="A10" t="s">
        <v>42</v>
      </c>
      <c r="B10" t="s">
        <v>55</v>
      </c>
      <c r="C10" t="s">
        <v>1968</v>
      </c>
      <c r="D10">
        <v>1</v>
      </c>
      <c r="E1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GROUND</v>
      </c>
    </row>
    <row r="11" spans="1:5">
      <c r="A11" t="s">
        <v>42</v>
      </c>
      <c r="B11" t="s">
        <v>25</v>
      </c>
      <c r="C11" t="s">
        <v>1968</v>
      </c>
      <c r="D11">
        <v>1</v>
      </c>
      <c r="E1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FLYING</v>
      </c>
    </row>
    <row r="12" spans="1:5">
      <c r="A12" t="s">
        <v>42</v>
      </c>
      <c r="B12" t="s">
        <v>94</v>
      </c>
      <c r="C12" t="s">
        <v>1968</v>
      </c>
      <c r="D12">
        <v>1</v>
      </c>
      <c r="E1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PSYCHIC</v>
      </c>
    </row>
    <row r="13" spans="1:5">
      <c r="A13" t="s">
        <v>42</v>
      </c>
      <c r="B13" t="s">
        <v>35</v>
      </c>
      <c r="C13" t="s">
        <v>1968</v>
      </c>
      <c r="D13">
        <v>1</v>
      </c>
      <c r="E1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BUG</v>
      </c>
    </row>
    <row r="14" spans="1:5">
      <c r="A14" t="s">
        <v>42</v>
      </c>
      <c r="B14" t="s">
        <v>107</v>
      </c>
      <c r="C14" t="s">
        <v>1969</v>
      </c>
      <c r="D14">
        <v>0.5</v>
      </c>
      <c r="E1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Not Very Effective contra o elemento ROCK</v>
      </c>
    </row>
    <row r="15" spans="1:5">
      <c r="A15" t="s">
        <v>42</v>
      </c>
      <c r="B15" t="s">
        <v>128</v>
      </c>
      <c r="C15" t="s">
        <v>1970</v>
      </c>
      <c r="D15">
        <v>0</v>
      </c>
      <c r="E1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 Effect contra o elemento GHOST</v>
      </c>
    </row>
    <row r="16" spans="1:5">
      <c r="A16" t="s">
        <v>42</v>
      </c>
      <c r="B16" t="s">
        <v>27</v>
      </c>
      <c r="C16" t="s">
        <v>1968</v>
      </c>
      <c r="D16">
        <v>1</v>
      </c>
      <c r="E1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DRAGON</v>
      </c>
    </row>
    <row r="17" spans="1:5">
      <c r="A17" t="s">
        <v>42</v>
      </c>
      <c r="B17" t="s">
        <v>170</v>
      </c>
      <c r="C17" t="s">
        <v>1968</v>
      </c>
      <c r="D17">
        <v>1</v>
      </c>
      <c r="E1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DARK</v>
      </c>
    </row>
    <row r="18" spans="1:5">
      <c r="A18" t="s">
        <v>42</v>
      </c>
      <c r="B18" t="s">
        <v>115</v>
      </c>
      <c r="C18" t="s">
        <v>1969</v>
      </c>
      <c r="D18">
        <v>0.5</v>
      </c>
      <c r="E1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Not Very Effective contra o elemento STEEL</v>
      </c>
    </row>
    <row r="19" spans="1:5">
      <c r="A19" s="5" t="s">
        <v>42</v>
      </c>
      <c r="B19" t="s">
        <v>64</v>
      </c>
      <c r="C19" t="s">
        <v>1968</v>
      </c>
      <c r="D19">
        <v>1</v>
      </c>
      <c r="E1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NORMAL é Normal contra o elemento FAIRY</v>
      </c>
    </row>
    <row r="20" spans="1:5">
      <c r="A20" t="s">
        <v>22</v>
      </c>
      <c r="B20" t="s">
        <v>42</v>
      </c>
      <c r="C20" t="s">
        <v>1968</v>
      </c>
      <c r="D20">
        <v>1</v>
      </c>
      <c r="E2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NORMAL</v>
      </c>
    </row>
    <row r="21" spans="1:5">
      <c r="A21" t="s">
        <v>22</v>
      </c>
      <c r="B21" t="s">
        <v>22</v>
      </c>
      <c r="C21" t="s">
        <v>1969</v>
      </c>
      <c r="D21">
        <v>0.5</v>
      </c>
      <c r="E2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Not Very Effective contra o elemento FIRE</v>
      </c>
    </row>
    <row r="22" spans="1:5">
      <c r="A22" t="s">
        <v>22</v>
      </c>
      <c r="B22" t="s">
        <v>30</v>
      </c>
      <c r="C22" t="s">
        <v>1969</v>
      </c>
      <c r="D22">
        <v>0.5</v>
      </c>
      <c r="E2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Not Very Effective contra o elemento WATER</v>
      </c>
    </row>
    <row r="23" spans="1:5">
      <c r="A23" t="s">
        <v>22</v>
      </c>
      <c r="B23" t="s">
        <v>52</v>
      </c>
      <c r="C23" t="s">
        <v>1968</v>
      </c>
      <c r="D23">
        <v>1</v>
      </c>
      <c r="E2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ELECTRIC</v>
      </c>
    </row>
    <row r="24" spans="1:5">
      <c r="A24" t="s">
        <v>22</v>
      </c>
      <c r="B24" t="s">
        <v>16</v>
      </c>
      <c r="C24" t="s">
        <v>1971</v>
      </c>
      <c r="D24">
        <v>2</v>
      </c>
      <c r="E2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Very Effective contra o elemento GRASS</v>
      </c>
    </row>
    <row r="25" spans="1:5">
      <c r="A25" t="s">
        <v>22</v>
      </c>
      <c r="B25" t="s">
        <v>122</v>
      </c>
      <c r="C25" t="s">
        <v>1971</v>
      </c>
      <c r="D25">
        <v>2</v>
      </c>
      <c r="E2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Very Effective contra o elemento ICE</v>
      </c>
    </row>
    <row r="26" spans="1:5">
      <c r="A26" t="s">
        <v>22</v>
      </c>
      <c r="B26" t="s">
        <v>86</v>
      </c>
      <c r="C26" t="s">
        <v>1968</v>
      </c>
      <c r="D26">
        <v>1</v>
      </c>
      <c r="E2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FIGHTING</v>
      </c>
    </row>
    <row r="27" spans="1:5">
      <c r="A27" t="s">
        <v>22</v>
      </c>
      <c r="B27" t="s">
        <v>17</v>
      </c>
      <c r="C27" t="s">
        <v>1968</v>
      </c>
      <c r="D27">
        <v>1</v>
      </c>
      <c r="E2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POISON</v>
      </c>
    </row>
    <row r="28" spans="1:5">
      <c r="A28" t="s">
        <v>22</v>
      </c>
      <c r="B28" t="s">
        <v>55</v>
      </c>
      <c r="C28" t="s">
        <v>1968</v>
      </c>
      <c r="D28">
        <v>1</v>
      </c>
      <c r="E2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GROUND</v>
      </c>
    </row>
    <row r="29" spans="1:5">
      <c r="A29" t="s">
        <v>22</v>
      </c>
      <c r="B29" t="s">
        <v>25</v>
      </c>
      <c r="C29" t="s">
        <v>1968</v>
      </c>
      <c r="D29">
        <v>1</v>
      </c>
      <c r="E2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FLYING</v>
      </c>
    </row>
    <row r="30" spans="1:5">
      <c r="A30" t="s">
        <v>22</v>
      </c>
      <c r="B30" t="s">
        <v>94</v>
      </c>
      <c r="C30" t="s">
        <v>1968</v>
      </c>
      <c r="D30">
        <v>1</v>
      </c>
      <c r="E3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PSYCHIC</v>
      </c>
    </row>
    <row r="31" spans="1:5">
      <c r="A31" t="s">
        <v>22</v>
      </c>
      <c r="B31" t="s">
        <v>35</v>
      </c>
      <c r="C31" t="s">
        <v>1971</v>
      </c>
      <c r="D31">
        <v>2</v>
      </c>
      <c r="E3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Very Effective contra o elemento BUG</v>
      </c>
    </row>
    <row r="32" spans="1:5">
      <c r="A32" t="s">
        <v>22</v>
      </c>
      <c r="B32" t="s">
        <v>107</v>
      </c>
      <c r="C32" t="s">
        <v>1969</v>
      </c>
      <c r="D32">
        <v>0.5</v>
      </c>
      <c r="E3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Not Very Effective contra o elemento ROCK</v>
      </c>
    </row>
    <row r="33" spans="1:5">
      <c r="A33" t="s">
        <v>22</v>
      </c>
      <c r="B33" t="s">
        <v>128</v>
      </c>
      <c r="C33" t="s">
        <v>1968</v>
      </c>
      <c r="D33">
        <v>1</v>
      </c>
      <c r="E3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GHOST</v>
      </c>
    </row>
    <row r="34" spans="1:5">
      <c r="A34" t="s">
        <v>22</v>
      </c>
      <c r="B34" t="s">
        <v>27</v>
      </c>
      <c r="C34" t="s">
        <v>1969</v>
      </c>
      <c r="D34">
        <v>0.5</v>
      </c>
      <c r="E3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Not Very Effective contra o elemento DRAGON</v>
      </c>
    </row>
    <row r="35" spans="1:5">
      <c r="A35" t="s">
        <v>22</v>
      </c>
      <c r="B35" t="s">
        <v>170</v>
      </c>
      <c r="C35" t="s">
        <v>1968</v>
      </c>
      <c r="D35">
        <v>1</v>
      </c>
      <c r="E3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DARK</v>
      </c>
    </row>
    <row r="36" spans="1:5">
      <c r="A36" t="s">
        <v>22</v>
      </c>
      <c r="B36" t="s">
        <v>115</v>
      </c>
      <c r="C36" t="s">
        <v>1971</v>
      </c>
      <c r="D36">
        <v>2</v>
      </c>
      <c r="E3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Very Effective contra o elemento STEEL</v>
      </c>
    </row>
    <row r="37" spans="1:5">
      <c r="A37" t="s">
        <v>22</v>
      </c>
      <c r="B37" t="s">
        <v>64</v>
      </c>
      <c r="C37" t="s">
        <v>1968</v>
      </c>
      <c r="D37">
        <v>1</v>
      </c>
      <c r="E3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FIRE é Normal contra o elemento FAIRY</v>
      </c>
    </row>
    <row r="38" spans="1:5">
      <c r="A38" t="s">
        <v>30</v>
      </c>
      <c r="B38" t="s">
        <v>42</v>
      </c>
      <c r="C38" t="s">
        <v>1968</v>
      </c>
      <c r="D38">
        <v>1</v>
      </c>
      <c r="E3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NORMAL</v>
      </c>
    </row>
    <row r="39" spans="1:5">
      <c r="A39" t="s">
        <v>30</v>
      </c>
      <c r="B39" t="s">
        <v>22</v>
      </c>
      <c r="C39" t="s">
        <v>1971</v>
      </c>
      <c r="D39">
        <v>2</v>
      </c>
      <c r="E3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Very Effective contra o elemento FIRE</v>
      </c>
    </row>
    <row r="40" spans="1:5">
      <c r="A40" t="s">
        <v>30</v>
      </c>
      <c r="B40" t="s">
        <v>30</v>
      </c>
      <c r="C40" t="s">
        <v>1969</v>
      </c>
      <c r="D40">
        <v>0.5</v>
      </c>
      <c r="E4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Not Very Effective contra o elemento WATER</v>
      </c>
    </row>
    <row r="41" spans="1:5">
      <c r="A41" t="s">
        <v>30</v>
      </c>
      <c r="B41" t="s">
        <v>52</v>
      </c>
      <c r="C41" t="s">
        <v>1968</v>
      </c>
      <c r="D41">
        <v>1</v>
      </c>
      <c r="E4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ELECTRIC</v>
      </c>
    </row>
    <row r="42" spans="1:5">
      <c r="A42" t="s">
        <v>30</v>
      </c>
      <c r="B42" t="s">
        <v>16</v>
      </c>
      <c r="C42" t="s">
        <v>1969</v>
      </c>
      <c r="D42">
        <v>0.5</v>
      </c>
      <c r="E4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Not Very Effective contra o elemento GRASS</v>
      </c>
    </row>
    <row r="43" spans="1:5">
      <c r="A43" t="s">
        <v>30</v>
      </c>
      <c r="B43" t="s">
        <v>122</v>
      </c>
      <c r="C43" t="s">
        <v>1968</v>
      </c>
      <c r="D43">
        <v>1</v>
      </c>
      <c r="E4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ICE</v>
      </c>
    </row>
    <row r="44" spans="1:5">
      <c r="A44" t="s">
        <v>30</v>
      </c>
      <c r="B44" t="s">
        <v>86</v>
      </c>
      <c r="C44" t="s">
        <v>1968</v>
      </c>
      <c r="D44">
        <v>1</v>
      </c>
      <c r="E4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FIGHTING</v>
      </c>
    </row>
    <row r="45" spans="1:5">
      <c r="A45" t="s">
        <v>30</v>
      </c>
      <c r="B45" t="s">
        <v>17</v>
      </c>
      <c r="C45" t="s">
        <v>1968</v>
      </c>
      <c r="D45">
        <v>1</v>
      </c>
      <c r="E4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POISON</v>
      </c>
    </row>
    <row r="46" spans="1:5">
      <c r="A46" t="s">
        <v>30</v>
      </c>
      <c r="B46" t="s">
        <v>55</v>
      </c>
      <c r="C46" t="s">
        <v>1971</v>
      </c>
      <c r="D46">
        <v>2</v>
      </c>
      <c r="E4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Very Effective contra o elemento GROUND</v>
      </c>
    </row>
    <row r="47" spans="1:5">
      <c r="A47" t="s">
        <v>30</v>
      </c>
      <c r="B47" t="s">
        <v>25</v>
      </c>
      <c r="C47" t="s">
        <v>1968</v>
      </c>
      <c r="D47">
        <v>1</v>
      </c>
      <c r="E4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FLYING</v>
      </c>
    </row>
    <row r="48" spans="1:5">
      <c r="A48" t="s">
        <v>30</v>
      </c>
      <c r="B48" t="s">
        <v>94</v>
      </c>
      <c r="C48" t="s">
        <v>1968</v>
      </c>
      <c r="D48">
        <v>1</v>
      </c>
      <c r="E4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PSYCHIC</v>
      </c>
    </row>
    <row r="49" spans="1:5">
      <c r="A49" t="s">
        <v>30</v>
      </c>
      <c r="B49" t="s">
        <v>35</v>
      </c>
      <c r="C49" t="s">
        <v>1968</v>
      </c>
      <c r="D49">
        <v>1</v>
      </c>
      <c r="E4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BUG</v>
      </c>
    </row>
    <row r="50" spans="1:5">
      <c r="A50" t="s">
        <v>30</v>
      </c>
      <c r="B50" t="s">
        <v>107</v>
      </c>
      <c r="C50" t="s">
        <v>1971</v>
      </c>
      <c r="D50">
        <v>2</v>
      </c>
      <c r="E5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Very Effective contra o elemento ROCK</v>
      </c>
    </row>
    <row r="51" spans="1:5">
      <c r="A51" t="s">
        <v>30</v>
      </c>
      <c r="B51" t="s">
        <v>128</v>
      </c>
      <c r="C51" t="s">
        <v>1968</v>
      </c>
      <c r="D51">
        <v>1</v>
      </c>
      <c r="E5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GHOST</v>
      </c>
    </row>
    <row r="52" spans="1:5">
      <c r="A52" t="s">
        <v>30</v>
      </c>
      <c r="B52" t="s">
        <v>27</v>
      </c>
      <c r="C52" t="s">
        <v>1969</v>
      </c>
      <c r="D52">
        <v>0.5</v>
      </c>
      <c r="E5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Not Very Effective contra o elemento DRAGON</v>
      </c>
    </row>
    <row r="53" spans="1:5">
      <c r="A53" t="s">
        <v>30</v>
      </c>
      <c r="B53" t="s">
        <v>170</v>
      </c>
      <c r="C53" t="s">
        <v>1968</v>
      </c>
      <c r="D53">
        <v>1</v>
      </c>
      <c r="E5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DARK</v>
      </c>
    </row>
    <row r="54" spans="1:5">
      <c r="A54" t="s">
        <v>30</v>
      </c>
      <c r="B54" t="s">
        <v>115</v>
      </c>
      <c r="C54" t="s">
        <v>1968</v>
      </c>
      <c r="D54">
        <v>1</v>
      </c>
      <c r="E5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STEEL</v>
      </c>
    </row>
    <row r="55" spans="1:5">
      <c r="A55" t="s">
        <v>30</v>
      </c>
      <c r="B55" t="s">
        <v>64</v>
      </c>
      <c r="C55" t="s">
        <v>1968</v>
      </c>
      <c r="D55">
        <v>1</v>
      </c>
      <c r="E5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WATER é Normal contra o elemento FAIRY</v>
      </c>
    </row>
    <row r="56" spans="1:5">
      <c r="A56" t="s">
        <v>52</v>
      </c>
      <c r="B56" t="s">
        <v>42</v>
      </c>
      <c r="C56" t="s">
        <v>1968</v>
      </c>
      <c r="D56">
        <v>1</v>
      </c>
      <c r="E5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NORMAL</v>
      </c>
    </row>
    <row r="57" spans="1:5">
      <c r="A57" t="s">
        <v>52</v>
      </c>
      <c r="B57" t="s">
        <v>22</v>
      </c>
      <c r="C57" t="s">
        <v>1968</v>
      </c>
      <c r="D57">
        <v>1</v>
      </c>
      <c r="E5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FIRE</v>
      </c>
    </row>
    <row r="58" spans="1:5">
      <c r="A58" t="s">
        <v>52</v>
      </c>
      <c r="B58" t="s">
        <v>30</v>
      </c>
      <c r="C58" t="s">
        <v>1971</v>
      </c>
      <c r="D58">
        <v>2</v>
      </c>
      <c r="E5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Very Effective contra o elemento WATER</v>
      </c>
    </row>
    <row r="59" spans="1:5">
      <c r="A59" t="s">
        <v>52</v>
      </c>
      <c r="B59" t="s">
        <v>52</v>
      </c>
      <c r="C59" t="s">
        <v>1969</v>
      </c>
      <c r="D59">
        <v>0.5</v>
      </c>
      <c r="E5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Not Very Effective contra o elemento ELECTRIC</v>
      </c>
    </row>
    <row r="60" spans="1:5">
      <c r="A60" t="s">
        <v>52</v>
      </c>
      <c r="B60" t="s">
        <v>16</v>
      </c>
      <c r="C60" t="s">
        <v>1969</v>
      </c>
      <c r="D60">
        <v>0.5</v>
      </c>
      <c r="E6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Not Very Effective contra o elemento GRASS</v>
      </c>
    </row>
    <row r="61" spans="1:5">
      <c r="A61" t="s">
        <v>52</v>
      </c>
      <c r="B61" t="s">
        <v>122</v>
      </c>
      <c r="C61" t="s">
        <v>1968</v>
      </c>
      <c r="D61">
        <v>1</v>
      </c>
      <c r="E6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ICE</v>
      </c>
    </row>
    <row r="62" spans="1:5">
      <c r="A62" t="s">
        <v>52</v>
      </c>
      <c r="B62" t="s">
        <v>86</v>
      </c>
      <c r="C62" t="s">
        <v>1968</v>
      </c>
      <c r="D62">
        <v>1</v>
      </c>
      <c r="E6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FIGHTING</v>
      </c>
    </row>
    <row r="63" spans="1:5">
      <c r="A63" t="s">
        <v>52</v>
      </c>
      <c r="B63" t="s">
        <v>17</v>
      </c>
      <c r="C63" t="s">
        <v>1968</v>
      </c>
      <c r="D63">
        <v>1</v>
      </c>
      <c r="E6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POISON</v>
      </c>
    </row>
    <row r="64" spans="1:5">
      <c r="A64" t="s">
        <v>52</v>
      </c>
      <c r="B64" t="s">
        <v>55</v>
      </c>
      <c r="C64" t="s">
        <v>1970</v>
      </c>
      <c r="D64">
        <v>0</v>
      </c>
      <c r="E6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 Effect contra o elemento GROUND</v>
      </c>
    </row>
    <row r="65" spans="1:5">
      <c r="A65" t="s">
        <v>52</v>
      </c>
      <c r="B65" t="s">
        <v>25</v>
      </c>
      <c r="C65" t="s">
        <v>1971</v>
      </c>
      <c r="D65">
        <v>2</v>
      </c>
      <c r="E6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Very Effective contra o elemento FLYING</v>
      </c>
    </row>
    <row r="66" spans="1:5">
      <c r="A66" t="s">
        <v>52</v>
      </c>
      <c r="B66" t="s">
        <v>94</v>
      </c>
      <c r="C66" t="s">
        <v>1968</v>
      </c>
      <c r="D66">
        <v>1</v>
      </c>
      <c r="E6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PSYCHIC</v>
      </c>
    </row>
    <row r="67" spans="1:5">
      <c r="A67" t="s">
        <v>52</v>
      </c>
      <c r="B67" t="s">
        <v>35</v>
      </c>
      <c r="C67" t="s">
        <v>1968</v>
      </c>
      <c r="D67">
        <v>1</v>
      </c>
      <c r="E6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BUG</v>
      </c>
    </row>
    <row r="68" spans="1:5">
      <c r="A68" t="s">
        <v>52</v>
      </c>
      <c r="B68" t="s">
        <v>107</v>
      </c>
      <c r="C68" t="s">
        <v>1968</v>
      </c>
      <c r="D68">
        <v>1</v>
      </c>
      <c r="E6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ROCK</v>
      </c>
    </row>
    <row r="69" spans="1:5">
      <c r="A69" t="s">
        <v>52</v>
      </c>
      <c r="B69" t="s">
        <v>128</v>
      </c>
      <c r="C69" t="s">
        <v>1968</v>
      </c>
      <c r="D69">
        <v>1</v>
      </c>
      <c r="E6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GHOST</v>
      </c>
    </row>
    <row r="70" spans="1:5">
      <c r="A70" t="s">
        <v>52</v>
      </c>
      <c r="B70" t="s">
        <v>27</v>
      </c>
      <c r="C70" t="s">
        <v>1969</v>
      </c>
      <c r="D70">
        <v>0.5</v>
      </c>
      <c r="E7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Not Very Effective contra o elemento DRAGON</v>
      </c>
    </row>
    <row r="71" spans="1:5">
      <c r="A71" t="s">
        <v>52</v>
      </c>
      <c r="B71" t="s">
        <v>170</v>
      </c>
      <c r="C71" t="s">
        <v>1968</v>
      </c>
      <c r="D71">
        <v>1</v>
      </c>
      <c r="E7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DARK</v>
      </c>
    </row>
    <row r="72" spans="1:5">
      <c r="A72" t="s">
        <v>52</v>
      </c>
      <c r="B72" t="s">
        <v>115</v>
      </c>
      <c r="C72" t="s">
        <v>1968</v>
      </c>
      <c r="D72">
        <v>1</v>
      </c>
      <c r="E7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STEEL</v>
      </c>
    </row>
    <row r="73" spans="1:5">
      <c r="A73" t="s">
        <v>52</v>
      </c>
      <c r="B73" t="s">
        <v>64</v>
      </c>
      <c r="C73" t="s">
        <v>1968</v>
      </c>
      <c r="D73">
        <v>1</v>
      </c>
      <c r="E7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ELECTRIC é Normal contra o elemento FAIRY</v>
      </c>
    </row>
    <row r="74" spans="1:5">
      <c r="A74" t="s">
        <v>16</v>
      </c>
      <c r="B74" t="s">
        <v>42</v>
      </c>
      <c r="C74" t="s">
        <v>1968</v>
      </c>
      <c r="D74">
        <v>1</v>
      </c>
      <c r="E7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NORMAL</v>
      </c>
    </row>
    <row r="75" spans="1:5">
      <c r="A75" t="s">
        <v>16</v>
      </c>
      <c r="B75" t="s">
        <v>22</v>
      </c>
      <c r="C75" t="s">
        <v>1969</v>
      </c>
      <c r="D75">
        <v>0.5</v>
      </c>
      <c r="E7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FIRE</v>
      </c>
    </row>
    <row r="76" spans="1:5">
      <c r="A76" t="s">
        <v>16</v>
      </c>
      <c r="B76" t="s">
        <v>30</v>
      </c>
      <c r="C76" t="s">
        <v>1971</v>
      </c>
      <c r="D76">
        <v>2</v>
      </c>
      <c r="E7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Very Effective contra o elemento WATER</v>
      </c>
    </row>
    <row r="77" spans="1:5">
      <c r="A77" t="s">
        <v>16</v>
      </c>
      <c r="B77" t="s">
        <v>52</v>
      </c>
      <c r="C77" t="s">
        <v>1968</v>
      </c>
      <c r="D77">
        <v>1</v>
      </c>
      <c r="E7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ELECTRIC</v>
      </c>
    </row>
    <row r="78" spans="1:5">
      <c r="A78" t="s">
        <v>16</v>
      </c>
      <c r="B78" t="s">
        <v>16</v>
      </c>
      <c r="C78" t="s">
        <v>1969</v>
      </c>
      <c r="D78">
        <v>0.5</v>
      </c>
      <c r="E7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GRASS</v>
      </c>
    </row>
    <row r="79" spans="1:5">
      <c r="A79" t="s">
        <v>16</v>
      </c>
      <c r="B79" t="s">
        <v>122</v>
      </c>
      <c r="C79" t="s">
        <v>1968</v>
      </c>
      <c r="D79">
        <v>1</v>
      </c>
      <c r="E7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ICE</v>
      </c>
    </row>
    <row r="80" spans="1:5">
      <c r="A80" t="s">
        <v>16</v>
      </c>
      <c r="B80" t="s">
        <v>86</v>
      </c>
      <c r="C80" t="s">
        <v>1968</v>
      </c>
      <c r="D80">
        <v>1</v>
      </c>
      <c r="E8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FIGHTING</v>
      </c>
    </row>
    <row r="81" spans="1:5">
      <c r="A81" t="s">
        <v>16</v>
      </c>
      <c r="B81" t="s">
        <v>17</v>
      </c>
      <c r="C81" t="s">
        <v>1969</v>
      </c>
      <c r="D81">
        <v>0.5</v>
      </c>
      <c r="E8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POISON</v>
      </c>
    </row>
    <row r="82" spans="1:5">
      <c r="A82" t="s">
        <v>16</v>
      </c>
      <c r="B82" t="s">
        <v>55</v>
      </c>
      <c r="C82" t="s">
        <v>1971</v>
      </c>
      <c r="D82">
        <v>2</v>
      </c>
      <c r="E8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Very Effective contra o elemento GROUND</v>
      </c>
    </row>
    <row r="83" spans="1:5">
      <c r="A83" t="s">
        <v>16</v>
      </c>
      <c r="B83" t="s">
        <v>25</v>
      </c>
      <c r="C83" t="s">
        <v>1969</v>
      </c>
      <c r="D83">
        <v>0.5</v>
      </c>
      <c r="E8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FLYING</v>
      </c>
    </row>
    <row r="84" spans="1:5">
      <c r="A84" t="s">
        <v>16</v>
      </c>
      <c r="B84" t="s">
        <v>94</v>
      </c>
      <c r="C84" t="s">
        <v>1968</v>
      </c>
      <c r="D84">
        <v>1</v>
      </c>
      <c r="E8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PSYCHIC</v>
      </c>
    </row>
    <row r="85" spans="1:5">
      <c r="A85" t="s">
        <v>16</v>
      </c>
      <c r="B85" t="s">
        <v>35</v>
      </c>
      <c r="C85" t="s">
        <v>1969</v>
      </c>
      <c r="D85">
        <v>0.5</v>
      </c>
      <c r="E8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BUG</v>
      </c>
    </row>
    <row r="86" spans="1:5">
      <c r="A86" t="s">
        <v>16</v>
      </c>
      <c r="B86" t="s">
        <v>107</v>
      </c>
      <c r="C86" t="s">
        <v>1971</v>
      </c>
      <c r="D86">
        <v>2</v>
      </c>
      <c r="E8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Very Effective contra o elemento ROCK</v>
      </c>
    </row>
    <row r="87" spans="1:5">
      <c r="A87" t="s">
        <v>16</v>
      </c>
      <c r="B87" t="s">
        <v>128</v>
      </c>
      <c r="C87" t="s">
        <v>1968</v>
      </c>
      <c r="D87">
        <v>1</v>
      </c>
      <c r="E8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GHOST</v>
      </c>
    </row>
    <row r="88" spans="1:5">
      <c r="A88" t="s">
        <v>16</v>
      </c>
      <c r="B88" t="s">
        <v>27</v>
      </c>
      <c r="C88" t="s">
        <v>1969</v>
      </c>
      <c r="D88">
        <v>0.5</v>
      </c>
      <c r="E8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DRAGON</v>
      </c>
    </row>
    <row r="89" spans="1:5">
      <c r="A89" t="s">
        <v>16</v>
      </c>
      <c r="B89" t="s">
        <v>170</v>
      </c>
      <c r="C89" t="s">
        <v>1968</v>
      </c>
      <c r="D89">
        <v>1</v>
      </c>
      <c r="E8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DARK</v>
      </c>
    </row>
    <row r="90" spans="1:5">
      <c r="A90" t="s">
        <v>16</v>
      </c>
      <c r="B90" t="s">
        <v>115</v>
      </c>
      <c r="C90" t="s">
        <v>1969</v>
      </c>
      <c r="D90">
        <v>0.5</v>
      </c>
      <c r="E9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Not Very Effective contra o elemento STEEL</v>
      </c>
    </row>
    <row r="91" spans="1:5">
      <c r="A91" t="s">
        <v>16</v>
      </c>
      <c r="B91" t="s">
        <v>64</v>
      </c>
      <c r="C91" t="s">
        <v>1968</v>
      </c>
      <c r="D91">
        <v>1</v>
      </c>
      <c r="E9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GRASS é Normal contra o elemento FAIRY</v>
      </c>
    </row>
    <row r="92" spans="1:5">
      <c r="A92" t="s">
        <v>122</v>
      </c>
      <c r="B92" t="s">
        <v>42</v>
      </c>
      <c r="C92" t="s">
        <v>1968</v>
      </c>
      <c r="D92">
        <v>1</v>
      </c>
      <c r="E9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NORMAL</v>
      </c>
    </row>
    <row r="93" spans="1:5">
      <c r="A93" t="s">
        <v>122</v>
      </c>
      <c r="B93" t="s">
        <v>22</v>
      </c>
      <c r="C93" t="s">
        <v>1969</v>
      </c>
      <c r="D93">
        <v>0.5</v>
      </c>
      <c r="E9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Not Very Effective contra o elemento FIRE</v>
      </c>
    </row>
    <row r="94" spans="1:5">
      <c r="A94" t="s">
        <v>122</v>
      </c>
      <c r="B94" t="s">
        <v>30</v>
      </c>
      <c r="C94" t="s">
        <v>1969</v>
      </c>
      <c r="D94">
        <v>0.5</v>
      </c>
      <c r="E9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Not Very Effective contra o elemento WATER</v>
      </c>
    </row>
    <row r="95" spans="1:5">
      <c r="A95" t="s">
        <v>122</v>
      </c>
      <c r="B95" t="s">
        <v>52</v>
      </c>
      <c r="C95" t="s">
        <v>1968</v>
      </c>
      <c r="D95">
        <v>1</v>
      </c>
      <c r="E9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ELECTRIC</v>
      </c>
    </row>
    <row r="96" spans="1:5">
      <c r="A96" t="s">
        <v>122</v>
      </c>
      <c r="B96" t="s">
        <v>16</v>
      </c>
      <c r="C96" t="s">
        <v>1971</v>
      </c>
      <c r="D96">
        <v>2</v>
      </c>
      <c r="E9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Very Effective contra o elemento GRASS</v>
      </c>
    </row>
    <row r="97" spans="1:5">
      <c r="A97" t="s">
        <v>122</v>
      </c>
      <c r="B97" t="s">
        <v>122</v>
      </c>
      <c r="C97" t="s">
        <v>1969</v>
      </c>
      <c r="D97">
        <v>0.5</v>
      </c>
      <c r="E9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Not Very Effective contra o elemento ICE</v>
      </c>
    </row>
    <row r="98" spans="1:5">
      <c r="A98" t="s">
        <v>122</v>
      </c>
      <c r="B98" t="s">
        <v>86</v>
      </c>
      <c r="C98" t="s">
        <v>1968</v>
      </c>
      <c r="D98">
        <v>1</v>
      </c>
      <c r="E9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FIGHTING</v>
      </c>
    </row>
    <row r="99" spans="1:5">
      <c r="A99" t="s">
        <v>122</v>
      </c>
      <c r="B99" t="s">
        <v>17</v>
      </c>
      <c r="C99" t="s">
        <v>1968</v>
      </c>
      <c r="D99">
        <v>1</v>
      </c>
      <c r="E9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POISON</v>
      </c>
    </row>
    <row r="100" spans="1:5">
      <c r="A100" t="s">
        <v>122</v>
      </c>
      <c r="B100" t="s">
        <v>55</v>
      </c>
      <c r="C100" t="s">
        <v>1971</v>
      </c>
      <c r="D100">
        <v>2</v>
      </c>
      <c r="E10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Very Effective contra o elemento GROUND</v>
      </c>
    </row>
    <row r="101" spans="1:5">
      <c r="A101" t="s">
        <v>122</v>
      </c>
      <c r="B101" t="s">
        <v>25</v>
      </c>
      <c r="C101" t="s">
        <v>1971</v>
      </c>
      <c r="D101">
        <v>2</v>
      </c>
      <c r="E10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Very Effective contra o elemento FLYING</v>
      </c>
    </row>
    <row r="102" spans="1:5">
      <c r="A102" t="s">
        <v>122</v>
      </c>
      <c r="B102" t="s">
        <v>94</v>
      </c>
      <c r="C102" t="s">
        <v>1968</v>
      </c>
      <c r="D102">
        <v>1</v>
      </c>
      <c r="E10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PSYCHIC</v>
      </c>
    </row>
    <row r="103" spans="1:5">
      <c r="A103" t="s">
        <v>122</v>
      </c>
      <c r="B103" t="s">
        <v>35</v>
      </c>
      <c r="C103" t="s">
        <v>1968</v>
      </c>
      <c r="D103">
        <v>1</v>
      </c>
      <c r="E10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BUG</v>
      </c>
    </row>
    <row r="104" spans="1:5">
      <c r="A104" t="s">
        <v>122</v>
      </c>
      <c r="B104" t="s">
        <v>107</v>
      </c>
      <c r="C104" t="s">
        <v>1968</v>
      </c>
      <c r="D104">
        <v>1</v>
      </c>
      <c r="E10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ROCK</v>
      </c>
    </row>
    <row r="105" spans="1:5">
      <c r="A105" t="s">
        <v>122</v>
      </c>
      <c r="B105" t="s">
        <v>128</v>
      </c>
      <c r="C105" t="s">
        <v>1968</v>
      </c>
      <c r="D105">
        <v>1</v>
      </c>
      <c r="E10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GHOST</v>
      </c>
    </row>
    <row r="106" spans="1:5">
      <c r="A106" t="s">
        <v>122</v>
      </c>
      <c r="B106" t="s">
        <v>27</v>
      </c>
      <c r="C106" t="s">
        <v>1971</v>
      </c>
      <c r="D106">
        <v>2</v>
      </c>
      <c r="E10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Very Effective contra o elemento DRAGON</v>
      </c>
    </row>
    <row r="107" spans="1:5">
      <c r="A107" t="s">
        <v>122</v>
      </c>
      <c r="B107" t="s">
        <v>170</v>
      </c>
      <c r="C107" t="s">
        <v>1968</v>
      </c>
      <c r="D107">
        <v>1</v>
      </c>
      <c r="E10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DARK</v>
      </c>
    </row>
    <row r="108" spans="1:5">
      <c r="A108" t="s">
        <v>122</v>
      </c>
      <c r="B108" t="s">
        <v>115</v>
      </c>
      <c r="C108" t="s">
        <v>1969</v>
      </c>
      <c r="D108">
        <v>0.5</v>
      </c>
      <c r="E10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Not Very Effective contra o elemento STEEL</v>
      </c>
    </row>
    <row r="109" spans="1:5">
      <c r="A109" t="s">
        <v>122</v>
      </c>
      <c r="B109" t="s">
        <v>64</v>
      </c>
      <c r="C109" t="s">
        <v>1968</v>
      </c>
      <c r="D109">
        <v>1</v>
      </c>
      <c r="E10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ICE é Normal contra o elemento FAIRY</v>
      </c>
    </row>
    <row r="110" spans="1:5">
      <c r="A110" t="s">
        <v>86</v>
      </c>
      <c r="B110" t="s">
        <v>42</v>
      </c>
      <c r="C110" t="s">
        <v>1971</v>
      </c>
      <c r="D110">
        <v>2</v>
      </c>
      <c r="E11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Very Effective contra o elemento NORMAL</v>
      </c>
    </row>
    <row r="111" spans="1:5">
      <c r="A111" t="s">
        <v>86</v>
      </c>
      <c r="B111" t="s">
        <v>22</v>
      </c>
      <c r="C111" t="s">
        <v>1968</v>
      </c>
      <c r="D111">
        <v>1</v>
      </c>
      <c r="E11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FIRE</v>
      </c>
    </row>
    <row r="112" spans="1:5">
      <c r="A112" t="s">
        <v>86</v>
      </c>
      <c r="B112" t="s">
        <v>30</v>
      </c>
      <c r="C112" t="s">
        <v>1968</v>
      </c>
      <c r="D112">
        <v>1</v>
      </c>
      <c r="E11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WATER</v>
      </c>
    </row>
    <row r="113" spans="1:5">
      <c r="A113" t="s">
        <v>86</v>
      </c>
      <c r="B113" t="s">
        <v>52</v>
      </c>
      <c r="C113" t="s">
        <v>1968</v>
      </c>
      <c r="D113">
        <v>1</v>
      </c>
      <c r="E11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ELECTRIC</v>
      </c>
    </row>
    <row r="114" spans="1:5">
      <c r="A114" t="s">
        <v>86</v>
      </c>
      <c r="B114" t="s">
        <v>16</v>
      </c>
      <c r="C114" t="s">
        <v>1968</v>
      </c>
      <c r="D114">
        <v>1</v>
      </c>
      <c r="E11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GRASS</v>
      </c>
    </row>
    <row r="115" spans="1:5">
      <c r="A115" t="s">
        <v>86</v>
      </c>
      <c r="B115" t="s">
        <v>122</v>
      </c>
      <c r="C115" t="s">
        <v>1971</v>
      </c>
      <c r="D115">
        <v>2</v>
      </c>
      <c r="E11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Very Effective contra o elemento ICE</v>
      </c>
    </row>
    <row r="116" spans="1:5">
      <c r="A116" t="s">
        <v>86</v>
      </c>
      <c r="B116" t="s">
        <v>86</v>
      </c>
      <c r="C116" t="s">
        <v>1968</v>
      </c>
      <c r="D116">
        <v>1</v>
      </c>
      <c r="E11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FIGHTING</v>
      </c>
    </row>
    <row r="117" spans="1:5">
      <c r="A117" t="s">
        <v>86</v>
      </c>
      <c r="B117" t="s">
        <v>17</v>
      </c>
      <c r="C117" t="s">
        <v>1969</v>
      </c>
      <c r="D117">
        <v>0.5</v>
      </c>
      <c r="E11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Not Very Effective contra o elemento POISON</v>
      </c>
    </row>
    <row r="118" spans="1:5">
      <c r="A118" t="s">
        <v>86</v>
      </c>
      <c r="B118" t="s">
        <v>55</v>
      </c>
      <c r="C118" t="s">
        <v>1968</v>
      </c>
      <c r="D118">
        <v>1</v>
      </c>
      <c r="E11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GROUND</v>
      </c>
    </row>
    <row r="119" spans="1:5">
      <c r="A119" t="s">
        <v>86</v>
      </c>
      <c r="B119" t="s">
        <v>25</v>
      </c>
      <c r="C119" t="s">
        <v>1969</v>
      </c>
      <c r="D119">
        <v>0.5</v>
      </c>
      <c r="E11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Not Very Effective contra o elemento FLYING</v>
      </c>
    </row>
    <row r="120" spans="1:5">
      <c r="A120" t="s">
        <v>86</v>
      </c>
      <c r="B120" t="s">
        <v>94</v>
      </c>
      <c r="C120" t="s">
        <v>1969</v>
      </c>
      <c r="D120">
        <v>0.5</v>
      </c>
      <c r="E12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Not Very Effective contra o elemento PSYCHIC</v>
      </c>
    </row>
    <row r="121" spans="1:5">
      <c r="A121" t="s">
        <v>86</v>
      </c>
      <c r="B121" t="s">
        <v>35</v>
      </c>
      <c r="C121" t="s">
        <v>1969</v>
      </c>
      <c r="D121">
        <v>0.5</v>
      </c>
      <c r="E12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Not Very Effective contra o elemento BUG</v>
      </c>
    </row>
    <row r="122" spans="1:5">
      <c r="A122" t="s">
        <v>86</v>
      </c>
      <c r="B122" t="s">
        <v>107</v>
      </c>
      <c r="C122" t="s">
        <v>1971</v>
      </c>
      <c r="D122">
        <v>2</v>
      </c>
      <c r="E12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Very Effective contra o elemento ROCK</v>
      </c>
    </row>
    <row r="123" spans="1:5">
      <c r="A123" t="s">
        <v>86</v>
      </c>
      <c r="B123" t="s">
        <v>128</v>
      </c>
      <c r="C123" t="s">
        <v>1970</v>
      </c>
      <c r="D123">
        <v>0</v>
      </c>
      <c r="E12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 Effect contra o elemento GHOST</v>
      </c>
    </row>
    <row r="124" spans="1:5">
      <c r="A124" t="s">
        <v>86</v>
      </c>
      <c r="B124" t="s">
        <v>27</v>
      </c>
      <c r="C124" t="s">
        <v>1968</v>
      </c>
      <c r="D124">
        <v>1</v>
      </c>
      <c r="E12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Normal contra o elemento DRAGON</v>
      </c>
    </row>
    <row r="125" spans="1:5">
      <c r="A125" t="s">
        <v>86</v>
      </c>
      <c r="B125" t="s">
        <v>170</v>
      </c>
      <c r="C125" t="s">
        <v>1971</v>
      </c>
      <c r="D125">
        <v>2</v>
      </c>
      <c r="E12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Very Effective contra o elemento DARK</v>
      </c>
    </row>
    <row r="126" spans="1:5">
      <c r="A126" t="s">
        <v>86</v>
      </c>
      <c r="B126" t="s">
        <v>115</v>
      </c>
      <c r="C126" t="s">
        <v>1971</v>
      </c>
      <c r="D126">
        <v>2</v>
      </c>
      <c r="E12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Very Effective contra o elemento STEEL</v>
      </c>
    </row>
    <row r="127" spans="1:5">
      <c r="A127" t="s">
        <v>86</v>
      </c>
      <c r="B127" t="s">
        <v>64</v>
      </c>
      <c r="C127" t="s">
        <v>1969</v>
      </c>
      <c r="D127">
        <v>0.5</v>
      </c>
      <c r="E12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FIGHTING é Not Very Effective contra o elemento FAIRY</v>
      </c>
    </row>
    <row r="128" spans="1:5">
      <c r="A128" t="s">
        <v>17</v>
      </c>
      <c r="B128" t="s">
        <v>42</v>
      </c>
      <c r="C128" t="s">
        <v>1968</v>
      </c>
      <c r="D128">
        <v>1</v>
      </c>
      <c r="E12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NORMAL</v>
      </c>
    </row>
    <row r="129" spans="1:5">
      <c r="A129" t="s">
        <v>17</v>
      </c>
      <c r="B129" t="s">
        <v>22</v>
      </c>
      <c r="C129" t="s">
        <v>1968</v>
      </c>
      <c r="D129">
        <v>1</v>
      </c>
      <c r="E12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FIRE</v>
      </c>
    </row>
    <row r="130" spans="1:5">
      <c r="A130" t="s">
        <v>17</v>
      </c>
      <c r="B130" t="s">
        <v>30</v>
      </c>
      <c r="C130" t="s">
        <v>1968</v>
      </c>
      <c r="D130">
        <v>1</v>
      </c>
      <c r="E13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WATER</v>
      </c>
    </row>
    <row r="131" spans="1:5">
      <c r="A131" t="s">
        <v>17</v>
      </c>
      <c r="B131" t="s">
        <v>52</v>
      </c>
      <c r="C131" t="s">
        <v>1968</v>
      </c>
      <c r="D131">
        <v>1</v>
      </c>
      <c r="E13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ELECTRIC</v>
      </c>
    </row>
    <row r="132" spans="1:5">
      <c r="A132" t="s">
        <v>17</v>
      </c>
      <c r="B132" t="s">
        <v>16</v>
      </c>
      <c r="C132" t="s">
        <v>1971</v>
      </c>
      <c r="D132">
        <v>2</v>
      </c>
      <c r="E13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Very Effective contra o elemento GRASS</v>
      </c>
    </row>
    <row r="133" spans="1:5">
      <c r="A133" t="s">
        <v>17</v>
      </c>
      <c r="B133" t="s">
        <v>122</v>
      </c>
      <c r="C133" t="s">
        <v>1968</v>
      </c>
      <c r="D133">
        <v>1</v>
      </c>
      <c r="E13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ICE</v>
      </c>
    </row>
    <row r="134" spans="1:5">
      <c r="A134" t="s">
        <v>17</v>
      </c>
      <c r="B134" t="s">
        <v>86</v>
      </c>
      <c r="C134" t="s">
        <v>1968</v>
      </c>
      <c r="D134">
        <v>1</v>
      </c>
      <c r="E13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FIGHTING</v>
      </c>
    </row>
    <row r="135" spans="1:5">
      <c r="A135" t="s">
        <v>17</v>
      </c>
      <c r="B135" t="s">
        <v>17</v>
      </c>
      <c r="C135" t="s">
        <v>1969</v>
      </c>
      <c r="D135">
        <v>0.5</v>
      </c>
      <c r="E13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Not Very Effective contra o elemento POISON</v>
      </c>
    </row>
    <row r="136" spans="1:5">
      <c r="A136" t="s">
        <v>17</v>
      </c>
      <c r="B136" t="s">
        <v>55</v>
      </c>
      <c r="C136" t="s">
        <v>1969</v>
      </c>
      <c r="D136">
        <v>0.5</v>
      </c>
      <c r="E13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Not Very Effective contra o elemento GROUND</v>
      </c>
    </row>
    <row r="137" spans="1:5">
      <c r="A137" t="s">
        <v>17</v>
      </c>
      <c r="B137" t="s">
        <v>25</v>
      </c>
      <c r="C137" t="s">
        <v>1968</v>
      </c>
      <c r="D137">
        <v>1</v>
      </c>
      <c r="E13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FLYING</v>
      </c>
    </row>
    <row r="138" spans="1:5">
      <c r="A138" t="s">
        <v>17</v>
      </c>
      <c r="B138" t="s">
        <v>94</v>
      </c>
      <c r="C138" t="s">
        <v>1968</v>
      </c>
      <c r="D138">
        <v>1</v>
      </c>
      <c r="E13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PSYCHIC</v>
      </c>
    </row>
    <row r="139" spans="1:5">
      <c r="A139" t="s">
        <v>17</v>
      </c>
      <c r="B139" t="s">
        <v>35</v>
      </c>
      <c r="C139" t="s">
        <v>1968</v>
      </c>
      <c r="D139">
        <v>1</v>
      </c>
      <c r="E13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BUG</v>
      </c>
    </row>
    <row r="140" spans="1:5">
      <c r="A140" t="s">
        <v>17</v>
      </c>
      <c r="B140" t="s">
        <v>107</v>
      </c>
      <c r="C140" t="s">
        <v>1969</v>
      </c>
      <c r="D140">
        <v>0.5</v>
      </c>
      <c r="E14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Not Very Effective contra o elemento ROCK</v>
      </c>
    </row>
    <row r="141" spans="1:5">
      <c r="A141" t="s">
        <v>17</v>
      </c>
      <c r="B141" t="s">
        <v>128</v>
      </c>
      <c r="C141" t="s">
        <v>1969</v>
      </c>
      <c r="D141">
        <v>0.5</v>
      </c>
      <c r="E14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Not Very Effective contra o elemento GHOST</v>
      </c>
    </row>
    <row r="142" spans="1:5">
      <c r="A142" t="s">
        <v>17</v>
      </c>
      <c r="B142" t="s">
        <v>27</v>
      </c>
      <c r="C142" t="s">
        <v>1968</v>
      </c>
      <c r="D142">
        <v>1</v>
      </c>
      <c r="E14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DRAGON</v>
      </c>
    </row>
    <row r="143" spans="1:5">
      <c r="A143" t="s">
        <v>17</v>
      </c>
      <c r="B143" t="s">
        <v>170</v>
      </c>
      <c r="C143" t="s">
        <v>1968</v>
      </c>
      <c r="D143">
        <v>1</v>
      </c>
      <c r="E14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Normal contra o elemento DARK</v>
      </c>
    </row>
    <row r="144" spans="1:5">
      <c r="A144" t="s">
        <v>17</v>
      </c>
      <c r="B144" t="s">
        <v>115</v>
      </c>
      <c r="C144" t="s">
        <v>1970</v>
      </c>
      <c r="D144">
        <v>0</v>
      </c>
      <c r="E14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No Effect contra o elemento STEEL</v>
      </c>
    </row>
    <row r="145" spans="1:5">
      <c r="A145" t="s">
        <v>17</v>
      </c>
      <c r="B145" t="s">
        <v>64</v>
      </c>
      <c r="C145" t="s">
        <v>1971</v>
      </c>
      <c r="D145">
        <v>2</v>
      </c>
      <c r="E14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POISON é Very Effective contra o elemento FAIRY</v>
      </c>
    </row>
    <row r="146" spans="1:5">
      <c r="A146" t="s">
        <v>55</v>
      </c>
      <c r="B146" t="s">
        <v>42</v>
      </c>
      <c r="C146" t="s">
        <v>1968</v>
      </c>
      <c r="D146">
        <v>1</v>
      </c>
      <c r="E14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NORMAL</v>
      </c>
    </row>
    <row r="147" spans="1:5">
      <c r="A147" t="s">
        <v>55</v>
      </c>
      <c r="B147" t="s">
        <v>22</v>
      </c>
      <c r="C147" t="s">
        <v>1971</v>
      </c>
      <c r="D147">
        <v>2</v>
      </c>
      <c r="E14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Very Effective contra o elemento FIRE</v>
      </c>
    </row>
    <row r="148" spans="1:5">
      <c r="A148" t="s">
        <v>55</v>
      </c>
      <c r="B148" t="s">
        <v>30</v>
      </c>
      <c r="C148" t="s">
        <v>1968</v>
      </c>
      <c r="D148">
        <v>1</v>
      </c>
      <c r="E14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WATER</v>
      </c>
    </row>
    <row r="149" spans="1:5">
      <c r="A149" t="s">
        <v>55</v>
      </c>
      <c r="B149" t="s">
        <v>52</v>
      </c>
      <c r="C149" t="s">
        <v>1971</v>
      </c>
      <c r="D149">
        <v>2</v>
      </c>
      <c r="E14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Very Effective contra o elemento ELECTRIC</v>
      </c>
    </row>
    <row r="150" spans="1:5">
      <c r="A150" t="s">
        <v>55</v>
      </c>
      <c r="B150" t="s">
        <v>16</v>
      </c>
      <c r="C150" t="s">
        <v>1969</v>
      </c>
      <c r="D150">
        <v>0.5</v>
      </c>
      <c r="E15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Not Very Effective contra o elemento GRASS</v>
      </c>
    </row>
    <row r="151" spans="1:5">
      <c r="A151" t="s">
        <v>55</v>
      </c>
      <c r="B151" t="s">
        <v>122</v>
      </c>
      <c r="C151" t="s">
        <v>1968</v>
      </c>
      <c r="D151">
        <v>1</v>
      </c>
      <c r="E15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ICE</v>
      </c>
    </row>
    <row r="152" spans="1:5">
      <c r="A152" t="s">
        <v>55</v>
      </c>
      <c r="B152" t="s">
        <v>86</v>
      </c>
      <c r="C152" t="s">
        <v>1968</v>
      </c>
      <c r="D152">
        <v>1</v>
      </c>
      <c r="E15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FIGHTING</v>
      </c>
    </row>
    <row r="153" spans="1:5">
      <c r="A153" t="s">
        <v>55</v>
      </c>
      <c r="B153" t="s">
        <v>17</v>
      </c>
      <c r="C153" t="s">
        <v>1971</v>
      </c>
      <c r="D153">
        <v>2</v>
      </c>
      <c r="E15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Very Effective contra o elemento POISON</v>
      </c>
    </row>
    <row r="154" spans="1:5">
      <c r="A154" t="s">
        <v>55</v>
      </c>
      <c r="B154" t="s">
        <v>55</v>
      </c>
      <c r="C154" t="s">
        <v>1968</v>
      </c>
      <c r="D154">
        <v>1</v>
      </c>
      <c r="E15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GROUND</v>
      </c>
    </row>
    <row r="155" spans="1:5">
      <c r="A155" t="s">
        <v>55</v>
      </c>
      <c r="B155" t="s">
        <v>25</v>
      </c>
      <c r="C155" t="s">
        <v>1970</v>
      </c>
      <c r="D155">
        <v>0</v>
      </c>
      <c r="E15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 Effect contra o elemento FLYING</v>
      </c>
    </row>
    <row r="156" spans="1:5">
      <c r="A156" t="s">
        <v>55</v>
      </c>
      <c r="B156" t="s">
        <v>94</v>
      </c>
      <c r="C156" t="s">
        <v>1968</v>
      </c>
      <c r="D156">
        <v>1</v>
      </c>
      <c r="E15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PSYCHIC</v>
      </c>
    </row>
    <row r="157" spans="1:5">
      <c r="A157" t="s">
        <v>55</v>
      </c>
      <c r="B157" t="s">
        <v>35</v>
      </c>
      <c r="C157" t="s">
        <v>1969</v>
      </c>
      <c r="D157">
        <v>0.5</v>
      </c>
      <c r="E15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Not Very Effective contra o elemento BUG</v>
      </c>
    </row>
    <row r="158" spans="1:5">
      <c r="A158" t="s">
        <v>55</v>
      </c>
      <c r="B158" t="s">
        <v>107</v>
      </c>
      <c r="C158" t="s">
        <v>1971</v>
      </c>
      <c r="D158">
        <v>2</v>
      </c>
      <c r="E15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Very Effective contra o elemento ROCK</v>
      </c>
    </row>
    <row r="159" spans="1:5">
      <c r="A159" t="s">
        <v>55</v>
      </c>
      <c r="B159" t="s">
        <v>128</v>
      </c>
      <c r="C159" t="s">
        <v>1968</v>
      </c>
      <c r="D159">
        <v>1</v>
      </c>
      <c r="E15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GHOST</v>
      </c>
    </row>
    <row r="160" spans="1:5">
      <c r="A160" t="s">
        <v>55</v>
      </c>
      <c r="B160" t="s">
        <v>27</v>
      </c>
      <c r="C160" t="s">
        <v>1968</v>
      </c>
      <c r="D160">
        <v>1</v>
      </c>
      <c r="E16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DRAGON</v>
      </c>
    </row>
    <row r="161" spans="1:5">
      <c r="A161" t="s">
        <v>55</v>
      </c>
      <c r="B161" t="s">
        <v>170</v>
      </c>
      <c r="C161" t="s">
        <v>1968</v>
      </c>
      <c r="D161">
        <v>1</v>
      </c>
      <c r="E16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DARK</v>
      </c>
    </row>
    <row r="162" spans="1:5">
      <c r="A162" t="s">
        <v>55</v>
      </c>
      <c r="B162" t="s">
        <v>115</v>
      </c>
      <c r="C162" t="s">
        <v>1971</v>
      </c>
      <c r="D162">
        <v>2</v>
      </c>
      <c r="E16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Very Effective contra o elemento STEEL</v>
      </c>
    </row>
    <row r="163" spans="1:5">
      <c r="A163" t="s">
        <v>55</v>
      </c>
      <c r="B163" t="s">
        <v>64</v>
      </c>
      <c r="C163" t="s">
        <v>1968</v>
      </c>
      <c r="D163">
        <v>1</v>
      </c>
      <c r="E16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GROUND é Normal contra o elemento FAIRY</v>
      </c>
    </row>
    <row r="164" spans="1:5">
      <c r="A164" t="s">
        <v>25</v>
      </c>
      <c r="B164" t="s">
        <v>42</v>
      </c>
      <c r="C164" t="s">
        <v>1968</v>
      </c>
      <c r="D164">
        <v>1</v>
      </c>
      <c r="E16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NORMAL</v>
      </c>
    </row>
    <row r="165" spans="1:5">
      <c r="A165" t="s">
        <v>25</v>
      </c>
      <c r="B165" t="s">
        <v>22</v>
      </c>
      <c r="C165" t="s">
        <v>1968</v>
      </c>
      <c r="D165">
        <v>1</v>
      </c>
      <c r="E16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FIRE</v>
      </c>
    </row>
    <row r="166" spans="1:5">
      <c r="A166" t="s">
        <v>25</v>
      </c>
      <c r="B166" t="s">
        <v>30</v>
      </c>
      <c r="C166" t="s">
        <v>1968</v>
      </c>
      <c r="D166">
        <v>1</v>
      </c>
      <c r="E16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WATER</v>
      </c>
    </row>
    <row r="167" spans="1:5">
      <c r="A167" t="s">
        <v>25</v>
      </c>
      <c r="B167" t="s">
        <v>52</v>
      </c>
      <c r="C167" t="s">
        <v>1969</v>
      </c>
      <c r="D167">
        <v>0.5</v>
      </c>
      <c r="E16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Not Very Effective contra o elemento ELECTRIC</v>
      </c>
    </row>
    <row r="168" spans="1:5">
      <c r="A168" t="s">
        <v>25</v>
      </c>
      <c r="B168" t="s">
        <v>16</v>
      </c>
      <c r="C168" t="s">
        <v>1971</v>
      </c>
      <c r="D168">
        <v>2</v>
      </c>
      <c r="E16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Very Effective contra o elemento GRASS</v>
      </c>
    </row>
    <row r="169" spans="1:5">
      <c r="A169" t="s">
        <v>25</v>
      </c>
      <c r="B169" t="s">
        <v>122</v>
      </c>
      <c r="C169" t="s">
        <v>1968</v>
      </c>
      <c r="D169">
        <v>1</v>
      </c>
      <c r="E16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ICE</v>
      </c>
    </row>
    <row r="170" spans="1:5">
      <c r="A170" t="s">
        <v>25</v>
      </c>
      <c r="B170" t="s">
        <v>86</v>
      </c>
      <c r="C170" t="s">
        <v>1971</v>
      </c>
      <c r="D170">
        <v>2</v>
      </c>
      <c r="E17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Very Effective contra o elemento FIGHTING</v>
      </c>
    </row>
    <row r="171" spans="1:5">
      <c r="A171" t="s">
        <v>25</v>
      </c>
      <c r="B171" t="s">
        <v>17</v>
      </c>
      <c r="C171" t="s">
        <v>1968</v>
      </c>
      <c r="D171">
        <v>1</v>
      </c>
      <c r="E17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POISON</v>
      </c>
    </row>
    <row r="172" spans="1:5">
      <c r="A172" t="s">
        <v>25</v>
      </c>
      <c r="B172" t="s">
        <v>55</v>
      </c>
      <c r="C172" t="s">
        <v>1968</v>
      </c>
      <c r="D172">
        <v>1</v>
      </c>
      <c r="E17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GROUND</v>
      </c>
    </row>
    <row r="173" spans="1:5">
      <c r="A173" t="s">
        <v>25</v>
      </c>
      <c r="B173" t="s">
        <v>25</v>
      </c>
      <c r="C173" t="s">
        <v>1968</v>
      </c>
      <c r="D173">
        <v>1</v>
      </c>
      <c r="E17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FLYING</v>
      </c>
    </row>
    <row r="174" spans="1:5">
      <c r="A174" t="s">
        <v>25</v>
      </c>
      <c r="B174" t="s">
        <v>94</v>
      </c>
      <c r="C174" t="s">
        <v>1968</v>
      </c>
      <c r="D174">
        <v>1</v>
      </c>
      <c r="E17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PSYCHIC</v>
      </c>
    </row>
    <row r="175" spans="1:5">
      <c r="A175" t="s">
        <v>25</v>
      </c>
      <c r="B175" t="s">
        <v>35</v>
      </c>
      <c r="C175" t="s">
        <v>1971</v>
      </c>
      <c r="D175">
        <v>2</v>
      </c>
      <c r="E17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Very Effective contra o elemento BUG</v>
      </c>
    </row>
    <row r="176" spans="1:5">
      <c r="A176" t="s">
        <v>25</v>
      </c>
      <c r="B176" t="s">
        <v>107</v>
      </c>
      <c r="C176" t="s">
        <v>1969</v>
      </c>
      <c r="D176">
        <v>0.5</v>
      </c>
      <c r="E17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Not Very Effective contra o elemento ROCK</v>
      </c>
    </row>
    <row r="177" spans="1:5">
      <c r="A177" t="s">
        <v>25</v>
      </c>
      <c r="B177" t="s">
        <v>128</v>
      </c>
      <c r="C177" t="s">
        <v>1968</v>
      </c>
      <c r="D177">
        <v>1</v>
      </c>
      <c r="E17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GHOST</v>
      </c>
    </row>
    <row r="178" spans="1:5">
      <c r="A178" t="s">
        <v>25</v>
      </c>
      <c r="B178" t="s">
        <v>27</v>
      </c>
      <c r="C178" t="s">
        <v>1968</v>
      </c>
      <c r="D178">
        <v>1</v>
      </c>
      <c r="E17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DRAGON</v>
      </c>
    </row>
    <row r="179" spans="1:5">
      <c r="A179" t="s">
        <v>25</v>
      </c>
      <c r="B179" t="s">
        <v>170</v>
      </c>
      <c r="C179" t="s">
        <v>1968</v>
      </c>
      <c r="D179">
        <v>1</v>
      </c>
      <c r="E17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DARK</v>
      </c>
    </row>
    <row r="180" spans="1:5">
      <c r="A180" t="s">
        <v>25</v>
      </c>
      <c r="B180" t="s">
        <v>115</v>
      </c>
      <c r="C180" t="s">
        <v>1969</v>
      </c>
      <c r="D180">
        <v>0.5</v>
      </c>
      <c r="E18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Not Very Effective contra o elemento STEEL</v>
      </c>
    </row>
    <row r="181" spans="1:5">
      <c r="A181" t="s">
        <v>25</v>
      </c>
      <c r="B181" t="s">
        <v>64</v>
      </c>
      <c r="C181" t="s">
        <v>1968</v>
      </c>
      <c r="D181">
        <v>1</v>
      </c>
      <c r="E18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FLYING é Normal contra o elemento FAIRY</v>
      </c>
    </row>
    <row r="182" spans="1:5">
      <c r="A182" t="s">
        <v>94</v>
      </c>
      <c r="B182" t="s">
        <v>42</v>
      </c>
      <c r="C182" t="s">
        <v>1968</v>
      </c>
      <c r="D182">
        <v>1</v>
      </c>
      <c r="E18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NORMAL</v>
      </c>
    </row>
    <row r="183" spans="1:5">
      <c r="A183" t="s">
        <v>94</v>
      </c>
      <c r="B183" t="s">
        <v>22</v>
      </c>
      <c r="C183" t="s">
        <v>1968</v>
      </c>
      <c r="D183">
        <v>1</v>
      </c>
      <c r="E18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FIRE</v>
      </c>
    </row>
    <row r="184" spans="1:5">
      <c r="A184" t="s">
        <v>94</v>
      </c>
      <c r="B184" t="s">
        <v>30</v>
      </c>
      <c r="C184" t="s">
        <v>1968</v>
      </c>
      <c r="D184">
        <v>1</v>
      </c>
      <c r="E18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WATER</v>
      </c>
    </row>
    <row r="185" spans="1:5">
      <c r="A185" t="s">
        <v>94</v>
      </c>
      <c r="B185" t="s">
        <v>52</v>
      </c>
      <c r="C185" t="s">
        <v>1968</v>
      </c>
      <c r="D185">
        <v>1</v>
      </c>
      <c r="E18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ELECTRIC</v>
      </c>
    </row>
    <row r="186" spans="1:5">
      <c r="A186" t="s">
        <v>94</v>
      </c>
      <c r="B186" t="s">
        <v>16</v>
      </c>
      <c r="C186" t="s">
        <v>1968</v>
      </c>
      <c r="D186">
        <v>1</v>
      </c>
      <c r="E18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GRASS</v>
      </c>
    </row>
    <row r="187" spans="1:5">
      <c r="A187" t="s">
        <v>94</v>
      </c>
      <c r="B187" t="s">
        <v>122</v>
      </c>
      <c r="C187" t="s">
        <v>1968</v>
      </c>
      <c r="D187">
        <v>1</v>
      </c>
      <c r="E18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ICE</v>
      </c>
    </row>
    <row r="188" spans="1:5">
      <c r="A188" t="s">
        <v>94</v>
      </c>
      <c r="B188" t="s">
        <v>86</v>
      </c>
      <c r="C188" t="s">
        <v>1971</v>
      </c>
      <c r="D188">
        <v>2</v>
      </c>
      <c r="E18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Very Effective contra o elemento FIGHTING</v>
      </c>
    </row>
    <row r="189" spans="1:5">
      <c r="A189" t="s">
        <v>94</v>
      </c>
      <c r="B189" t="s">
        <v>17</v>
      </c>
      <c r="C189" t="s">
        <v>1971</v>
      </c>
      <c r="D189">
        <v>2</v>
      </c>
      <c r="E18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Very Effective contra o elemento POISON</v>
      </c>
    </row>
    <row r="190" spans="1:5">
      <c r="A190" t="s">
        <v>94</v>
      </c>
      <c r="B190" t="s">
        <v>55</v>
      </c>
      <c r="C190" t="s">
        <v>1968</v>
      </c>
      <c r="D190">
        <v>1</v>
      </c>
      <c r="E19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GROUND</v>
      </c>
    </row>
    <row r="191" spans="1:5">
      <c r="A191" t="s">
        <v>94</v>
      </c>
      <c r="B191" t="s">
        <v>25</v>
      </c>
      <c r="C191" t="s">
        <v>1968</v>
      </c>
      <c r="D191">
        <v>1</v>
      </c>
      <c r="E19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FLYING</v>
      </c>
    </row>
    <row r="192" spans="1:5">
      <c r="A192" t="s">
        <v>94</v>
      </c>
      <c r="B192" t="s">
        <v>94</v>
      </c>
      <c r="C192" t="s">
        <v>1969</v>
      </c>
      <c r="D192">
        <v>0.5</v>
      </c>
      <c r="E19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Not Very Effective contra o elemento PSYCHIC</v>
      </c>
    </row>
    <row r="193" spans="1:5">
      <c r="A193" t="s">
        <v>94</v>
      </c>
      <c r="B193" t="s">
        <v>35</v>
      </c>
      <c r="C193" t="s">
        <v>1968</v>
      </c>
      <c r="D193">
        <v>1</v>
      </c>
      <c r="E19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BUG</v>
      </c>
    </row>
    <row r="194" spans="1:5">
      <c r="A194" t="s">
        <v>94</v>
      </c>
      <c r="B194" t="s">
        <v>107</v>
      </c>
      <c r="C194" t="s">
        <v>1968</v>
      </c>
      <c r="D194">
        <v>1</v>
      </c>
      <c r="E19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ROCK</v>
      </c>
    </row>
    <row r="195" spans="1:5">
      <c r="A195" t="s">
        <v>94</v>
      </c>
      <c r="B195" t="s">
        <v>128</v>
      </c>
      <c r="C195" t="s">
        <v>1968</v>
      </c>
      <c r="D195">
        <v>1</v>
      </c>
      <c r="E19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GHOST</v>
      </c>
    </row>
    <row r="196" spans="1:5">
      <c r="A196" t="s">
        <v>94</v>
      </c>
      <c r="B196" t="s">
        <v>27</v>
      </c>
      <c r="C196" t="s">
        <v>1968</v>
      </c>
      <c r="D196">
        <v>1</v>
      </c>
      <c r="E19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DRAGON</v>
      </c>
    </row>
    <row r="197" spans="1:5">
      <c r="A197" t="s">
        <v>94</v>
      </c>
      <c r="B197" t="s">
        <v>170</v>
      </c>
      <c r="C197" t="s">
        <v>1970</v>
      </c>
      <c r="D197">
        <v>0</v>
      </c>
      <c r="E19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 Effect contra o elemento DARK</v>
      </c>
    </row>
    <row r="198" spans="1:5">
      <c r="A198" t="s">
        <v>94</v>
      </c>
      <c r="B198" t="s">
        <v>115</v>
      </c>
      <c r="C198" t="s">
        <v>1969</v>
      </c>
      <c r="D198">
        <v>0.5</v>
      </c>
      <c r="E19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Not Very Effective contra o elemento STEEL</v>
      </c>
    </row>
    <row r="199" spans="1:5">
      <c r="A199" t="s">
        <v>94</v>
      </c>
      <c r="B199" t="s">
        <v>64</v>
      </c>
      <c r="C199" t="s">
        <v>1968</v>
      </c>
      <c r="D199">
        <v>1</v>
      </c>
      <c r="E19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PSYCHIC é Normal contra o elemento FAIRY</v>
      </c>
    </row>
    <row r="200" spans="1:5">
      <c r="A200" t="s">
        <v>35</v>
      </c>
      <c r="B200" t="s">
        <v>42</v>
      </c>
      <c r="C200" t="s">
        <v>1968</v>
      </c>
      <c r="D200">
        <v>1</v>
      </c>
      <c r="E20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NORMAL</v>
      </c>
    </row>
    <row r="201" spans="1:5">
      <c r="A201" t="s">
        <v>35</v>
      </c>
      <c r="B201" t="s">
        <v>22</v>
      </c>
      <c r="C201" t="s">
        <v>1969</v>
      </c>
      <c r="D201">
        <v>0.5</v>
      </c>
      <c r="E20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FIRE</v>
      </c>
    </row>
    <row r="202" spans="1:5">
      <c r="A202" t="s">
        <v>35</v>
      </c>
      <c r="B202" t="s">
        <v>30</v>
      </c>
      <c r="C202" t="s">
        <v>1968</v>
      </c>
      <c r="D202">
        <v>1</v>
      </c>
      <c r="E20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WATER</v>
      </c>
    </row>
    <row r="203" spans="1:5">
      <c r="A203" t="s">
        <v>35</v>
      </c>
      <c r="B203" t="s">
        <v>52</v>
      </c>
      <c r="C203" t="s">
        <v>1968</v>
      </c>
      <c r="D203">
        <v>1</v>
      </c>
      <c r="E20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ELECTRIC</v>
      </c>
    </row>
    <row r="204" spans="1:5">
      <c r="A204" t="s">
        <v>35</v>
      </c>
      <c r="B204" t="s">
        <v>16</v>
      </c>
      <c r="C204" t="s">
        <v>1971</v>
      </c>
      <c r="D204">
        <v>2</v>
      </c>
      <c r="E20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Very Effective contra o elemento GRASS</v>
      </c>
    </row>
    <row r="205" spans="1:5">
      <c r="A205" t="s">
        <v>35</v>
      </c>
      <c r="B205" t="s">
        <v>122</v>
      </c>
      <c r="C205" t="s">
        <v>1968</v>
      </c>
      <c r="D205">
        <v>1</v>
      </c>
      <c r="E20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ICE</v>
      </c>
    </row>
    <row r="206" spans="1:5">
      <c r="A206" t="s">
        <v>35</v>
      </c>
      <c r="B206" t="s">
        <v>86</v>
      </c>
      <c r="C206" t="s">
        <v>1969</v>
      </c>
      <c r="D206">
        <v>0.5</v>
      </c>
      <c r="E20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FIGHTING</v>
      </c>
    </row>
    <row r="207" spans="1:5">
      <c r="A207" t="s">
        <v>35</v>
      </c>
      <c r="B207" t="s">
        <v>17</v>
      </c>
      <c r="C207" t="s">
        <v>1969</v>
      </c>
      <c r="D207">
        <v>0.5</v>
      </c>
      <c r="E20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POISON</v>
      </c>
    </row>
    <row r="208" spans="1:5">
      <c r="A208" t="s">
        <v>35</v>
      </c>
      <c r="B208" t="s">
        <v>55</v>
      </c>
      <c r="C208" t="s">
        <v>1968</v>
      </c>
      <c r="D208">
        <v>1</v>
      </c>
      <c r="E20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GROUND</v>
      </c>
    </row>
    <row r="209" spans="1:5">
      <c r="A209" t="s">
        <v>35</v>
      </c>
      <c r="B209" t="s">
        <v>25</v>
      </c>
      <c r="C209" t="s">
        <v>1969</v>
      </c>
      <c r="D209">
        <v>0.5</v>
      </c>
      <c r="E20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FLYING</v>
      </c>
    </row>
    <row r="210" spans="1:5">
      <c r="A210" t="s">
        <v>35</v>
      </c>
      <c r="B210" t="s">
        <v>94</v>
      </c>
      <c r="C210" t="s">
        <v>1971</v>
      </c>
      <c r="D210">
        <v>2</v>
      </c>
      <c r="E21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Very Effective contra o elemento PSYCHIC</v>
      </c>
    </row>
    <row r="211" spans="1:5">
      <c r="A211" t="s">
        <v>35</v>
      </c>
      <c r="B211" t="s">
        <v>35</v>
      </c>
      <c r="C211" t="s">
        <v>1968</v>
      </c>
      <c r="D211">
        <v>1</v>
      </c>
      <c r="E21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BUG</v>
      </c>
    </row>
    <row r="212" spans="1:5">
      <c r="A212" t="s">
        <v>35</v>
      </c>
      <c r="B212" t="s">
        <v>107</v>
      </c>
      <c r="C212" t="s">
        <v>1968</v>
      </c>
      <c r="D212">
        <v>1</v>
      </c>
      <c r="E21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ROCK</v>
      </c>
    </row>
    <row r="213" spans="1:5">
      <c r="A213" t="s">
        <v>35</v>
      </c>
      <c r="B213" t="s">
        <v>128</v>
      </c>
      <c r="C213" t="s">
        <v>1969</v>
      </c>
      <c r="D213">
        <v>0.5</v>
      </c>
      <c r="E21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GHOST</v>
      </c>
    </row>
    <row r="214" spans="1:5">
      <c r="A214" t="s">
        <v>35</v>
      </c>
      <c r="B214" t="s">
        <v>27</v>
      </c>
      <c r="C214" t="s">
        <v>1968</v>
      </c>
      <c r="D214">
        <v>1</v>
      </c>
      <c r="E21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Normal contra o elemento DRAGON</v>
      </c>
    </row>
    <row r="215" spans="1:5">
      <c r="A215" t="s">
        <v>35</v>
      </c>
      <c r="B215" t="s">
        <v>170</v>
      </c>
      <c r="C215" t="s">
        <v>1971</v>
      </c>
      <c r="D215">
        <v>2</v>
      </c>
      <c r="E21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Very Effective contra o elemento DARK</v>
      </c>
    </row>
    <row r="216" spans="1:5">
      <c r="A216" t="s">
        <v>35</v>
      </c>
      <c r="B216" t="s">
        <v>115</v>
      </c>
      <c r="C216" t="s">
        <v>1969</v>
      </c>
      <c r="D216">
        <v>0.5</v>
      </c>
      <c r="E21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STEEL</v>
      </c>
    </row>
    <row r="217" spans="1:5">
      <c r="A217" t="s">
        <v>35</v>
      </c>
      <c r="B217" t="s">
        <v>64</v>
      </c>
      <c r="C217" t="s">
        <v>1969</v>
      </c>
      <c r="D217">
        <v>0.5</v>
      </c>
      <c r="E21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BUG é Not Very Effective contra o elemento FAIRY</v>
      </c>
    </row>
    <row r="218" spans="1:5">
      <c r="A218" t="s">
        <v>107</v>
      </c>
      <c r="B218" t="s">
        <v>42</v>
      </c>
      <c r="C218" t="s">
        <v>1968</v>
      </c>
      <c r="D218">
        <v>1</v>
      </c>
      <c r="E21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NORMAL</v>
      </c>
    </row>
    <row r="219" spans="1:5">
      <c r="A219" t="s">
        <v>107</v>
      </c>
      <c r="B219" t="s">
        <v>22</v>
      </c>
      <c r="C219" t="s">
        <v>1971</v>
      </c>
      <c r="D219">
        <v>2</v>
      </c>
      <c r="E21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Very Effective contra o elemento FIRE</v>
      </c>
    </row>
    <row r="220" spans="1:5">
      <c r="A220" t="s">
        <v>107</v>
      </c>
      <c r="B220" t="s">
        <v>30</v>
      </c>
      <c r="C220" t="s">
        <v>1968</v>
      </c>
      <c r="D220">
        <v>1</v>
      </c>
      <c r="E22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WATER</v>
      </c>
    </row>
    <row r="221" spans="1:5">
      <c r="A221" t="s">
        <v>107</v>
      </c>
      <c r="B221" t="s">
        <v>52</v>
      </c>
      <c r="C221" t="s">
        <v>1968</v>
      </c>
      <c r="D221">
        <v>1</v>
      </c>
      <c r="E22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ELECTRIC</v>
      </c>
    </row>
    <row r="222" spans="1:5">
      <c r="A222" t="s">
        <v>107</v>
      </c>
      <c r="B222" t="s">
        <v>16</v>
      </c>
      <c r="C222" t="s">
        <v>1968</v>
      </c>
      <c r="D222">
        <v>1</v>
      </c>
      <c r="E22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GRASS</v>
      </c>
    </row>
    <row r="223" spans="1:5">
      <c r="A223" t="s">
        <v>107</v>
      </c>
      <c r="B223" t="s">
        <v>122</v>
      </c>
      <c r="C223" t="s">
        <v>1971</v>
      </c>
      <c r="D223">
        <v>2</v>
      </c>
      <c r="E22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Very Effective contra o elemento ICE</v>
      </c>
    </row>
    <row r="224" spans="1:5">
      <c r="A224" t="s">
        <v>107</v>
      </c>
      <c r="B224" t="s">
        <v>86</v>
      </c>
      <c r="C224" t="s">
        <v>1969</v>
      </c>
      <c r="D224">
        <v>0.5</v>
      </c>
      <c r="E22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Not Very Effective contra o elemento FIGHTING</v>
      </c>
    </row>
    <row r="225" spans="1:5">
      <c r="A225" t="s">
        <v>107</v>
      </c>
      <c r="B225" t="s">
        <v>17</v>
      </c>
      <c r="C225" t="s">
        <v>1968</v>
      </c>
      <c r="D225">
        <v>1</v>
      </c>
      <c r="E22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POISON</v>
      </c>
    </row>
    <row r="226" spans="1:5">
      <c r="A226" t="s">
        <v>107</v>
      </c>
      <c r="B226" t="s">
        <v>55</v>
      </c>
      <c r="C226" t="s">
        <v>1969</v>
      </c>
      <c r="D226">
        <v>0.5</v>
      </c>
      <c r="E22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Not Very Effective contra o elemento GROUND</v>
      </c>
    </row>
    <row r="227" spans="1:5">
      <c r="A227" t="s">
        <v>107</v>
      </c>
      <c r="B227" t="s">
        <v>25</v>
      </c>
      <c r="C227" t="s">
        <v>1971</v>
      </c>
      <c r="D227">
        <v>2</v>
      </c>
      <c r="E22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Very Effective contra o elemento FLYING</v>
      </c>
    </row>
    <row r="228" spans="1:5">
      <c r="A228" t="s">
        <v>107</v>
      </c>
      <c r="B228" t="s">
        <v>94</v>
      </c>
      <c r="C228" t="s">
        <v>1968</v>
      </c>
      <c r="D228">
        <v>1</v>
      </c>
      <c r="E22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PSYCHIC</v>
      </c>
    </row>
    <row r="229" spans="1:5">
      <c r="A229" t="s">
        <v>107</v>
      </c>
      <c r="B229" t="s">
        <v>35</v>
      </c>
      <c r="C229" t="s">
        <v>1971</v>
      </c>
      <c r="D229">
        <v>2</v>
      </c>
      <c r="E22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Very Effective contra o elemento BUG</v>
      </c>
    </row>
    <row r="230" spans="1:5">
      <c r="A230" t="s">
        <v>107</v>
      </c>
      <c r="B230" t="s">
        <v>107</v>
      </c>
      <c r="C230" t="s">
        <v>1968</v>
      </c>
      <c r="D230">
        <v>1</v>
      </c>
      <c r="E23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ROCK</v>
      </c>
    </row>
    <row r="231" spans="1:5">
      <c r="A231" t="s">
        <v>107</v>
      </c>
      <c r="B231" t="s">
        <v>128</v>
      </c>
      <c r="C231" t="s">
        <v>1968</v>
      </c>
      <c r="D231">
        <v>1</v>
      </c>
      <c r="E23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GHOST</v>
      </c>
    </row>
    <row r="232" spans="1:5">
      <c r="A232" t="s">
        <v>107</v>
      </c>
      <c r="B232" t="s">
        <v>27</v>
      </c>
      <c r="C232" t="s">
        <v>1968</v>
      </c>
      <c r="D232">
        <v>1</v>
      </c>
      <c r="E23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DRAGON</v>
      </c>
    </row>
    <row r="233" spans="1:5">
      <c r="A233" t="s">
        <v>107</v>
      </c>
      <c r="B233" t="s">
        <v>170</v>
      </c>
      <c r="C233" t="s">
        <v>1968</v>
      </c>
      <c r="D233">
        <v>1</v>
      </c>
      <c r="E23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DARK</v>
      </c>
    </row>
    <row r="234" spans="1:5">
      <c r="A234" t="s">
        <v>107</v>
      </c>
      <c r="B234" t="s">
        <v>115</v>
      </c>
      <c r="C234" t="s">
        <v>1969</v>
      </c>
      <c r="D234">
        <v>0.5</v>
      </c>
      <c r="E23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Not Very Effective contra o elemento STEEL</v>
      </c>
    </row>
    <row r="235" spans="1:5">
      <c r="A235" t="s">
        <v>107</v>
      </c>
      <c r="B235" t="s">
        <v>64</v>
      </c>
      <c r="C235" t="s">
        <v>1968</v>
      </c>
      <c r="D235">
        <v>1</v>
      </c>
      <c r="E23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ROCK é Normal contra o elemento FAIRY</v>
      </c>
    </row>
    <row r="236" spans="1:5">
      <c r="A236" t="s">
        <v>128</v>
      </c>
      <c r="B236" t="s">
        <v>42</v>
      </c>
      <c r="C236" t="s">
        <v>1970</v>
      </c>
      <c r="D236">
        <v>0</v>
      </c>
      <c r="E23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 Effect contra o elemento NORMAL</v>
      </c>
    </row>
    <row r="237" spans="1:5">
      <c r="A237" t="s">
        <v>128</v>
      </c>
      <c r="B237" t="s">
        <v>22</v>
      </c>
      <c r="C237" t="s">
        <v>1968</v>
      </c>
      <c r="D237">
        <v>1</v>
      </c>
      <c r="E23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FIRE</v>
      </c>
    </row>
    <row r="238" spans="1:5">
      <c r="A238" t="s">
        <v>128</v>
      </c>
      <c r="B238" t="s">
        <v>30</v>
      </c>
      <c r="C238" t="s">
        <v>1968</v>
      </c>
      <c r="D238">
        <v>1</v>
      </c>
      <c r="E23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WATER</v>
      </c>
    </row>
    <row r="239" spans="1:5">
      <c r="A239" t="s">
        <v>128</v>
      </c>
      <c r="B239" t="s">
        <v>52</v>
      </c>
      <c r="C239" t="s">
        <v>1968</v>
      </c>
      <c r="D239">
        <v>1</v>
      </c>
      <c r="E23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ELECTRIC</v>
      </c>
    </row>
    <row r="240" spans="1:5">
      <c r="A240" t="s">
        <v>128</v>
      </c>
      <c r="B240" t="s">
        <v>16</v>
      </c>
      <c r="C240" t="s">
        <v>1968</v>
      </c>
      <c r="D240">
        <v>1</v>
      </c>
      <c r="E24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GRASS</v>
      </c>
    </row>
    <row r="241" spans="1:5">
      <c r="A241" t="s">
        <v>128</v>
      </c>
      <c r="B241" t="s">
        <v>122</v>
      </c>
      <c r="C241" t="s">
        <v>1968</v>
      </c>
      <c r="D241">
        <v>1</v>
      </c>
      <c r="E24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ICE</v>
      </c>
    </row>
    <row r="242" spans="1:5">
      <c r="A242" t="s">
        <v>128</v>
      </c>
      <c r="B242" t="s">
        <v>86</v>
      </c>
      <c r="C242" t="s">
        <v>1968</v>
      </c>
      <c r="D242">
        <v>1</v>
      </c>
      <c r="E24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FIGHTING</v>
      </c>
    </row>
    <row r="243" spans="1:5">
      <c r="A243" t="s">
        <v>128</v>
      </c>
      <c r="B243" t="s">
        <v>17</v>
      </c>
      <c r="C243" t="s">
        <v>1968</v>
      </c>
      <c r="D243">
        <v>1</v>
      </c>
      <c r="E24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POISON</v>
      </c>
    </row>
    <row r="244" spans="1:5">
      <c r="A244" t="s">
        <v>128</v>
      </c>
      <c r="B244" t="s">
        <v>55</v>
      </c>
      <c r="C244" t="s">
        <v>1968</v>
      </c>
      <c r="D244">
        <v>1</v>
      </c>
      <c r="E24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GROUND</v>
      </c>
    </row>
    <row r="245" spans="1:5">
      <c r="A245" t="s">
        <v>128</v>
      </c>
      <c r="B245" t="s">
        <v>25</v>
      </c>
      <c r="C245" t="s">
        <v>1968</v>
      </c>
      <c r="D245">
        <v>1</v>
      </c>
      <c r="E24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FLYING</v>
      </c>
    </row>
    <row r="246" spans="1:5">
      <c r="A246" t="s">
        <v>128</v>
      </c>
      <c r="B246" t="s">
        <v>94</v>
      </c>
      <c r="C246" t="s">
        <v>1971</v>
      </c>
      <c r="D246">
        <v>2</v>
      </c>
      <c r="E24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Very Effective contra o elemento PSYCHIC</v>
      </c>
    </row>
    <row r="247" spans="1:5">
      <c r="A247" t="s">
        <v>128</v>
      </c>
      <c r="B247" t="s">
        <v>35</v>
      </c>
      <c r="C247" t="s">
        <v>1968</v>
      </c>
      <c r="D247">
        <v>1</v>
      </c>
      <c r="E24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BUG</v>
      </c>
    </row>
    <row r="248" spans="1:5">
      <c r="A248" t="s">
        <v>128</v>
      </c>
      <c r="B248" t="s">
        <v>107</v>
      </c>
      <c r="C248" t="s">
        <v>1968</v>
      </c>
      <c r="D248">
        <v>1</v>
      </c>
      <c r="E24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ROCK</v>
      </c>
    </row>
    <row r="249" spans="1:5">
      <c r="A249" t="s">
        <v>128</v>
      </c>
      <c r="B249" t="s">
        <v>128</v>
      </c>
      <c r="C249" t="s">
        <v>1971</v>
      </c>
      <c r="D249">
        <v>2</v>
      </c>
      <c r="E24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Very Effective contra o elemento GHOST</v>
      </c>
    </row>
    <row r="250" spans="1:5">
      <c r="A250" t="s">
        <v>128</v>
      </c>
      <c r="B250" t="s">
        <v>27</v>
      </c>
      <c r="C250" t="s">
        <v>1968</v>
      </c>
      <c r="D250">
        <v>1</v>
      </c>
      <c r="E25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DRAGON</v>
      </c>
    </row>
    <row r="251" spans="1:5">
      <c r="A251" t="s">
        <v>128</v>
      </c>
      <c r="B251" t="s">
        <v>170</v>
      </c>
      <c r="C251" t="s">
        <v>1969</v>
      </c>
      <c r="D251">
        <v>0.5</v>
      </c>
      <c r="E25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Not Very Effective contra o elemento DARK</v>
      </c>
    </row>
    <row r="252" spans="1:5">
      <c r="A252" t="s">
        <v>128</v>
      </c>
      <c r="B252" t="s">
        <v>115</v>
      </c>
      <c r="C252" t="s">
        <v>1968</v>
      </c>
      <c r="D252">
        <v>1</v>
      </c>
      <c r="E25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STEEL</v>
      </c>
    </row>
    <row r="253" spans="1:5">
      <c r="A253" t="s">
        <v>128</v>
      </c>
      <c r="B253" t="s">
        <v>64</v>
      </c>
      <c r="C253" t="s">
        <v>1968</v>
      </c>
      <c r="D253">
        <v>1</v>
      </c>
      <c r="E25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GHOST é Normal contra o elemento FAIRY</v>
      </c>
    </row>
    <row r="254" spans="1:5">
      <c r="A254" t="s">
        <v>27</v>
      </c>
      <c r="B254" t="s">
        <v>42</v>
      </c>
      <c r="C254" t="s">
        <v>1968</v>
      </c>
      <c r="D254">
        <v>1</v>
      </c>
      <c r="E25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NORMAL</v>
      </c>
    </row>
    <row r="255" spans="1:5">
      <c r="A255" t="s">
        <v>27</v>
      </c>
      <c r="B255" t="s">
        <v>22</v>
      </c>
      <c r="C255" t="s">
        <v>1968</v>
      </c>
      <c r="D255">
        <v>1</v>
      </c>
      <c r="E25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FIRE</v>
      </c>
    </row>
    <row r="256" spans="1:5">
      <c r="A256" t="s">
        <v>27</v>
      </c>
      <c r="B256" t="s">
        <v>30</v>
      </c>
      <c r="C256" t="s">
        <v>1968</v>
      </c>
      <c r="D256">
        <v>1</v>
      </c>
      <c r="E25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WATER</v>
      </c>
    </row>
    <row r="257" spans="1:5">
      <c r="A257" t="s">
        <v>27</v>
      </c>
      <c r="B257" t="s">
        <v>52</v>
      </c>
      <c r="C257" t="s">
        <v>1968</v>
      </c>
      <c r="D257">
        <v>1</v>
      </c>
      <c r="E25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ELECTRIC</v>
      </c>
    </row>
    <row r="258" spans="1:5">
      <c r="A258" t="s">
        <v>27</v>
      </c>
      <c r="B258" t="s">
        <v>16</v>
      </c>
      <c r="C258" t="s">
        <v>1968</v>
      </c>
      <c r="D258">
        <v>1</v>
      </c>
      <c r="E25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GRASS</v>
      </c>
    </row>
    <row r="259" spans="1:5">
      <c r="A259" t="s">
        <v>27</v>
      </c>
      <c r="B259" t="s">
        <v>122</v>
      </c>
      <c r="C259" t="s">
        <v>1968</v>
      </c>
      <c r="D259">
        <v>1</v>
      </c>
      <c r="E25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ICE</v>
      </c>
    </row>
    <row r="260" spans="1:5">
      <c r="A260" t="s">
        <v>27</v>
      </c>
      <c r="B260" t="s">
        <v>86</v>
      </c>
      <c r="C260" t="s">
        <v>1968</v>
      </c>
      <c r="D260">
        <v>1</v>
      </c>
      <c r="E26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FIGHTING</v>
      </c>
    </row>
    <row r="261" spans="1:5">
      <c r="A261" t="s">
        <v>27</v>
      </c>
      <c r="B261" t="s">
        <v>17</v>
      </c>
      <c r="C261" t="s">
        <v>1968</v>
      </c>
      <c r="D261">
        <v>1</v>
      </c>
      <c r="E26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POISON</v>
      </c>
    </row>
    <row r="262" spans="1:5">
      <c r="A262" t="s">
        <v>27</v>
      </c>
      <c r="B262" t="s">
        <v>55</v>
      </c>
      <c r="C262" t="s">
        <v>1968</v>
      </c>
      <c r="D262">
        <v>1</v>
      </c>
      <c r="E26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GROUND</v>
      </c>
    </row>
    <row r="263" spans="1:5">
      <c r="A263" t="s">
        <v>27</v>
      </c>
      <c r="B263" t="s">
        <v>25</v>
      </c>
      <c r="C263" t="s">
        <v>1968</v>
      </c>
      <c r="D263">
        <v>1</v>
      </c>
      <c r="E26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FLYING</v>
      </c>
    </row>
    <row r="264" spans="1:5">
      <c r="A264" t="s">
        <v>27</v>
      </c>
      <c r="B264" t="s">
        <v>94</v>
      </c>
      <c r="C264" t="s">
        <v>1968</v>
      </c>
      <c r="D264">
        <v>1</v>
      </c>
      <c r="E26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PSYCHIC</v>
      </c>
    </row>
    <row r="265" spans="1:5">
      <c r="A265" t="s">
        <v>27</v>
      </c>
      <c r="B265" t="s">
        <v>35</v>
      </c>
      <c r="C265" t="s">
        <v>1968</v>
      </c>
      <c r="D265">
        <v>1</v>
      </c>
      <c r="E26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BUG</v>
      </c>
    </row>
    <row r="266" spans="1:5">
      <c r="A266" t="s">
        <v>27</v>
      </c>
      <c r="B266" t="s">
        <v>107</v>
      </c>
      <c r="C266" t="s">
        <v>1968</v>
      </c>
      <c r="D266">
        <v>1</v>
      </c>
      <c r="E26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ROCK</v>
      </c>
    </row>
    <row r="267" spans="1:5">
      <c r="A267" t="s">
        <v>27</v>
      </c>
      <c r="B267" t="s">
        <v>128</v>
      </c>
      <c r="C267" t="s">
        <v>1968</v>
      </c>
      <c r="D267">
        <v>1</v>
      </c>
      <c r="E26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GHOST</v>
      </c>
    </row>
    <row r="268" spans="1:5">
      <c r="A268" t="s">
        <v>27</v>
      </c>
      <c r="B268" t="s">
        <v>27</v>
      </c>
      <c r="C268" t="s">
        <v>1971</v>
      </c>
      <c r="D268">
        <v>2</v>
      </c>
      <c r="E26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Very Effective contra o elemento DRAGON</v>
      </c>
    </row>
    <row r="269" spans="1:5">
      <c r="A269" t="s">
        <v>27</v>
      </c>
      <c r="B269" t="s">
        <v>170</v>
      </c>
      <c r="C269" t="s">
        <v>1968</v>
      </c>
      <c r="D269">
        <v>1</v>
      </c>
      <c r="E26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Normal contra o elemento DARK</v>
      </c>
    </row>
    <row r="270" spans="1:5">
      <c r="A270" t="s">
        <v>27</v>
      </c>
      <c r="B270" t="s">
        <v>115</v>
      </c>
      <c r="C270" t="s">
        <v>1969</v>
      </c>
      <c r="D270">
        <v>0.5</v>
      </c>
      <c r="E27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Not Very Effective contra o elemento STEEL</v>
      </c>
    </row>
    <row r="271" spans="1:5">
      <c r="A271" t="s">
        <v>27</v>
      </c>
      <c r="B271" t="s">
        <v>64</v>
      </c>
      <c r="C271" t="s">
        <v>1970</v>
      </c>
      <c r="D271">
        <v>0</v>
      </c>
      <c r="E27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DRAGON é No Effect contra o elemento FAIRY</v>
      </c>
    </row>
    <row r="272" spans="1:5">
      <c r="A272" t="s">
        <v>170</v>
      </c>
      <c r="B272" t="s">
        <v>42</v>
      </c>
      <c r="C272" t="s">
        <v>1968</v>
      </c>
      <c r="D272">
        <v>1</v>
      </c>
      <c r="E27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NORMAL</v>
      </c>
    </row>
    <row r="273" spans="1:5">
      <c r="A273" t="s">
        <v>170</v>
      </c>
      <c r="B273" t="s">
        <v>22</v>
      </c>
      <c r="C273" t="s">
        <v>1968</v>
      </c>
      <c r="D273">
        <v>1</v>
      </c>
      <c r="E27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FIRE</v>
      </c>
    </row>
    <row r="274" spans="1:5">
      <c r="A274" t="s">
        <v>170</v>
      </c>
      <c r="B274" t="s">
        <v>30</v>
      </c>
      <c r="C274" t="s">
        <v>1968</v>
      </c>
      <c r="D274">
        <v>1</v>
      </c>
      <c r="E27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WATER</v>
      </c>
    </row>
    <row r="275" spans="1:5">
      <c r="A275" t="s">
        <v>170</v>
      </c>
      <c r="B275" t="s">
        <v>52</v>
      </c>
      <c r="C275" t="s">
        <v>1968</v>
      </c>
      <c r="D275">
        <v>1</v>
      </c>
      <c r="E27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ELECTRIC</v>
      </c>
    </row>
    <row r="276" spans="1:5">
      <c r="A276" t="s">
        <v>170</v>
      </c>
      <c r="B276" t="s">
        <v>16</v>
      </c>
      <c r="C276" t="s">
        <v>1968</v>
      </c>
      <c r="D276">
        <v>1</v>
      </c>
      <c r="E27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GRASS</v>
      </c>
    </row>
    <row r="277" spans="1:5">
      <c r="A277" t="s">
        <v>170</v>
      </c>
      <c r="B277" t="s">
        <v>122</v>
      </c>
      <c r="C277" t="s">
        <v>1968</v>
      </c>
      <c r="D277">
        <v>1</v>
      </c>
      <c r="E27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ICE</v>
      </c>
    </row>
    <row r="278" spans="1:5">
      <c r="A278" t="s">
        <v>170</v>
      </c>
      <c r="B278" t="s">
        <v>86</v>
      </c>
      <c r="C278" t="s">
        <v>1969</v>
      </c>
      <c r="D278">
        <v>0.5</v>
      </c>
      <c r="E27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Not Very Effective contra o elemento FIGHTING</v>
      </c>
    </row>
    <row r="279" spans="1:5">
      <c r="A279" t="s">
        <v>170</v>
      </c>
      <c r="B279" t="s">
        <v>17</v>
      </c>
      <c r="C279" t="s">
        <v>1968</v>
      </c>
      <c r="D279">
        <v>1</v>
      </c>
      <c r="E27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POISON</v>
      </c>
    </row>
    <row r="280" spans="1:5">
      <c r="A280" t="s">
        <v>170</v>
      </c>
      <c r="B280" t="s">
        <v>55</v>
      </c>
      <c r="C280" t="s">
        <v>1968</v>
      </c>
      <c r="D280">
        <v>1</v>
      </c>
      <c r="E28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GROUND</v>
      </c>
    </row>
    <row r="281" spans="1:5">
      <c r="A281" t="s">
        <v>170</v>
      </c>
      <c r="B281" t="s">
        <v>25</v>
      </c>
      <c r="C281" t="s">
        <v>1968</v>
      </c>
      <c r="D281">
        <v>1</v>
      </c>
      <c r="E28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FLYING</v>
      </c>
    </row>
    <row r="282" spans="1:5">
      <c r="A282" t="s">
        <v>170</v>
      </c>
      <c r="B282" t="s">
        <v>94</v>
      </c>
      <c r="C282" t="s">
        <v>1971</v>
      </c>
      <c r="D282">
        <v>2</v>
      </c>
      <c r="E28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Very Effective contra o elemento PSYCHIC</v>
      </c>
    </row>
    <row r="283" spans="1:5">
      <c r="A283" t="s">
        <v>170</v>
      </c>
      <c r="B283" t="s">
        <v>35</v>
      </c>
      <c r="C283" t="s">
        <v>1968</v>
      </c>
      <c r="D283">
        <v>1</v>
      </c>
      <c r="E28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BUG</v>
      </c>
    </row>
    <row r="284" spans="1:5">
      <c r="A284" t="s">
        <v>170</v>
      </c>
      <c r="B284" t="s">
        <v>107</v>
      </c>
      <c r="C284" t="s">
        <v>1968</v>
      </c>
      <c r="D284">
        <v>1</v>
      </c>
      <c r="E28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ROCK</v>
      </c>
    </row>
    <row r="285" spans="1:5">
      <c r="A285" t="s">
        <v>170</v>
      </c>
      <c r="B285" t="s">
        <v>128</v>
      </c>
      <c r="C285" t="s">
        <v>1971</v>
      </c>
      <c r="D285">
        <v>2</v>
      </c>
      <c r="E28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Very Effective contra o elemento GHOST</v>
      </c>
    </row>
    <row r="286" spans="1:5">
      <c r="A286" t="s">
        <v>170</v>
      </c>
      <c r="B286" t="s">
        <v>27</v>
      </c>
      <c r="C286" t="s">
        <v>1968</v>
      </c>
      <c r="D286">
        <v>1</v>
      </c>
      <c r="E28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DRAGON</v>
      </c>
    </row>
    <row r="287" spans="1:5">
      <c r="A287" t="s">
        <v>170</v>
      </c>
      <c r="B287" t="s">
        <v>170</v>
      </c>
      <c r="C287" t="s">
        <v>1969</v>
      </c>
      <c r="D287">
        <v>0.5</v>
      </c>
      <c r="E28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Not Very Effective contra o elemento DARK</v>
      </c>
    </row>
    <row r="288" spans="1:5">
      <c r="A288" t="s">
        <v>170</v>
      </c>
      <c r="B288" t="s">
        <v>115</v>
      </c>
      <c r="C288" t="s">
        <v>1968</v>
      </c>
      <c r="D288">
        <v>1</v>
      </c>
      <c r="E28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Normal contra o elemento STEEL</v>
      </c>
    </row>
    <row r="289" spans="1:5">
      <c r="A289" t="s">
        <v>170</v>
      </c>
      <c r="B289" t="s">
        <v>64</v>
      </c>
      <c r="C289" t="s">
        <v>1969</v>
      </c>
      <c r="D289">
        <v>0.5</v>
      </c>
      <c r="E28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DARK é Not Very Effective contra o elemento FAIRY</v>
      </c>
    </row>
    <row r="290" spans="1:5">
      <c r="A290" t="s">
        <v>115</v>
      </c>
      <c r="B290" t="s">
        <v>42</v>
      </c>
      <c r="C290" t="s">
        <v>1968</v>
      </c>
      <c r="D290">
        <v>1</v>
      </c>
      <c r="E29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NORMAL</v>
      </c>
    </row>
    <row r="291" spans="1:5">
      <c r="A291" t="s">
        <v>115</v>
      </c>
      <c r="B291" t="s">
        <v>22</v>
      </c>
      <c r="C291" t="s">
        <v>1969</v>
      </c>
      <c r="D291">
        <v>0.5</v>
      </c>
      <c r="E29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Not Very Effective contra o elemento FIRE</v>
      </c>
    </row>
    <row r="292" spans="1:5">
      <c r="A292" t="s">
        <v>115</v>
      </c>
      <c r="B292" t="s">
        <v>30</v>
      </c>
      <c r="C292" t="s">
        <v>1969</v>
      </c>
      <c r="D292">
        <v>0.5</v>
      </c>
      <c r="E29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Not Very Effective contra o elemento WATER</v>
      </c>
    </row>
    <row r="293" spans="1:5">
      <c r="A293" t="s">
        <v>115</v>
      </c>
      <c r="B293" t="s">
        <v>52</v>
      </c>
      <c r="C293" t="s">
        <v>1969</v>
      </c>
      <c r="D293">
        <v>0.5</v>
      </c>
      <c r="E29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Not Very Effective contra o elemento ELECTRIC</v>
      </c>
    </row>
    <row r="294" spans="1:5">
      <c r="A294" t="s">
        <v>115</v>
      </c>
      <c r="B294" t="s">
        <v>16</v>
      </c>
      <c r="C294" t="s">
        <v>1968</v>
      </c>
      <c r="D294">
        <v>1</v>
      </c>
      <c r="E29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GRASS</v>
      </c>
    </row>
    <row r="295" spans="1:5">
      <c r="A295" t="s">
        <v>115</v>
      </c>
      <c r="B295" t="s">
        <v>122</v>
      </c>
      <c r="C295" t="s">
        <v>1971</v>
      </c>
      <c r="D295">
        <v>2</v>
      </c>
      <c r="E29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Very Effective contra o elemento ICE</v>
      </c>
    </row>
    <row r="296" spans="1:5">
      <c r="A296" t="s">
        <v>115</v>
      </c>
      <c r="B296" t="s">
        <v>86</v>
      </c>
      <c r="C296" t="s">
        <v>1968</v>
      </c>
      <c r="D296">
        <v>1</v>
      </c>
      <c r="E29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FIGHTING</v>
      </c>
    </row>
    <row r="297" spans="1:5">
      <c r="A297" t="s">
        <v>115</v>
      </c>
      <c r="B297" t="s">
        <v>17</v>
      </c>
      <c r="C297" t="s">
        <v>1968</v>
      </c>
      <c r="D297">
        <v>1</v>
      </c>
      <c r="E29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POISON</v>
      </c>
    </row>
    <row r="298" spans="1:5">
      <c r="A298" t="s">
        <v>115</v>
      </c>
      <c r="B298" t="s">
        <v>55</v>
      </c>
      <c r="C298" t="s">
        <v>1968</v>
      </c>
      <c r="D298">
        <v>1</v>
      </c>
      <c r="E29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GROUND</v>
      </c>
    </row>
    <row r="299" spans="1:5">
      <c r="A299" t="s">
        <v>115</v>
      </c>
      <c r="B299" t="s">
        <v>25</v>
      </c>
      <c r="C299" t="s">
        <v>1968</v>
      </c>
      <c r="D299">
        <v>1</v>
      </c>
      <c r="E29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FLYING</v>
      </c>
    </row>
    <row r="300" spans="1:5">
      <c r="A300" t="s">
        <v>115</v>
      </c>
      <c r="B300" t="s">
        <v>94</v>
      </c>
      <c r="C300" t="s">
        <v>1968</v>
      </c>
      <c r="D300">
        <v>1</v>
      </c>
      <c r="E30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PSYCHIC</v>
      </c>
    </row>
    <row r="301" spans="1:5">
      <c r="A301" t="s">
        <v>115</v>
      </c>
      <c r="B301" t="s">
        <v>35</v>
      </c>
      <c r="C301" t="s">
        <v>1968</v>
      </c>
      <c r="D301">
        <v>1</v>
      </c>
      <c r="E30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BUG</v>
      </c>
    </row>
    <row r="302" spans="1:5">
      <c r="A302" t="s">
        <v>115</v>
      </c>
      <c r="B302" t="s">
        <v>107</v>
      </c>
      <c r="C302" t="s">
        <v>1971</v>
      </c>
      <c r="D302">
        <v>2</v>
      </c>
      <c r="E30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Very Effective contra o elemento ROCK</v>
      </c>
    </row>
    <row r="303" spans="1:5">
      <c r="A303" t="s">
        <v>115</v>
      </c>
      <c r="B303" t="s">
        <v>128</v>
      </c>
      <c r="C303" t="s">
        <v>1968</v>
      </c>
      <c r="D303">
        <v>1</v>
      </c>
      <c r="E30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GHOST</v>
      </c>
    </row>
    <row r="304" spans="1:5">
      <c r="A304" t="s">
        <v>115</v>
      </c>
      <c r="B304" t="s">
        <v>27</v>
      </c>
      <c r="C304" t="s">
        <v>1968</v>
      </c>
      <c r="D304">
        <v>1</v>
      </c>
      <c r="E30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DRAGON</v>
      </c>
    </row>
    <row r="305" spans="1:5">
      <c r="A305" t="s">
        <v>115</v>
      </c>
      <c r="B305" t="s">
        <v>170</v>
      </c>
      <c r="C305" t="s">
        <v>1968</v>
      </c>
      <c r="D305">
        <v>1</v>
      </c>
      <c r="E30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Normal contra o elemento DARK</v>
      </c>
    </row>
    <row r="306" spans="1:5">
      <c r="A306" t="s">
        <v>115</v>
      </c>
      <c r="B306" t="s">
        <v>115</v>
      </c>
      <c r="C306" t="s">
        <v>1969</v>
      </c>
      <c r="D306">
        <v>0.5</v>
      </c>
      <c r="E30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Not Very Effective contra o elemento STEEL</v>
      </c>
    </row>
    <row r="307" spans="1:5">
      <c r="A307" t="s">
        <v>115</v>
      </c>
      <c r="B307" t="s">
        <v>64</v>
      </c>
      <c r="C307" t="s">
        <v>1971</v>
      </c>
      <c r="D307">
        <v>2</v>
      </c>
      <c r="E30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STEEL é Very Effective contra o elemento FAIRY</v>
      </c>
    </row>
    <row r="308" spans="1:5">
      <c r="A308" t="s">
        <v>64</v>
      </c>
      <c r="B308" t="s">
        <v>42</v>
      </c>
      <c r="C308" t="s">
        <v>1968</v>
      </c>
      <c r="D308">
        <v>1</v>
      </c>
      <c r="E30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NORMAL</v>
      </c>
    </row>
    <row r="309" spans="1:5">
      <c r="A309" t="s">
        <v>64</v>
      </c>
      <c r="B309" t="s">
        <v>22</v>
      </c>
      <c r="C309" t="s">
        <v>1969</v>
      </c>
      <c r="D309">
        <v>0.5</v>
      </c>
      <c r="E30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Not Very Effective contra o elemento FIRE</v>
      </c>
    </row>
    <row r="310" spans="1:5">
      <c r="A310" t="s">
        <v>64</v>
      </c>
      <c r="B310" t="s">
        <v>30</v>
      </c>
      <c r="C310" t="s">
        <v>1968</v>
      </c>
      <c r="D310">
        <v>1</v>
      </c>
      <c r="E31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WATER</v>
      </c>
    </row>
    <row r="311" spans="1:5">
      <c r="A311" t="s">
        <v>64</v>
      </c>
      <c r="B311" t="s">
        <v>52</v>
      </c>
      <c r="C311" t="s">
        <v>1968</v>
      </c>
      <c r="D311">
        <v>1</v>
      </c>
      <c r="E31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ELECTRIC</v>
      </c>
    </row>
    <row r="312" spans="1:5">
      <c r="A312" t="s">
        <v>64</v>
      </c>
      <c r="B312" t="s">
        <v>16</v>
      </c>
      <c r="C312" t="s">
        <v>1968</v>
      </c>
      <c r="D312">
        <v>1</v>
      </c>
      <c r="E31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GRASS</v>
      </c>
    </row>
    <row r="313" spans="1:5">
      <c r="A313" t="s">
        <v>64</v>
      </c>
      <c r="B313" t="s">
        <v>122</v>
      </c>
      <c r="C313" t="s">
        <v>1968</v>
      </c>
      <c r="D313">
        <v>1</v>
      </c>
      <c r="E31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ICE</v>
      </c>
    </row>
    <row r="314" spans="1:5">
      <c r="A314" t="s">
        <v>64</v>
      </c>
      <c r="B314" t="s">
        <v>86</v>
      </c>
      <c r="C314" t="s">
        <v>1971</v>
      </c>
      <c r="D314">
        <v>2</v>
      </c>
      <c r="E31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Very Effective contra o elemento FIGHTING</v>
      </c>
    </row>
    <row r="315" spans="1:5">
      <c r="A315" t="s">
        <v>64</v>
      </c>
      <c r="B315" t="s">
        <v>17</v>
      </c>
      <c r="C315" t="s">
        <v>1969</v>
      </c>
      <c r="D315">
        <v>0.5</v>
      </c>
      <c r="E31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Not Very Effective contra o elemento POISON</v>
      </c>
    </row>
    <row r="316" spans="1:5">
      <c r="A316" t="s">
        <v>64</v>
      </c>
      <c r="B316" t="s">
        <v>55</v>
      </c>
      <c r="C316" t="s">
        <v>1968</v>
      </c>
      <c r="D316">
        <v>1</v>
      </c>
      <c r="E316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GROUND</v>
      </c>
    </row>
    <row r="317" spans="1:5">
      <c r="A317" t="s">
        <v>64</v>
      </c>
      <c r="B317" t="s">
        <v>25</v>
      </c>
      <c r="C317" t="s">
        <v>1968</v>
      </c>
      <c r="D317">
        <v>1</v>
      </c>
      <c r="E317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FLYING</v>
      </c>
    </row>
    <row r="318" spans="1:5">
      <c r="A318" t="s">
        <v>64</v>
      </c>
      <c r="B318" t="s">
        <v>94</v>
      </c>
      <c r="C318" t="s">
        <v>1968</v>
      </c>
      <c r="D318">
        <v>1</v>
      </c>
      <c r="E318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PSYCHIC</v>
      </c>
    </row>
    <row r="319" spans="1:5">
      <c r="A319" t="s">
        <v>64</v>
      </c>
      <c r="B319" t="s">
        <v>35</v>
      </c>
      <c r="C319" t="s">
        <v>1968</v>
      </c>
      <c r="D319">
        <v>1</v>
      </c>
      <c r="E319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BUG</v>
      </c>
    </row>
    <row r="320" spans="1:5">
      <c r="A320" t="s">
        <v>64</v>
      </c>
      <c r="B320" t="s">
        <v>107</v>
      </c>
      <c r="C320" t="s">
        <v>1968</v>
      </c>
      <c r="D320">
        <v>1</v>
      </c>
      <c r="E320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ROCK</v>
      </c>
    </row>
    <row r="321" spans="1:5">
      <c r="A321" t="s">
        <v>64</v>
      </c>
      <c r="B321" t="s">
        <v>128</v>
      </c>
      <c r="C321" t="s">
        <v>1968</v>
      </c>
      <c r="D321">
        <v>1</v>
      </c>
      <c r="E321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GHOST</v>
      </c>
    </row>
    <row r="322" spans="1:5">
      <c r="A322" t="s">
        <v>64</v>
      </c>
      <c r="B322" t="s">
        <v>27</v>
      </c>
      <c r="C322" t="s">
        <v>1971</v>
      </c>
      <c r="D322">
        <v>2</v>
      </c>
      <c r="E322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Very Effective contra o elemento DRAGON</v>
      </c>
    </row>
    <row r="323" spans="1:5">
      <c r="A323" t="s">
        <v>64</v>
      </c>
      <c r="B323" t="s">
        <v>170</v>
      </c>
      <c r="C323" t="s">
        <v>1971</v>
      </c>
      <c r="D323">
        <v>2</v>
      </c>
      <c r="E323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Very Effective contra o elemento DARK</v>
      </c>
    </row>
    <row r="324" spans="1:5">
      <c r="A324" t="s">
        <v>64</v>
      </c>
      <c r="B324" t="s">
        <v>115</v>
      </c>
      <c r="C324" t="s">
        <v>1969</v>
      </c>
      <c r="D324">
        <v>0.5</v>
      </c>
      <c r="E324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Not Very Effective contra o elemento STEEL</v>
      </c>
    </row>
    <row r="325" spans="1:5">
      <c r="A325" t="s">
        <v>64</v>
      </c>
      <c r="B325" t="s">
        <v>64</v>
      </c>
      <c r="C325" t="s">
        <v>1968</v>
      </c>
      <c r="D325">
        <v>1</v>
      </c>
      <c r="E325" t="str">
        <f>"O elemento " &amp; Tabela2[[#This Row],[Attack]] &amp;
" é " &amp;
IF(Tabela2[[#This Row],[Multiplier]]=2,"Very Effective",
IF(Tabela2[[#This Row],[Multiplier]]=0.5,"Not Very Effective",
IF(Tabela2[[#This Row],[Multiplier]]=0,"No Effect",
"Normal"))) &amp;
" contra o elemento " &amp; Tabela2[[#This Row],[Defense]]</f>
        <v>O elemento FAIRY é Normal contra o elemento FAIRY</v>
      </c>
    </row>
  </sheetData>
  <conditionalFormatting sqref="A2:A319">
    <cfRule type="containsText" dxfId="21" priority="20" operator="containsText" text="GRASS">
      <formula>NOT(ISERROR(SEARCH("GRASS",A2)))</formula>
    </cfRule>
  </conditionalFormatting>
  <conditionalFormatting sqref="A2:B319">
    <cfRule type="containsText" dxfId="20" priority="19" operator="containsText" text="POISON">
      <formula>NOT(ISERROR(SEARCH("POISON",A2)))</formula>
    </cfRule>
  </conditionalFormatting>
  <conditionalFormatting sqref="A2:B319">
    <cfRule type="containsText" dxfId="19" priority="18" operator="containsText" text="WATER">
      <formula>NOT(ISERROR(SEARCH("WATER",A2)))</formula>
    </cfRule>
  </conditionalFormatting>
  <conditionalFormatting sqref="A2:B319">
    <cfRule type="containsText" dxfId="18" priority="17" operator="containsText" text="FLYING">
      <formula>NOT(ISERROR(SEARCH("FLYING",A2)))</formula>
    </cfRule>
  </conditionalFormatting>
  <conditionalFormatting sqref="A2:B319">
    <cfRule type="containsText" dxfId="17" priority="16" operator="containsText" text="FIRE">
      <formula>NOT(ISERROR(SEARCH("FIRE",A2)))</formula>
    </cfRule>
  </conditionalFormatting>
  <conditionalFormatting sqref="A2:B319">
    <cfRule type="containsText" dxfId="16" priority="15" operator="containsText" text="DRAGON">
      <formula>NOT(ISERROR(SEARCH("DRAGON",A2)))</formula>
    </cfRule>
  </conditionalFormatting>
  <conditionalFormatting sqref="A2:B319">
    <cfRule type="containsText" dxfId="15" priority="14" operator="containsText" text="BUG">
      <formula>NOT(ISERROR(SEARCH("BUG",A2)))</formula>
    </cfRule>
  </conditionalFormatting>
  <conditionalFormatting sqref="A2:B319">
    <cfRule type="containsText" dxfId="14" priority="13" operator="containsText" text="ELECTRIC">
      <formula>NOT(ISERROR(SEARCH("ELECTRIC",A2)))</formula>
    </cfRule>
  </conditionalFormatting>
  <conditionalFormatting sqref="A2:B319">
    <cfRule type="containsText" dxfId="13" priority="12" operator="containsText" text="GROUND">
      <formula>NOT(ISERROR(SEARCH("GROUND",A2)))</formula>
    </cfRule>
  </conditionalFormatting>
  <conditionalFormatting sqref="A2:B319">
    <cfRule type="containsText" dxfId="12" priority="11" operator="containsText" text="FAIRY">
      <formula>NOT(ISERROR(SEARCH("FAIRY",A2)))</formula>
    </cfRule>
  </conditionalFormatting>
  <conditionalFormatting sqref="A2:B319">
    <cfRule type="containsText" dxfId="11" priority="10" operator="containsText" text="FIGHTING">
      <formula>NOT(ISERROR(SEARCH("FIGHTING",A2)))</formula>
    </cfRule>
  </conditionalFormatting>
  <conditionalFormatting sqref="A2:B319">
    <cfRule type="containsText" dxfId="10" priority="9" operator="containsText" text="PSYCHIC">
      <formula>NOT(ISERROR(SEARCH("PSYCHIC",A2)))</formula>
    </cfRule>
  </conditionalFormatting>
  <conditionalFormatting sqref="A2:B319">
    <cfRule type="containsText" dxfId="9" priority="8" operator="containsText" text="ROCK">
      <formula>NOT(ISERROR(SEARCH("ROCK",A2)))</formula>
    </cfRule>
  </conditionalFormatting>
  <conditionalFormatting sqref="A2:B319">
    <cfRule type="containsText" dxfId="8" priority="7" operator="containsText" text="STEEL">
      <formula>NOT(ISERROR(SEARCH("STEEL",A2)))</formula>
    </cfRule>
  </conditionalFormatting>
  <conditionalFormatting sqref="A2:B319">
    <cfRule type="containsText" dxfId="7" priority="6" operator="containsText" text="ICE">
      <formula>NOT(ISERROR(SEARCH("ICE",A2)))</formula>
    </cfRule>
  </conditionalFormatting>
  <conditionalFormatting sqref="A2:B319">
    <cfRule type="containsText" dxfId="6" priority="5" operator="containsText" text="GHOST">
      <formula>NOT(ISERROR(SEARCH("GHOST",A2)))</formula>
    </cfRule>
  </conditionalFormatting>
  <conditionalFormatting sqref="A2:B319">
    <cfRule type="containsText" dxfId="5" priority="4" operator="containsText" text="DARK">
      <formula>NOT(ISERROR(SEARCH("DARK",A2)))</formula>
    </cfRule>
  </conditionalFormatting>
  <conditionalFormatting sqref="C2:C325">
    <cfRule type="containsText" dxfId="4" priority="3" operator="containsText" text="Not Very Effective">
      <formula>NOT(ISERROR(SEARCH("Not Very Effective",C2)))</formula>
    </cfRule>
  </conditionalFormatting>
  <conditionalFormatting sqref="C2:C325">
    <cfRule type="containsText" dxfId="3" priority="2" operator="containsText" text="Super Effective">
      <formula>NOT(ISERROR(SEARCH("Super Effective",C2)))</formula>
    </cfRule>
  </conditionalFormatting>
  <conditionalFormatting sqref="C2:C325">
    <cfRule type="containsText" dxfId="2" priority="1" operator="containsText" text="No Effect">
      <formula>NOT(ISERROR(SEARCH("No Effect",C2)))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2013-10-29T17:47:10Z</dcterms:created>
  <dcterms:modified xsi:type="dcterms:W3CDTF">2026-06-24T00:10:01Z</dcterms:modified>
  <cp:category/>
  <cp:contentStatus/>
</cp:coreProperties>
</file>